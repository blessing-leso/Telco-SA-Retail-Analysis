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pivotTables/pivotTable9.xml" ContentType="application/vnd.openxmlformats-officedocument.spreadsheetml.pivotTable+xml"/>
  <Override PartName="/xl/pivotTables/pivotTable10.xml" ContentType="application/vnd.openxmlformats-officedocument.spreadsheetml.pivotTable+xml"/>
  <Override PartName="/xl/pivotTables/pivotTable1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hidePivotFieldList="1"/>
  <mc:AlternateContent xmlns:mc="http://schemas.openxmlformats.org/markup-compatibility/2006">
    <mc:Choice Requires="x15">
      <x15ac:absPath xmlns:x15ac="http://schemas.microsoft.com/office/spreadsheetml/2010/11/ac" url="C:\Users\User\OneDrive\Desktop\Excel files 2026\"/>
    </mc:Choice>
  </mc:AlternateContent>
  <xr:revisionPtr revIDLastSave="0" documentId="13_ncr:1_{00D1DBDD-E9D1-4D1B-AFEF-0C642E4FC97C}" xr6:coauthVersionLast="47" xr6:coauthVersionMax="47" xr10:uidLastSave="{00000000-0000-0000-0000-000000000000}"/>
  <bookViews>
    <workbookView xWindow="-108" yWindow="-108" windowWidth="23256" windowHeight="13176" firstSheet="1" activeTab="3" xr2:uid="{695EA7B6-E235-44DA-BF73-AFF2746AD120}"/>
  </bookViews>
  <sheets>
    <sheet name="Pivot Tables" sheetId="3" state="hidden" r:id="rId1"/>
    <sheet name="sa_retail_sales" sheetId="2" r:id="rId2"/>
    <sheet name="PivotTables" sheetId="5" r:id="rId3"/>
    <sheet name="Dashboard" sheetId="4" r:id="rId4"/>
  </sheets>
  <definedNames>
    <definedName name="ExternalData_1" localSheetId="1" hidden="1">sa_retail_sales!$A$1:$H$2001</definedName>
  </definedNames>
  <calcPr calcId="191029"/>
  <pivotCaches>
    <pivotCache cacheId="0" r:id="rId5"/>
    <pivotCache cacheId="1" r:id="rId6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10" i="3" l="1"/>
  <c r="J2001" i="2"/>
  <c r="I2001" i="2"/>
  <c r="J2000" i="2"/>
  <c r="I2000" i="2"/>
  <c r="J1999" i="2"/>
  <c r="I1999" i="2"/>
  <c r="J1998" i="2"/>
  <c r="I1998" i="2"/>
  <c r="J1997" i="2"/>
  <c r="I1997" i="2"/>
  <c r="J1996" i="2"/>
  <c r="I1996" i="2"/>
  <c r="J1995" i="2"/>
  <c r="I1995" i="2"/>
  <c r="J1994" i="2"/>
  <c r="I1994" i="2"/>
  <c r="J1993" i="2"/>
  <c r="I1993" i="2"/>
  <c r="J1992" i="2"/>
  <c r="I1992" i="2"/>
  <c r="J1991" i="2"/>
  <c r="I1991" i="2"/>
  <c r="J1990" i="2"/>
  <c r="I1990" i="2"/>
  <c r="J1989" i="2"/>
  <c r="I1989" i="2"/>
  <c r="J1988" i="2"/>
  <c r="I1988" i="2"/>
  <c r="J1987" i="2"/>
  <c r="I1987" i="2"/>
  <c r="J1986" i="2"/>
  <c r="I1986" i="2"/>
  <c r="J1985" i="2"/>
  <c r="I1985" i="2"/>
  <c r="J1984" i="2"/>
  <c r="I1984" i="2"/>
  <c r="J1983" i="2"/>
  <c r="I1983" i="2"/>
  <c r="J1982" i="2"/>
  <c r="I1982" i="2"/>
  <c r="J1981" i="2"/>
  <c r="I1981" i="2"/>
  <c r="J1980" i="2"/>
  <c r="I1980" i="2"/>
  <c r="J1979" i="2"/>
  <c r="I1979" i="2"/>
  <c r="J1978" i="2"/>
  <c r="I1978" i="2"/>
  <c r="J1977" i="2"/>
  <c r="I1977" i="2"/>
  <c r="J1976" i="2"/>
  <c r="I1976" i="2"/>
  <c r="J1975" i="2"/>
  <c r="I1975" i="2"/>
  <c r="J1974" i="2"/>
  <c r="I1974" i="2"/>
  <c r="J1973" i="2"/>
  <c r="I1973" i="2"/>
  <c r="J1972" i="2"/>
  <c r="I1972" i="2"/>
  <c r="J1971" i="2"/>
  <c r="I1971" i="2"/>
  <c r="J1970" i="2"/>
  <c r="I1970" i="2"/>
  <c r="J1969" i="2"/>
  <c r="I1969" i="2"/>
  <c r="J1968" i="2"/>
  <c r="I1968" i="2"/>
  <c r="J1967" i="2"/>
  <c r="I1967" i="2"/>
  <c r="J1966" i="2"/>
  <c r="I1966" i="2"/>
  <c r="J1965" i="2"/>
  <c r="I1965" i="2"/>
  <c r="J1964" i="2"/>
  <c r="I1964" i="2"/>
  <c r="J1963" i="2"/>
  <c r="I1963" i="2"/>
  <c r="J1962" i="2"/>
  <c r="I1962" i="2"/>
  <c r="J1961" i="2"/>
  <c r="I1961" i="2"/>
  <c r="J1960" i="2"/>
  <c r="I1960" i="2"/>
  <c r="J1959" i="2"/>
  <c r="I1959" i="2"/>
  <c r="J1958" i="2"/>
  <c r="I1958" i="2"/>
  <c r="J1957" i="2"/>
  <c r="I1957" i="2"/>
  <c r="J1956" i="2"/>
  <c r="I1956" i="2"/>
  <c r="J1955" i="2"/>
  <c r="I1955" i="2"/>
  <c r="J1954" i="2"/>
  <c r="I1954" i="2"/>
  <c r="J1953" i="2"/>
  <c r="I1953" i="2"/>
  <c r="J1952" i="2"/>
  <c r="I1952" i="2"/>
  <c r="J1951" i="2"/>
  <c r="I1951" i="2"/>
  <c r="J1950" i="2"/>
  <c r="I1950" i="2"/>
  <c r="J1949" i="2"/>
  <c r="I1949" i="2"/>
  <c r="J1948" i="2"/>
  <c r="I1948" i="2"/>
  <c r="J1947" i="2"/>
  <c r="I1947" i="2"/>
  <c r="J1946" i="2"/>
  <c r="I1946" i="2"/>
  <c r="J1945" i="2"/>
  <c r="I1945" i="2"/>
  <c r="J1944" i="2"/>
  <c r="I1944" i="2"/>
  <c r="J1943" i="2"/>
  <c r="I1943" i="2"/>
  <c r="J1942" i="2"/>
  <c r="I1942" i="2"/>
  <c r="J1941" i="2"/>
  <c r="I1941" i="2"/>
  <c r="J1940" i="2"/>
  <c r="I1940" i="2"/>
  <c r="J1939" i="2"/>
  <c r="I1939" i="2"/>
  <c r="J1938" i="2"/>
  <c r="I1938" i="2"/>
  <c r="J1937" i="2"/>
  <c r="I1937" i="2"/>
  <c r="J1936" i="2"/>
  <c r="I1936" i="2"/>
  <c r="J1935" i="2"/>
  <c r="I1935" i="2"/>
  <c r="J1934" i="2"/>
  <c r="I1934" i="2"/>
  <c r="J1933" i="2"/>
  <c r="I1933" i="2"/>
  <c r="J1932" i="2"/>
  <c r="I1932" i="2"/>
  <c r="J1931" i="2"/>
  <c r="I1931" i="2"/>
  <c r="J1930" i="2"/>
  <c r="I1930" i="2"/>
  <c r="J1929" i="2"/>
  <c r="I1929" i="2"/>
  <c r="J1928" i="2"/>
  <c r="I1928" i="2"/>
  <c r="J1927" i="2"/>
  <c r="I1927" i="2"/>
  <c r="J1926" i="2"/>
  <c r="I1926" i="2"/>
  <c r="J1925" i="2"/>
  <c r="I1925" i="2"/>
  <c r="J1924" i="2"/>
  <c r="I1924" i="2"/>
  <c r="J1923" i="2"/>
  <c r="I1923" i="2"/>
  <c r="J1922" i="2"/>
  <c r="I1922" i="2"/>
  <c r="J1921" i="2"/>
  <c r="I1921" i="2"/>
  <c r="J1920" i="2"/>
  <c r="I1920" i="2"/>
  <c r="J1919" i="2"/>
  <c r="I1919" i="2"/>
  <c r="J1918" i="2"/>
  <c r="I1918" i="2"/>
  <c r="J1917" i="2"/>
  <c r="I1917" i="2"/>
  <c r="J1916" i="2"/>
  <c r="I1916" i="2"/>
  <c r="J1915" i="2"/>
  <c r="I1915" i="2"/>
  <c r="J1914" i="2"/>
  <c r="I1914" i="2"/>
  <c r="J1913" i="2"/>
  <c r="I1913" i="2"/>
  <c r="J1912" i="2"/>
  <c r="I1912" i="2"/>
  <c r="J1911" i="2"/>
  <c r="I1911" i="2"/>
  <c r="J1910" i="2"/>
  <c r="I1910" i="2"/>
  <c r="J1909" i="2"/>
  <c r="I1909" i="2"/>
  <c r="J1908" i="2"/>
  <c r="I1908" i="2"/>
  <c r="J1907" i="2"/>
  <c r="I1907" i="2"/>
  <c r="J1906" i="2"/>
  <c r="I1906" i="2"/>
  <c r="J1905" i="2"/>
  <c r="I1905" i="2"/>
  <c r="J1904" i="2"/>
  <c r="I1904" i="2"/>
  <c r="J1903" i="2"/>
  <c r="I1903" i="2"/>
  <c r="J1902" i="2"/>
  <c r="I1902" i="2"/>
  <c r="J1901" i="2"/>
  <c r="I1901" i="2"/>
  <c r="J1900" i="2"/>
  <c r="I1900" i="2"/>
  <c r="J1899" i="2"/>
  <c r="I1899" i="2"/>
  <c r="J1898" i="2"/>
  <c r="I1898" i="2"/>
  <c r="J1897" i="2"/>
  <c r="I1897" i="2"/>
  <c r="J1896" i="2"/>
  <c r="I1896" i="2"/>
  <c r="J1895" i="2"/>
  <c r="I1895" i="2"/>
  <c r="J1894" i="2"/>
  <c r="I1894" i="2"/>
  <c r="J1893" i="2"/>
  <c r="I1893" i="2"/>
  <c r="J1892" i="2"/>
  <c r="I1892" i="2"/>
  <c r="J1891" i="2"/>
  <c r="I1891" i="2"/>
  <c r="J1890" i="2"/>
  <c r="I1890" i="2"/>
  <c r="J1889" i="2"/>
  <c r="I1889" i="2"/>
  <c r="J1888" i="2"/>
  <c r="I1888" i="2"/>
  <c r="J1887" i="2"/>
  <c r="I1887" i="2"/>
  <c r="J1886" i="2"/>
  <c r="I1886" i="2"/>
  <c r="J1885" i="2"/>
  <c r="I1885" i="2"/>
  <c r="J1884" i="2"/>
  <c r="I1884" i="2"/>
  <c r="J1883" i="2"/>
  <c r="I1883" i="2"/>
  <c r="J1882" i="2"/>
  <c r="I1882" i="2"/>
  <c r="J1881" i="2"/>
  <c r="I1881" i="2"/>
  <c r="J1880" i="2"/>
  <c r="I1880" i="2"/>
  <c r="J1879" i="2"/>
  <c r="I1879" i="2"/>
  <c r="J1878" i="2"/>
  <c r="I1878" i="2"/>
  <c r="J1877" i="2"/>
  <c r="I1877" i="2"/>
  <c r="J1876" i="2"/>
  <c r="I1876" i="2"/>
  <c r="J1875" i="2"/>
  <c r="I1875" i="2"/>
  <c r="J1874" i="2"/>
  <c r="I1874" i="2"/>
  <c r="J1873" i="2"/>
  <c r="I1873" i="2"/>
  <c r="J1872" i="2"/>
  <c r="I1872" i="2"/>
  <c r="J1871" i="2"/>
  <c r="I1871" i="2"/>
  <c r="J1870" i="2"/>
  <c r="I1870" i="2"/>
  <c r="J1869" i="2"/>
  <c r="I1869" i="2"/>
  <c r="J1868" i="2"/>
  <c r="I1868" i="2"/>
  <c r="J1867" i="2"/>
  <c r="I1867" i="2"/>
  <c r="J1866" i="2"/>
  <c r="I1866" i="2"/>
  <c r="J1865" i="2"/>
  <c r="I1865" i="2"/>
  <c r="J1864" i="2"/>
  <c r="I1864" i="2"/>
  <c r="J1863" i="2"/>
  <c r="I1863" i="2"/>
  <c r="J1862" i="2"/>
  <c r="I1862" i="2"/>
  <c r="J1861" i="2"/>
  <c r="I1861" i="2"/>
  <c r="J1860" i="2"/>
  <c r="I1860" i="2"/>
  <c r="J1859" i="2"/>
  <c r="I1859" i="2"/>
  <c r="J1858" i="2"/>
  <c r="I1858" i="2"/>
  <c r="J1857" i="2"/>
  <c r="I1857" i="2"/>
  <c r="J1856" i="2"/>
  <c r="I1856" i="2"/>
  <c r="J1855" i="2"/>
  <c r="I1855" i="2"/>
  <c r="J1854" i="2"/>
  <c r="I1854" i="2"/>
  <c r="J1853" i="2"/>
  <c r="I1853" i="2"/>
  <c r="J1852" i="2"/>
  <c r="I1852" i="2"/>
  <c r="J1851" i="2"/>
  <c r="I1851" i="2"/>
  <c r="J1850" i="2"/>
  <c r="I1850" i="2"/>
  <c r="J1849" i="2"/>
  <c r="I1849" i="2"/>
  <c r="J1848" i="2"/>
  <c r="I1848" i="2"/>
  <c r="J1847" i="2"/>
  <c r="I1847" i="2"/>
  <c r="J1846" i="2"/>
  <c r="I1846" i="2"/>
  <c r="J1845" i="2"/>
  <c r="I1845" i="2"/>
  <c r="J1844" i="2"/>
  <c r="I1844" i="2"/>
  <c r="J1843" i="2"/>
  <c r="I1843" i="2"/>
  <c r="J1842" i="2"/>
  <c r="I1842" i="2"/>
  <c r="J1841" i="2"/>
  <c r="I1841" i="2"/>
  <c r="J1840" i="2"/>
  <c r="I1840" i="2"/>
  <c r="J1839" i="2"/>
  <c r="I1839" i="2"/>
  <c r="J1838" i="2"/>
  <c r="I1838" i="2"/>
  <c r="J1837" i="2"/>
  <c r="I1837" i="2"/>
  <c r="J1836" i="2"/>
  <c r="I1836" i="2"/>
  <c r="J1835" i="2"/>
  <c r="I1835" i="2"/>
  <c r="J1834" i="2"/>
  <c r="I1834" i="2"/>
  <c r="J1833" i="2"/>
  <c r="I1833" i="2"/>
  <c r="J1832" i="2"/>
  <c r="I1832" i="2"/>
  <c r="J1831" i="2"/>
  <c r="I1831" i="2"/>
  <c r="J1830" i="2"/>
  <c r="I1830" i="2"/>
  <c r="J1829" i="2"/>
  <c r="I1829" i="2"/>
  <c r="J1828" i="2"/>
  <c r="I1828" i="2"/>
  <c r="J1827" i="2"/>
  <c r="I1827" i="2"/>
  <c r="J1826" i="2"/>
  <c r="I1826" i="2"/>
  <c r="J1825" i="2"/>
  <c r="I1825" i="2"/>
  <c r="J1824" i="2"/>
  <c r="I1824" i="2"/>
  <c r="J1823" i="2"/>
  <c r="I1823" i="2"/>
  <c r="J1822" i="2"/>
  <c r="I1822" i="2"/>
  <c r="J1821" i="2"/>
  <c r="I1821" i="2"/>
  <c r="J1820" i="2"/>
  <c r="I1820" i="2"/>
  <c r="J1819" i="2"/>
  <c r="I1819" i="2"/>
  <c r="J1818" i="2"/>
  <c r="I1818" i="2"/>
  <c r="J1817" i="2"/>
  <c r="I1817" i="2"/>
  <c r="J1816" i="2"/>
  <c r="I1816" i="2"/>
  <c r="J1815" i="2"/>
  <c r="I1815" i="2"/>
  <c r="J1814" i="2"/>
  <c r="I1814" i="2"/>
  <c r="J1813" i="2"/>
  <c r="I1813" i="2"/>
  <c r="J1812" i="2"/>
  <c r="I1812" i="2"/>
  <c r="J1811" i="2"/>
  <c r="I1811" i="2"/>
  <c r="J1810" i="2"/>
  <c r="I1810" i="2"/>
  <c r="J1809" i="2"/>
  <c r="I1809" i="2"/>
  <c r="J1808" i="2"/>
  <c r="I1808" i="2"/>
  <c r="J1807" i="2"/>
  <c r="I1807" i="2"/>
  <c r="J1806" i="2"/>
  <c r="I1806" i="2"/>
  <c r="J1805" i="2"/>
  <c r="I1805" i="2"/>
  <c r="J1804" i="2"/>
  <c r="I1804" i="2"/>
  <c r="J1803" i="2"/>
  <c r="I1803" i="2"/>
  <c r="J1802" i="2"/>
  <c r="I1802" i="2"/>
  <c r="J1801" i="2"/>
  <c r="I1801" i="2"/>
  <c r="J1800" i="2"/>
  <c r="I1800" i="2"/>
  <c r="J1799" i="2"/>
  <c r="I1799" i="2"/>
  <c r="J1798" i="2"/>
  <c r="I1798" i="2"/>
  <c r="J1797" i="2"/>
  <c r="I1797" i="2"/>
  <c r="J1796" i="2"/>
  <c r="I1796" i="2"/>
  <c r="J1795" i="2"/>
  <c r="I1795" i="2"/>
  <c r="J1794" i="2"/>
  <c r="I1794" i="2"/>
  <c r="J1793" i="2"/>
  <c r="I1793" i="2"/>
  <c r="J1792" i="2"/>
  <c r="I1792" i="2"/>
  <c r="J1791" i="2"/>
  <c r="I1791" i="2"/>
  <c r="J1790" i="2"/>
  <c r="I1790" i="2"/>
  <c r="J1789" i="2"/>
  <c r="I1789" i="2"/>
  <c r="J1788" i="2"/>
  <c r="I1788" i="2"/>
  <c r="J1787" i="2"/>
  <c r="I1787" i="2"/>
  <c r="J1786" i="2"/>
  <c r="I1786" i="2"/>
  <c r="J1785" i="2"/>
  <c r="I1785" i="2"/>
  <c r="J1784" i="2"/>
  <c r="I1784" i="2"/>
  <c r="J1783" i="2"/>
  <c r="I1783" i="2"/>
  <c r="J1782" i="2"/>
  <c r="I1782" i="2"/>
  <c r="J1781" i="2"/>
  <c r="I1781" i="2"/>
  <c r="J1780" i="2"/>
  <c r="I1780" i="2"/>
  <c r="J1779" i="2"/>
  <c r="I1779" i="2"/>
  <c r="J1778" i="2"/>
  <c r="I1778" i="2"/>
  <c r="J1777" i="2"/>
  <c r="I1777" i="2"/>
  <c r="J1776" i="2"/>
  <c r="I1776" i="2"/>
  <c r="J1775" i="2"/>
  <c r="I1775" i="2"/>
  <c r="J1774" i="2"/>
  <c r="I1774" i="2"/>
  <c r="J1773" i="2"/>
  <c r="I1773" i="2"/>
  <c r="J1772" i="2"/>
  <c r="I1772" i="2"/>
  <c r="J1771" i="2"/>
  <c r="I1771" i="2"/>
  <c r="J1770" i="2"/>
  <c r="I1770" i="2"/>
  <c r="J1769" i="2"/>
  <c r="I1769" i="2"/>
  <c r="J1768" i="2"/>
  <c r="I1768" i="2"/>
  <c r="J1767" i="2"/>
  <c r="I1767" i="2"/>
  <c r="J1766" i="2"/>
  <c r="I1766" i="2"/>
  <c r="J1765" i="2"/>
  <c r="I1765" i="2"/>
  <c r="J1764" i="2"/>
  <c r="I1764" i="2"/>
  <c r="J1763" i="2"/>
  <c r="I1763" i="2"/>
  <c r="J1762" i="2"/>
  <c r="I1762" i="2"/>
  <c r="J1761" i="2"/>
  <c r="I1761" i="2"/>
  <c r="J1760" i="2"/>
  <c r="I1760" i="2"/>
  <c r="J1759" i="2"/>
  <c r="I1759" i="2"/>
  <c r="J1758" i="2"/>
  <c r="I1758" i="2"/>
  <c r="J1757" i="2"/>
  <c r="I1757" i="2"/>
  <c r="J1756" i="2"/>
  <c r="I1756" i="2"/>
  <c r="J1755" i="2"/>
  <c r="I1755" i="2"/>
  <c r="J1754" i="2"/>
  <c r="I1754" i="2"/>
  <c r="J1753" i="2"/>
  <c r="I1753" i="2"/>
  <c r="J1752" i="2"/>
  <c r="I1752" i="2"/>
  <c r="J1751" i="2"/>
  <c r="I1751" i="2"/>
  <c r="J1750" i="2"/>
  <c r="I1750" i="2"/>
  <c r="J1749" i="2"/>
  <c r="I1749" i="2"/>
  <c r="J1748" i="2"/>
  <c r="I1748" i="2"/>
  <c r="J1747" i="2"/>
  <c r="I1747" i="2"/>
  <c r="J1746" i="2"/>
  <c r="I1746" i="2"/>
  <c r="J1745" i="2"/>
  <c r="I1745" i="2"/>
  <c r="J1744" i="2"/>
  <c r="I1744" i="2"/>
  <c r="J1743" i="2"/>
  <c r="I1743" i="2"/>
  <c r="J1742" i="2"/>
  <c r="I1742" i="2"/>
  <c r="J1741" i="2"/>
  <c r="I1741" i="2"/>
  <c r="J1740" i="2"/>
  <c r="I1740" i="2"/>
  <c r="J1739" i="2"/>
  <c r="I1739" i="2"/>
  <c r="J1738" i="2"/>
  <c r="I1738" i="2"/>
  <c r="J1737" i="2"/>
  <c r="I1737" i="2"/>
  <c r="J1736" i="2"/>
  <c r="I1736" i="2"/>
  <c r="J1735" i="2"/>
  <c r="I1735" i="2"/>
  <c r="J1734" i="2"/>
  <c r="I1734" i="2"/>
  <c r="J1733" i="2"/>
  <c r="I1733" i="2"/>
  <c r="J1732" i="2"/>
  <c r="I1732" i="2"/>
  <c r="J1731" i="2"/>
  <c r="I1731" i="2"/>
  <c r="J1730" i="2"/>
  <c r="I1730" i="2"/>
  <c r="J1729" i="2"/>
  <c r="I1729" i="2"/>
  <c r="J1728" i="2"/>
  <c r="I1728" i="2"/>
  <c r="J1727" i="2"/>
  <c r="I1727" i="2"/>
  <c r="J1726" i="2"/>
  <c r="I1726" i="2"/>
  <c r="J1725" i="2"/>
  <c r="I1725" i="2"/>
  <c r="J1724" i="2"/>
  <c r="I1724" i="2"/>
  <c r="J1723" i="2"/>
  <c r="I1723" i="2"/>
  <c r="J1722" i="2"/>
  <c r="I1722" i="2"/>
  <c r="J1721" i="2"/>
  <c r="I1721" i="2"/>
  <c r="J1720" i="2"/>
  <c r="I1720" i="2"/>
  <c r="J1719" i="2"/>
  <c r="I1719" i="2"/>
  <c r="J1718" i="2"/>
  <c r="I1718" i="2"/>
  <c r="J1717" i="2"/>
  <c r="I1717" i="2"/>
  <c r="J1716" i="2"/>
  <c r="I1716" i="2"/>
  <c r="J1715" i="2"/>
  <c r="I1715" i="2"/>
  <c r="J1714" i="2"/>
  <c r="I1714" i="2"/>
  <c r="J1713" i="2"/>
  <c r="I1713" i="2"/>
  <c r="J1712" i="2"/>
  <c r="I1712" i="2"/>
  <c r="J1711" i="2"/>
  <c r="I1711" i="2"/>
  <c r="J1710" i="2"/>
  <c r="I1710" i="2"/>
  <c r="J1709" i="2"/>
  <c r="I1709" i="2"/>
  <c r="J1708" i="2"/>
  <c r="I1708" i="2"/>
  <c r="J1707" i="2"/>
  <c r="I1707" i="2"/>
  <c r="J1706" i="2"/>
  <c r="I1706" i="2"/>
  <c r="J1705" i="2"/>
  <c r="I1705" i="2"/>
  <c r="J1704" i="2"/>
  <c r="I1704" i="2"/>
  <c r="J1703" i="2"/>
  <c r="I1703" i="2"/>
  <c r="J1702" i="2"/>
  <c r="I1702" i="2"/>
  <c r="J1701" i="2"/>
  <c r="I1701" i="2"/>
  <c r="J1700" i="2"/>
  <c r="I1700" i="2"/>
  <c r="J1699" i="2"/>
  <c r="I1699" i="2"/>
  <c r="J1698" i="2"/>
  <c r="I1698" i="2"/>
  <c r="J1697" i="2"/>
  <c r="I1697" i="2"/>
  <c r="J1696" i="2"/>
  <c r="I1696" i="2"/>
  <c r="J1695" i="2"/>
  <c r="I1695" i="2"/>
  <c r="J1694" i="2"/>
  <c r="I1694" i="2"/>
  <c r="J1693" i="2"/>
  <c r="I1693" i="2"/>
  <c r="J1692" i="2"/>
  <c r="I1692" i="2"/>
  <c r="J1691" i="2"/>
  <c r="I1691" i="2"/>
  <c r="J1690" i="2"/>
  <c r="I1690" i="2"/>
  <c r="J1689" i="2"/>
  <c r="I1689" i="2"/>
  <c r="J1688" i="2"/>
  <c r="I1688" i="2"/>
  <c r="J1687" i="2"/>
  <c r="I1687" i="2"/>
  <c r="J1686" i="2"/>
  <c r="I1686" i="2"/>
  <c r="J1685" i="2"/>
  <c r="I1685" i="2"/>
  <c r="J1684" i="2"/>
  <c r="I1684" i="2"/>
  <c r="J1683" i="2"/>
  <c r="I1683" i="2"/>
  <c r="J1682" i="2"/>
  <c r="I1682" i="2"/>
  <c r="J1681" i="2"/>
  <c r="I1681" i="2"/>
  <c r="J1680" i="2"/>
  <c r="I1680" i="2"/>
  <c r="J1679" i="2"/>
  <c r="I1679" i="2"/>
  <c r="J1678" i="2"/>
  <c r="I1678" i="2"/>
  <c r="J1677" i="2"/>
  <c r="I1677" i="2"/>
  <c r="J1676" i="2"/>
  <c r="I1676" i="2"/>
  <c r="J1675" i="2"/>
  <c r="I1675" i="2"/>
  <c r="J1674" i="2"/>
  <c r="I1674" i="2"/>
  <c r="J1673" i="2"/>
  <c r="I1673" i="2"/>
  <c r="J1672" i="2"/>
  <c r="I1672" i="2"/>
  <c r="J1671" i="2"/>
  <c r="I1671" i="2"/>
  <c r="J1670" i="2"/>
  <c r="I1670" i="2"/>
  <c r="J1669" i="2"/>
  <c r="I1669" i="2"/>
  <c r="J1668" i="2"/>
  <c r="I1668" i="2"/>
  <c r="J1667" i="2"/>
  <c r="I1667" i="2"/>
  <c r="J1666" i="2"/>
  <c r="I1666" i="2"/>
  <c r="J1665" i="2"/>
  <c r="I1665" i="2"/>
  <c r="J1664" i="2"/>
  <c r="I1664" i="2"/>
  <c r="J1663" i="2"/>
  <c r="I1663" i="2"/>
  <c r="J1662" i="2"/>
  <c r="I1662" i="2"/>
  <c r="J1661" i="2"/>
  <c r="I1661" i="2"/>
  <c r="J1660" i="2"/>
  <c r="I1660" i="2"/>
  <c r="J1659" i="2"/>
  <c r="I1659" i="2"/>
  <c r="J1658" i="2"/>
  <c r="I1658" i="2"/>
  <c r="J1657" i="2"/>
  <c r="I1657" i="2"/>
  <c r="J1656" i="2"/>
  <c r="I1656" i="2"/>
  <c r="J1655" i="2"/>
  <c r="I1655" i="2"/>
  <c r="J1654" i="2"/>
  <c r="I1654" i="2"/>
  <c r="J1653" i="2"/>
  <c r="I1653" i="2"/>
  <c r="J1652" i="2"/>
  <c r="I1652" i="2"/>
  <c r="J1651" i="2"/>
  <c r="I1651" i="2"/>
  <c r="J1650" i="2"/>
  <c r="I1650" i="2"/>
  <c r="J1649" i="2"/>
  <c r="I1649" i="2"/>
  <c r="J1648" i="2"/>
  <c r="I1648" i="2"/>
  <c r="J1647" i="2"/>
  <c r="I1647" i="2"/>
  <c r="J1646" i="2"/>
  <c r="I1646" i="2"/>
  <c r="J1645" i="2"/>
  <c r="I1645" i="2"/>
  <c r="J1644" i="2"/>
  <c r="I1644" i="2"/>
  <c r="J1643" i="2"/>
  <c r="I1643" i="2"/>
  <c r="J1642" i="2"/>
  <c r="I1642" i="2"/>
  <c r="J1641" i="2"/>
  <c r="I1641" i="2"/>
  <c r="J1640" i="2"/>
  <c r="I1640" i="2"/>
  <c r="J1639" i="2"/>
  <c r="I1639" i="2"/>
  <c r="J1638" i="2"/>
  <c r="I1638" i="2"/>
  <c r="J1637" i="2"/>
  <c r="I1637" i="2"/>
  <c r="J1636" i="2"/>
  <c r="I1636" i="2"/>
  <c r="J1635" i="2"/>
  <c r="I1635" i="2"/>
  <c r="J1634" i="2"/>
  <c r="I1634" i="2"/>
  <c r="J1633" i="2"/>
  <c r="I1633" i="2"/>
  <c r="J1632" i="2"/>
  <c r="I1632" i="2"/>
  <c r="J1631" i="2"/>
  <c r="I1631" i="2"/>
  <c r="J1630" i="2"/>
  <c r="I1630" i="2"/>
  <c r="J1629" i="2"/>
  <c r="I1629" i="2"/>
  <c r="J1628" i="2"/>
  <c r="I1628" i="2"/>
  <c r="J1627" i="2"/>
  <c r="I1627" i="2"/>
  <c r="J1626" i="2"/>
  <c r="I1626" i="2"/>
  <c r="J1625" i="2"/>
  <c r="I1625" i="2"/>
  <c r="J1624" i="2"/>
  <c r="I1624" i="2"/>
  <c r="J1623" i="2"/>
  <c r="I1623" i="2"/>
  <c r="J1622" i="2"/>
  <c r="I1622" i="2"/>
  <c r="J1621" i="2"/>
  <c r="I1621" i="2"/>
  <c r="J1620" i="2"/>
  <c r="I1620" i="2"/>
  <c r="J1619" i="2"/>
  <c r="I1619" i="2"/>
  <c r="J1618" i="2"/>
  <c r="I1618" i="2"/>
  <c r="J1617" i="2"/>
  <c r="I1617" i="2"/>
  <c r="J1616" i="2"/>
  <c r="I1616" i="2"/>
  <c r="J1615" i="2"/>
  <c r="I1615" i="2"/>
  <c r="J1614" i="2"/>
  <c r="I1614" i="2"/>
  <c r="J1613" i="2"/>
  <c r="I1613" i="2"/>
  <c r="J1612" i="2"/>
  <c r="I1612" i="2"/>
  <c r="J1611" i="2"/>
  <c r="I1611" i="2"/>
  <c r="J1610" i="2"/>
  <c r="I1610" i="2"/>
  <c r="J1609" i="2"/>
  <c r="I1609" i="2"/>
  <c r="J1608" i="2"/>
  <c r="I1608" i="2"/>
  <c r="J1607" i="2"/>
  <c r="I1607" i="2"/>
  <c r="J1606" i="2"/>
  <c r="I1606" i="2"/>
  <c r="J1605" i="2"/>
  <c r="I1605" i="2"/>
  <c r="J1604" i="2"/>
  <c r="I1604" i="2"/>
  <c r="J1603" i="2"/>
  <c r="I1603" i="2"/>
  <c r="J1602" i="2"/>
  <c r="I1602" i="2"/>
  <c r="J1601" i="2"/>
  <c r="I1601" i="2"/>
  <c r="J1600" i="2"/>
  <c r="I1600" i="2"/>
  <c r="J1599" i="2"/>
  <c r="I1599" i="2"/>
  <c r="J1598" i="2"/>
  <c r="I1598" i="2"/>
  <c r="J1597" i="2"/>
  <c r="I1597" i="2"/>
  <c r="J1596" i="2"/>
  <c r="I1596" i="2"/>
  <c r="J1595" i="2"/>
  <c r="I1595" i="2"/>
  <c r="J1594" i="2"/>
  <c r="I1594" i="2"/>
  <c r="J1593" i="2"/>
  <c r="I1593" i="2"/>
  <c r="J1592" i="2"/>
  <c r="I1592" i="2"/>
  <c r="J1591" i="2"/>
  <c r="I1591" i="2"/>
  <c r="J1590" i="2"/>
  <c r="I1590" i="2"/>
  <c r="J1589" i="2"/>
  <c r="I1589" i="2"/>
  <c r="J1588" i="2"/>
  <c r="I1588" i="2"/>
  <c r="J1587" i="2"/>
  <c r="I1587" i="2"/>
  <c r="J1586" i="2"/>
  <c r="I1586" i="2"/>
  <c r="J1585" i="2"/>
  <c r="I1585" i="2"/>
  <c r="J1584" i="2"/>
  <c r="I1584" i="2"/>
  <c r="J1583" i="2"/>
  <c r="I1583" i="2"/>
  <c r="J1582" i="2"/>
  <c r="I1582" i="2"/>
  <c r="J1581" i="2"/>
  <c r="I1581" i="2"/>
  <c r="J1580" i="2"/>
  <c r="I1580" i="2"/>
  <c r="J1579" i="2"/>
  <c r="I1579" i="2"/>
  <c r="J1578" i="2"/>
  <c r="I1578" i="2"/>
  <c r="J1577" i="2"/>
  <c r="I1577" i="2"/>
  <c r="J1576" i="2"/>
  <c r="I1576" i="2"/>
  <c r="J1575" i="2"/>
  <c r="I1575" i="2"/>
  <c r="J1574" i="2"/>
  <c r="I1574" i="2"/>
  <c r="J1573" i="2"/>
  <c r="I1573" i="2"/>
  <c r="J1572" i="2"/>
  <c r="I1572" i="2"/>
  <c r="J1571" i="2"/>
  <c r="I1571" i="2"/>
  <c r="J1570" i="2"/>
  <c r="I1570" i="2"/>
  <c r="J1569" i="2"/>
  <c r="I1569" i="2"/>
  <c r="J1568" i="2"/>
  <c r="I1568" i="2"/>
  <c r="J1567" i="2"/>
  <c r="I1567" i="2"/>
  <c r="J1566" i="2"/>
  <c r="I1566" i="2"/>
  <c r="J1565" i="2"/>
  <c r="I1565" i="2"/>
  <c r="J1564" i="2"/>
  <c r="I1564" i="2"/>
  <c r="J1563" i="2"/>
  <c r="I1563" i="2"/>
  <c r="J1562" i="2"/>
  <c r="I1562" i="2"/>
  <c r="J1561" i="2"/>
  <c r="I1561" i="2"/>
  <c r="J1560" i="2"/>
  <c r="I1560" i="2"/>
  <c r="J1559" i="2"/>
  <c r="I1559" i="2"/>
  <c r="J1558" i="2"/>
  <c r="I1558" i="2"/>
  <c r="J1557" i="2"/>
  <c r="I1557" i="2"/>
  <c r="J1556" i="2"/>
  <c r="I1556" i="2"/>
  <c r="J1555" i="2"/>
  <c r="I1555" i="2"/>
  <c r="J1554" i="2"/>
  <c r="I1554" i="2"/>
  <c r="J1553" i="2"/>
  <c r="I1553" i="2"/>
  <c r="J1552" i="2"/>
  <c r="I1552" i="2"/>
  <c r="J1551" i="2"/>
  <c r="I1551" i="2"/>
  <c r="J1550" i="2"/>
  <c r="I1550" i="2"/>
  <c r="J1549" i="2"/>
  <c r="I1549" i="2"/>
  <c r="J1548" i="2"/>
  <c r="I1548" i="2"/>
  <c r="J1547" i="2"/>
  <c r="I1547" i="2"/>
  <c r="J1546" i="2"/>
  <c r="I1546" i="2"/>
  <c r="J1545" i="2"/>
  <c r="I1545" i="2"/>
  <c r="J1544" i="2"/>
  <c r="I1544" i="2"/>
  <c r="J1543" i="2"/>
  <c r="I1543" i="2"/>
  <c r="J1542" i="2"/>
  <c r="I1542" i="2"/>
  <c r="J1541" i="2"/>
  <c r="I1541" i="2"/>
  <c r="J1540" i="2"/>
  <c r="I1540" i="2"/>
  <c r="J1539" i="2"/>
  <c r="I1539" i="2"/>
  <c r="J1538" i="2"/>
  <c r="I1538" i="2"/>
  <c r="J1537" i="2"/>
  <c r="I1537" i="2"/>
  <c r="J1536" i="2"/>
  <c r="I1536" i="2"/>
  <c r="J1535" i="2"/>
  <c r="I1535" i="2"/>
  <c r="J1534" i="2"/>
  <c r="I1534" i="2"/>
  <c r="J1533" i="2"/>
  <c r="I1533" i="2"/>
  <c r="J1532" i="2"/>
  <c r="I1532" i="2"/>
  <c r="J1531" i="2"/>
  <c r="I1531" i="2"/>
  <c r="J1530" i="2"/>
  <c r="I1530" i="2"/>
  <c r="J1529" i="2"/>
  <c r="I1529" i="2"/>
  <c r="J1528" i="2"/>
  <c r="I1528" i="2"/>
  <c r="J1527" i="2"/>
  <c r="I1527" i="2"/>
  <c r="J1526" i="2"/>
  <c r="I1526" i="2"/>
  <c r="J1525" i="2"/>
  <c r="I1525" i="2"/>
  <c r="J1524" i="2"/>
  <c r="I1524" i="2"/>
  <c r="J1523" i="2"/>
  <c r="I1523" i="2"/>
  <c r="J1522" i="2"/>
  <c r="I1522" i="2"/>
  <c r="J1521" i="2"/>
  <c r="I1521" i="2"/>
  <c r="J1520" i="2"/>
  <c r="I1520" i="2"/>
  <c r="J1519" i="2"/>
  <c r="I1519" i="2"/>
  <c r="J1518" i="2"/>
  <c r="I1518" i="2"/>
  <c r="J1517" i="2"/>
  <c r="I1517" i="2"/>
  <c r="J1516" i="2"/>
  <c r="I1516" i="2"/>
  <c r="J1515" i="2"/>
  <c r="I1515" i="2"/>
  <c r="J1514" i="2"/>
  <c r="I1514" i="2"/>
  <c r="J1513" i="2"/>
  <c r="I1513" i="2"/>
  <c r="J1512" i="2"/>
  <c r="I1512" i="2"/>
  <c r="J1511" i="2"/>
  <c r="I1511" i="2"/>
  <c r="J1510" i="2"/>
  <c r="I1510" i="2"/>
  <c r="J1509" i="2"/>
  <c r="I1509" i="2"/>
  <c r="J1508" i="2"/>
  <c r="I1508" i="2"/>
  <c r="J1507" i="2"/>
  <c r="I1507" i="2"/>
  <c r="J1506" i="2"/>
  <c r="I1506" i="2"/>
  <c r="J1505" i="2"/>
  <c r="I1505" i="2"/>
  <c r="J1504" i="2"/>
  <c r="I1504" i="2"/>
  <c r="J1503" i="2"/>
  <c r="I1503" i="2"/>
  <c r="J1502" i="2"/>
  <c r="I1502" i="2"/>
  <c r="J1501" i="2"/>
  <c r="I1501" i="2"/>
  <c r="J1500" i="2"/>
  <c r="I1500" i="2"/>
  <c r="J1499" i="2"/>
  <c r="I1499" i="2"/>
  <c r="J1498" i="2"/>
  <c r="I1498" i="2"/>
  <c r="J1497" i="2"/>
  <c r="I1497" i="2"/>
  <c r="J1496" i="2"/>
  <c r="I1496" i="2"/>
  <c r="J1495" i="2"/>
  <c r="I1495" i="2"/>
  <c r="J1494" i="2"/>
  <c r="I1494" i="2"/>
  <c r="J1493" i="2"/>
  <c r="I1493" i="2"/>
  <c r="J1492" i="2"/>
  <c r="I1492" i="2"/>
  <c r="J1491" i="2"/>
  <c r="I1491" i="2"/>
  <c r="J1490" i="2"/>
  <c r="I1490" i="2"/>
  <c r="J1489" i="2"/>
  <c r="I1489" i="2"/>
  <c r="J1488" i="2"/>
  <c r="I1488" i="2"/>
  <c r="J1487" i="2"/>
  <c r="I1487" i="2"/>
  <c r="J1486" i="2"/>
  <c r="I1486" i="2"/>
  <c r="J1485" i="2"/>
  <c r="I1485" i="2"/>
  <c r="J1484" i="2"/>
  <c r="I1484" i="2"/>
  <c r="J1483" i="2"/>
  <c r="I1483" i="2"/>
  <c r="J1482" i="2"/>
  <c r="I1482" i="2"/>
  <c r="J1481" i="2"/>
  <c r="I1481" i="2"/>
  <c r="J1480" i="2"/>
  <c r="I1480" i="2"/>
  <c r="J1479" i="2"/>
  <c r="I1479" i="2"/>
  <c r="J1478" i="2"/>
  <c r="I1478" i="2"/>
  <c r="J1477" i="2"/>
  <c r="I1477" i="2"/>
  <c r="J1476" i="2"/>
  <c r="I1476" i="2"/>
  <c r="J1475" i="2"/>
  <c r="I1475" i="2"/>
  <c r="J1474" i="2"/>
  <c r="I1474" i="2"/>
  <c r="J1473" i="2"/>
  <c r="I1473" i="2"/>
  <c r="J1472" i="2"/>
  <c r="I1472" i="2"/>
  <c r="J1471" i="2"/>
  <c r="I1471" i="2"/>
  <c r="J1470" i="2"/>
  <c r="I1470" i="2"/>
  <c r="J1469" i="2"/>
  <c r="I1469" i="2"/>
  <c r="J1468" i="2"/>
  <c r="I1468" i="2"/>
  <c r="J1467" i="2"/>
  <c r="I1467" i="2"/>
  <c r="J1466" i="2"/>
  <c r="I1466" i="2"/>
  <c r="J1465" i="2"/>
  <c r="I1465" i="2"/>
  <c r="J1464" i="2"/>
  <c r="I1464" i="2"/>
  <c r="J1463" i="2"/>
  <c r="I1463" i="2"/>
  <c r="J1462" i="2"/>
  <c r="I1462" i="2"/>
  <c r="J1461" i="2"/>
  <c r="I1461" i="2"/>
  <c r="J1460" i="2"/>
  <c r="I1460" i="2"/>
  <c r="J1459" i="2"/>
  <c r="I1459" i="2"/>
  <c r="J1458" i="2"/>
  <c r="I1458" i="2"/>
  <c r="J1457" i="2"/>
  <c r="I1457" i="2"/>
  <c r="J1456" i="2"/>
  <c r="I1456" i="2"/>
  <c r="J1455" i="2"/>
  <c r="I1455" i="2"/>
  <c r="J1454" i="2"/>
  <c r="I1454" i="2"/>
  <c r="J1453" i="2"/>
  <c r="I1453" i="2"/>
  <c r="J1452" i="2"/>
  <c r="I1452" i="2"/>
  <c r="J1451" i="2"/>
  <c r="I1451" i="2"/>
  <c r="J1450" i="2"/>
  <c r="I1450" i="2"/>
  <c r="J1449" i="2"/>
  <c r="I1449" i="2"/>
  <c r="J1448" i="2"/>
  <c r="I1448" i="2"/>
  <c r="J1447" i="2"/>
  <c r="I1447" i="2"/>
  <c r="J1446" i="2"/>
  <c r="I1446" i="2"/>
  <c r="J1445" i="2"/>
  <c r="I1445" i="2"/>
  <c r="J1444" i="2"/>
  <c r="I1444" i="2"/>
  <c r="J1443" i="2"/>
  <c r="I1443" i="2"/>
  <c r="J1442" i="2"/>
  <c r="I1442" i="2"/>
  <c r="J1441" i="2"/>
  <c r="I1441" i="2"/>
  <c r="J1440" i="2"/>
  <c r="I1440" i="2"/>
  <c r="J1439" i="2"/>
  <c r="I1439" i="2"/>
  <c r="J1438" i="2"/>
  <c r="I1438" i="2"/>
  <c r="J1437" i="2"/>
  <c r="I1437" i="2"/>
  <c r="J1436" i="2"/>
  <c r="I1436" i="2"/>
  <c r="J1435" i="2"/>
  <c r="I1435" i="2"/>
  <c r="J1434" i="2"/>
  <c r="I1434" i="2"/>
  <c r="J1433" i="2"/>
  <c r="I1433" i="2"/>
  <c r="J1432" i="2"/>
  <c r="I1432" i="2"/>
  <c r="J1431" i="2"/>
  <c r="I1431" i="2"/>
  <c r="J1430" i="2"/>
  <c r="I1430" i="2"/>
  <c r="J1429" i="2"/>
  <c r="I1429" i="2"/>
  <c r="J1428" i="2"/>
  <c r="I1428" i="2"/>
  <c r="J1427" i="2"/>
  <c r="I1427" i="2"/>
  <c r="J1426" i="2"/>
  <c r="I1426" i="2"/>
  <c r="J1425" i="2"/>
  <c r="I1425" i="2"/>
  <c r="J1424" i="2"/>
  <c r="I1424" i="2"/>
  <c r="J1423" i="2"/>
  <c r="I1423" i="2"/>
  <c r="J1422" i="2"/>
  <c r="I1422" i="2"/>
  <c r="J1421" i="2"/>
  <c r="I1421" i="2"/>
  <c r="J1420" i="2"/>
  <c r="I1420" i="2"/>
  <c r="J1419" i="2"/>
  <c r="I1419" i="2"/>
  <c r="J1418" i="2"/>
  <c r="I1418" i="2"/>
  <c r="J1417" i="2"/>
  <c r="I1417" i="2"/>
  <c r="J1416" i="2"/>
  <c r="I1416" i="2"/>
  <c r="J1415" i="2"/>
  <c r="I1415" i="2"/>
  <c r="J1414" i="2"/>
  <c r="I1414" i="2"/>
  <c r="J1413" i="2"/>
  <c r="I1413" i="2"/>
  <c r="J1412" i="2"/>
  <c r="I1412" i="2"/>
  <c r="J1411" i="2"/>
  <c r="I1411" i="2"/>
  <c r="J1410" i="2"/>
  <c r="I1410" i="2"/>
  <c r="J1409" i="2"/>
  <c r="I1409" i="2"/>
  <c r="J1408" i="2"/>
  <c r="I1408" i="2"/>
  <c r="J1407" i="2"/>
  <c r="I1407" i="2"/>
  <c r="J1406" i="2"/>
  <c r="I1406" i="2"/>
  <c r="J1405" i="2"/>
  <c r="I1405" i="2"/>
  <c r="J1404" i="2"/>
  <c r="I1404" i="2"/>
  <c r="J1403" i="2"/>
  <c r="I1403" i="2"/>
  <c r="J1402" i="2"/>
  <c r="I1402" i="2"/>
  <c r="J1401" i="2"/>
  <c r="I1401" i="2"/>
  <c r="J1400" i="2"/>
  <c r="I1400" i="2"/>
  <c r="J1399" i="2"/>
  <c r="I1399" i="2"/>
  <c r="J1398" i="2"/>
  <c r="I1398" i="2"/>
  <c r="J1397" i="2"/>
  <c r="I1397" i="2"/>
  <c r="J1396" i="2"/>
  <c r="I1396" i="2"/>
  <c r="J1395" i="2"/>
  <c r="I1395" i="2"/>
  <c r="J1394" i="2"/>
  <c r="I1394" i="2"/>
  <c r="J1393" i="2"/>
  <c r="I1393" i="2"/>
  <c r="J1392" i="2"/>
  <c r="I1392" i="2"/>
  <c r="J1391" i="2"/>
  <c r="I1391" i="2"/>
  <c r="J1390" i="2"/>
  <c r="I1390" i="2"/>
  <c r="J1389" i="2"/>
  <c r="I1389" i="2"/>
  <c r="J1388" i="2"/>
  <c r="I1388" i="2"/>
  <c r="J1387" i="2"/>
  <c r="I1387" i="2"/>
  <c r="J1386" i="2"/>
  <c r="I1386" i="2"/>
  <c r="J1385" i="2"/>
  <c r="I1385" i="2"/>
  <c r="J1384" i="2"/>
  <c r="I1384" i="2"/>
  <c r="J1383" i="2"/>
  <c r="I1383" i="2"/>
  <c r="J1382" i="2"/>
  <c r="I1382" i="2"/>
  <c r="J1381" i="2"/>
  <c r="I1381" i="2"/>
  <c r="J1380" i="2"/>
  <c r="I1380" i="2"/>
  <c r="J1379" i="2"/>
  <c r="I1379" i="2"/>
  <c r="J1378" i="2"/>
  <c r="I1378" i="2"/>
  <c r="J1377" i="2"/>
  <c r="I1377" i="2"/>
  <c r="J1376" i="2"/>
  <c r="I1376" i="2"/>
  <c r="J1375" i="2"/>
  <c r="I1375" i="2"/>
  <c r="J1374" i="2"/>
  <c r="I1374" i="2"/>
  <c r="J1373" i="2"/>
  <c r="I1373" i="2"/>
  <c r="J1372" i="2"/>
  <c r="I1372" i="2"/>
  <c r="J1371" i="2"/>
  <c r="I1371" i="2"/>
  <c r="J1370" i="2"/>
  <c r="I1370" i="2"/>
  <c r="J1369" i="2"/>
  <c r="I1369" i="2"/>
  <c r="J1368" i="2"/>
  <c r="I1368" i="2"/>
  <c r="J1367" i="2"/>
  <c r="I1367" i="2"/>
  <c r="J1366" i="2"/>
  <c r="I1366" i="2"/>
  <c r="J1365" i="2"/>
  <c r="I1365" i="2"/>
  <c r="J1364" i="2"/>
  <c r="I1364" i="2"/>
  <c r="J1363" i="2"/>
  <c r="I1363" i="2"/>
  <c r="J1362" i="2"/>
  <c r="I1362" i="2"/>
  <c r="J1361" i="2"/>
  <c r="I1361" i="2"/>
  <c r="J1360" i="2"/>
  <c r="I1360" i="2"/>
  <c r="J1359" i="2"/>
  <c r="I1359" i="2"/>
  <c r="J1358" i="2"/>
  <c r="I1358" i="2"/>
  <c r="J1357" i="2"/>
  <c r="I1357" i="2"/>
  <c r="J1356" i="2"/>
  <c r="I1356" i="2"/>
  <c r="J1355" i="2"/>
  <c r="I1355" i="2"/>
  <c r="J1354" i="2"/>
  <c r="I1354" i="2"/>
  <c r="J1353" i="2"/>
  <c r="I1353" i="2"/>
  <c r="J1352" i="2"/>
  <c r="I1352" i="2"/>
  <c r="J1351" i="2"/>
  <c r="I1351" i="2"/>
  <c r="J1350" i="2"/>
  <c r="I1350" i="2"/>
  <c r="J1349" i="2"/>
  <c r="I1349" i="2"/>
  <c r="J1348" i="2"/>
  <c r="I1348" i="2"/>
  <c r="J1347" i="2"/>
  <c r="I1347" i="2"/>
  <c r="J1346" i="2"/>
  <c r="I1346" i="2"/>
  <c r="J1345" i="2"/>
  <c r="I1345" i="2"/>
  <c r="J1344" i="2"/>
  <c r="I1344" i="2"/>
  <c r="J1343" i="2"/>
  <c r="I1343" i="2"/>
  <c r="J1342" i="2"/>
  <c r="I1342" i="2"/>
  <c r="J1341" i="2"/>
  <c r="I1341" i="2"/>
  <c r="J1340" i="2"/>
  <c r="I1340" i="2"/>
  <c r="J1339" i="2"/>
  <c r="I1339" i="2"/>
  <c r="J1338" i="2"/>
  <c r="I1338" i="2"/>
  <c r="J1337" i="2"/>
  <c r="I1337" i="2"/>
  <c r="J1336" i="2"/>
  <c r="I1336" i="2"/>
  <c r="J1335" i="2"/>
  <c r="I1335" i="2"/>
  <c r="J1334" i="2"/>
  <c r="I1334" i="2"/>
  <c r="J1333" i="2"/>
  <c r="I1333" i="2"/>
  <c r="J1332" i="2"/>
  <c r="I1332" i="2"/>
  <c r="J1331" i="2"/>
  <c r="I1331" i="2"/>
  <c r="J1330" i="2"/>
  <c r="I1330" i="2"/>
  <c r="J1329" i="2"/>
  <c r="I1329" i="2"/>
  <c r="J1328" i="2"/>
  <c r="I1328" i="2"/>
  <c r="J1327" i="2"/>
  <c r="I1327" i="2"/>
  <c r="J1326" i="2"/>
  <c r="I1326" i="2"/>
  <c r="J1325" i="2"/>
  <c r="I1325" i="2"/>
  <c r="J1324" i="2"/>
  <c r="I1324" i="2"/>
  <c r="J1323" i="2"/>
  <c r="I1323" i="2"/>
  <c r="J1322" i="2"/>
  <c r="I1322" i="2"/>
  <c r="J1321" i="2"/>
  <c r="I1321" i="2"/>
  <c r="J1320" i="2"/>
  <c r="I1320" i="2"/>
  <c r="J1319" i="2"/>
  <c r="I1319" i="2"/>
  <c r="J1318" i="2"/>
  <c r="I1318" i="2"/>
  <c r="J1317" i="2"/>
  <c r="I1317" i="2"/>
  <c r="J1316" i="2"/>
  <c r="I1316" i="2"/>
  <c r="J1315" i="2"/>
  <c r="I1315" i="2"/>
  <c r="J1314" i="2"/>
  <c r="I1314" i="2"/>
  <c r="J1313" i="2"/>
  <c r="I1313" i="2"/>
  <c r="J1312" i="2"/>
  <c r="I1312" i="2"/>
  <c r="J1311" i="2"/>
  <c r="I1311" i="2"/>
  <c r="J1310" i="2"/>
  <c r="I1310" i="2"/>
  <c r="J1309" i="2"/>
  <c r="I1309" i="2"/>
  <c r="J1308" i="2"/>
  <c r="I1308" i="2"/>
  <c r="J1307" i="2"/>
  <c r="I1307" i="2"/>
  <c r="J1306" i="2"/>
  <c r="I1306" i="2"/>
  <c r="J1305" i="2"/>
  <c r="I1305" i="2"/>
  <c r="J1304" i="2"/>
  <c r="I1304" i="2"/>
  <c r="J1303" i="2"/>
  <c r="I1303" i="2"/>
  <c r="J1302" i="2"/>
  <c r="I1302" i="2"/>
  <c r="J1301" i="2"/>
  <c r="I1301" i="2"/>
  <c r="J1300" i="2"/>
  <c r="I1300" i="2"/>
  <c r="J1299" i="2"/>
  <c r="I1299" i="2"/>
  <c r="J1298" i="2"/>
  <c r="I1298" i="2"/>
  <c r="J1297" i="2"/>
  <c r="I1297" i="2"/>
  <c r="J1296" i="2"/>
  <c r="I1296" i="2"/>
  <c r="J1295" i="2"/>
  <c r="I1295" i="2"/>
  <c r="J1294" i="2"/>
  <c r="I1294" i="2"/>
  <c r="J1293" i="2"/>
  <c r="I1293" i="2"/>
  <c r="J1292" i="2"/>
  <c r="I1292" i="2"/>
  <c r="J1291" i="2"/>
  <c r="I1291" i="2"/>
  <c r="J1290" i="2"/>
  <c r="I1290" i="2"/>
  <c r="J1289" i="2"/>
  <c r="I1289" i="2"/>
  <c r="J1288" i="2"/>
  <c r="I1288" i="2"/>
  <c r="J1287" i="2"/>
  <c r="I1287" i="2"/>
  <c r="J1286" i="2"/>
  <c r="I1286" i="2"/>
  <c r="J1285" i="2"/>
  <c r="I1285" i="2"/>
  <c r="J1284" i="2"/>
  <c r="I1284" i="2"/>
  <c r="J1283" i="2"/>
  <c r="I1283" i="2"/>
  <c r="J1282" i="2"/>
  <c r="I1282" i="2"/>
  <c r="J1281" i="2"/>
  <c r="I1281" i="2"/>
  <c r="J1280" i="2"/>
  <c r="I1280" i="2"/>
  <c r="J1279" i="2"/>
  <c r="I1279" i="2"/>
  <c r="J1278" i="2"/>
  <c r="I1278" i="2"/>
  <c r="J1277" i="2"/>
  <c r="I1277" i="2"/>
  <c r="J1276" i="2"/>
  <c r="I1276" i="2"/>
  <c r="J1275" i="2"/>
  <c r="I1275" i="2"/>
  <c r="J1274" i="2"/>
  <c r="I1274" i="2"/>
  <c r="J1273" i="2"/>
  <c r="I1273" i="2"/>
  <c r="J1272" i="2"/>
  <c r="I1272" i="2"/>
  <c r="J1271" i="2"/>
  <c r="I1271" i="2"/>
  <c r="J1270" i="2"/>
  <c r="I1270" i="2"/>
  <c r="J1269" i="2"/>
  <c r="I1269" i="2"/>
  <c r="J1268" i="2"/>
  <c r="I1268" i="2"/>
  <c r="J1267" i="2"/>
  <c r="I1267" i="2"/>
  <c r="J1266" i="2"/>
  <c r="I1266" i="2"/>
  <c r="J1265" i="2"/>
  <c r="I1265" i="2"/>
  <c r="J1264" i="2"/>
  <c r="I1264" i="2"/>
  <c r="J1263" i="2"/>
  <c r="I1263" i="2"/>
  <c r="J1262" i="2"/>
  <c r="I1262" i="2"/>
  <c r="J1261" i="2"/>
  <c r="I1261" i="2"/>
  <c r="J1260" i="2"/>
  <c r="I1260" i="2"/>
  <c r="J1259" i="2"/>
  <c r="I1259" i="2"/>
  <c r="J1258" i="2"/>
  <c r="I1258" i="2"/>
  <c r="J1257" i="2"/>
  <c r="I1257" i="2"/>
  <c r="J1256" i="2"/>
  <c r="I1256" i="2"/>
  <c r="J1255" i="2"/>
  <c r="I1255" i="2"/>
  <c r="J1254" i="2"/>
  <c r="I1254" i="2"/>
  <c r="J1253" i="2"/>
  <c r="I1253" i="2"/>
  <c r="J1252" i="2"/>
  <c r="I1252" i="2"/>
  <c r="J1251" i="2"/>
  <c r="I1251" i="2"/>
  <c r="J1250" i="2"/>
  <c r="I1250" i="2"/>
  <c r="J1249" i="2"/>
  <c r="I1249" i="2"/>
  <c r="J1248" i="2"/>
  <c r="I1248" i="2"/>
  <c r="J1247" i="2"/>
  <c r="I1247" i="2"/>
  <c r="J1246" i="2"/>
  <c r="I1246" i="2"/>
  <c r="J1245" i="2"/>
  <c r="I1245" i="2"/>
  <c r="J1244" i="2"/>
  <c r="I1244" i="2"/>
  <c r="J1243" i="2"/>
  <c r="I1243" i="2"/>
  <c r="J1242" i="2"/>
  <c r="I1242" i="2"/>
  <c r="J1241" i="2"/>
  <c r="I1241" i="2"/>
  <c r="J1240" i="2"/>
  <c r="I1240" i="2"/>
  <c r="J1239" i="2"/>
  <c r="I1239" i="2"/>
  <c r="J1238" i="2"/>
  <c r="I1238" i="2"/>
  <c r="J1237" i="2"/>
  <c r="I1237" i="2"/>
  <c r="J1236" i="2"/>
  <c r="I1236" i="2"/>
  <c r="J1235" i="2"/>
  <c r="I1235" i="2"/>
  <c r="J1234" i="2"/>
  <c r="I1234" i="2"/>
  <c r="J1233" i="2"/>
  <c r="I1233" i="2"/>
  <c r="J1232" i="2"/>
  <c r="I1232" i="2"/>
  <c r="J1231" i="2"/>
  <c r="I1231" i="2"/>
  <c r="J1230" i="2"/>
  <c r="I1230" i="2"/>
  <c r="J1229" i="2"/>
  <c r="I1229" i="2"/>
  <c r="J1228" i="2"/>
  <c r="I1228" i="2"/>
  <c r="J1227" i="2"/>
  <c r="I1227" i="2"/>
  <c r="J1226" i="2"/>
  <c r="I1226" i="2"/>
  <c r="J1225" i="2"/>
  <c r="I1225" i="2"/>
  <c r="J1224" i="2"/>
  <c r="I1224" i="2"/>
  <c r="J1223" i="2"/>
  <c r="I1223" i="2"/>
  <c r="J1222" i="2"/>
  <c r="I1222" i="2"/>
  <c r="J1221" i="2"/>
  <c r="I1221" i="2"/>
  <c r="J1220" i="2"/>
  <c r="I1220" i="2"/>
  <c r="J1219" i="2"/>
  <c r="I1219" i="2"/>
  <c r="J1218" i="2"/>
  <c r="I1218" i="2"/>
  <c r="J1217" i="2"/>
  <c r="I1217" i="2"/>
  <c r="J1216" i="2"/>
  <c r="I1216" i="2"/>
  <c r="J1215" i="2"/>
  <c r="I1215" i="2"/>
  <c r="J1214" i="2"/>
  <c r="I1214" i="2"/>
  <c r="J1213" i="2"/>
  <c r="I1213" i="2"/>
  <c r="J1212" i="2"/>
  <c r="I1212" i="2"/>
  <c r="J1211" i="2"/>
  <c r="I1211" i="2"/>
  <c r="J1210" i="2"/>
  <c r="I1210" i="2"/>
  <c r="J1209" i="2"/>
  <c r="I1209" i="2"/>
  <c r="J1208" i="2"/>
  <c r="I1208" i="2"/>
  <c r="J1207" i="2"/>
  <c r="I1207" i="2"/>
  <c r="J1206" i="2"/>
  <c r="I1206" i="2"/>
  <c r="J1205" i="2"/>
  <c r="I1205" i="2"/>
  <c r="J1204" i="2"/>
  <c r="I1204" i="2"/>
  <c r="J1203" i="2"/>
  <c r="I1203" i="2"/>
  <c r="J1202" i="2"/>
  <c r="I1202" i="2"/>
  <c r="J1201" i="2"/>
  <c r="I1201" i="2"/>
  <c r="J1200" i="2"/>
  <c r="I1200" i="2"/>
  <c r="J1199" i="2"/>
  <c r="I1199" i="2"/>
  <c r="J1198" i="2"/>
  <c r="I1198" i="2"/>
  <c r="J1197" i="2"/>
  <c r="I1197" i="2"/>
  <c r="J1196" i="2"/>
  <c r="I1196" i="2"/>
  <c r="J1195" i="2"/>
  <c r="I1195" i="2"/>
  <c r="J1194" i="2"/>
  <c r="I1194" i="2"/>
  <c r="J1193" i="2"/>
  <c r="I1193" i="2"/>
  <c r="J1192" i="2"/>
  <c r="I1192" i="2"/>
  <c r="J1191" i="2"/>
  <c r="I1191" i="2"/>
  <c r="J1190" i="2"/>
  <c r="I1190" i="2"/>
  <c r="J1189" i="2"/>
  <c r="I1189" i="2"/>
  <c r="J1188" i="2"/>
  <c r="I1188" i="2"/>
  <c r="J1187" i="2"/>
  <c r="I1187" i="2"/>
  <c r="J1186" i="2"/>
  <c r="I1186" i="2"/>
  <c r="J1185" i="2"/>
  <c r="I1185" i="2"/>
  <c r="J1184" i="2"/>
  <c r="I1184" i="2"/>
  <c r="J1183" i="2"/>
  <c r="I1183" i="2"/>
  <c r="J1182" i="2"/>
  <c r="I1182" i="2"/>
  <c r="J1181" i="2"/>
  <c r="I1181" i="2"/>
  <c r="J1180" i="2"/>
  <c r="I1180" i="2"/>
  <c r="J1179" i="2"/>
  <c r="I1179" i="2"/>
  <c r="J1178" i="2"/>
  <c r="I1178" i="2"/>
  <c r="J1177" i="2"/>
  <c r="I1177" i="2"/>
  <c r="J1176" i="2"/>
  <c r="I1176" i="2"/>
  <c r="J1175" i="2"/>
  <c r="I1175" i="2"/>
  <c r="J1174" i="2"/>
  <c r="I1174" i="2"/>
  <c r="J1173" i="2"/>
  <c r="I1173" i="2"/>
  <c r="J1172" i="2"/>
  <c r="I1172" i="2"/>
  <c r="J1171" i="2"/>
  <c r="I1171" i="2"/>
  <c r="J1170" i="2"/>
  <c r="I1170" i="2"/>
  <c r="J1169" i="2"/>
  <c r="I1169" i="2"/>
  <c r="J1168" i="2"/>
  <c r="I1168" i="2"/>
  <c r="J1167" i="2"/>
  <c r="I1167" i="2"/>
  <c r="J1166" i="2"/>
  <c r="I1166" i="2"/>
  <c r="J1165" i="2"/>
  <c r="I1165" i="2"/>
  <c r="J1164" i="2"/>
  <c r="I1164" i="2"/>
  <c r="J1163" i="2"/>
  <c r="I1163" i="2"/>
  <c r="J1162" i="2"/>
  <c r="I1162" i="2"/>
  <c r="J1161" i="2"/>
  <c r="I1161" i="2"/>
  <c r="J1160" i="2"/>
  <c r="I1160" i="2"/>
  <c r="J1159" i="2"/>
  <c r="I1159" i="2"/>
  <c r="J1158" i="2"/>
  <c r="I1158" i="2"/>
  <c r="J1157" i="2"/>
  <c r="I1157" i="2"/>
  <c r="J1156" i="2"/>
  <c r="I1156" i="2"/>
  <c r="J1155" i="2"/>
  <c r="I1155" i="2"/>
  <c r="J1154" i="2"/>
  <c r="I1154" i="2"/>
  <c r="J1153" i="2"/>
  <c r="I1153" i="2"/>
  <c r="J1152" i="2"/>
  <c r="I1152" i="2"/>
  <c r="J1151" i="2"/>
  <c r="I1151" i="2"/>
  <c r="J1150" i="2"/>
  <c r="I1150" i="2"/>
  <c r="J1149" i="2"/>
  <c r="I1149" i="2"/>
  <c r="J1148" i="2"/>
  <c r="I1148" i="2"/>
  <c r="J1147" i="2"/>
  <c r="I1147" i="2"/>
  <c r="J1146" i="2"/>
  <c r="I1146" i="2"/>
  <c r="J1145" i="2"/>
  <c r="I1145" i="2"/>
  <c r="J1144" i="2"/>
  <c r="I1144" i="2"/>
  <c r="J1143" i="2"/>
  <c r="I1143" i="2"/>
  <c r="J1142" i="2"/>
  <c r="I1142" i="2"/>
  <c r="J1141" i="2"/>
  <c r="I1141" i="2"/>
  <c r="J1140" i="2"/>
  <c r="I1140" i="2"/>
  <c r="J1139" i="2"/>
  <c r="I1139" i="2"/>
  <c r="J1138" i="2"/>
  <c r="I1138" i="2"/>
  <c r="J1137" i="2"/>
  <c r="I1137" i="2"/>
  <c r="J1136" i="2"/>
  <c r="I1136" i="2"/>
  <c r="J1135" i="2"/>
  <c r="I1135" i="2"/>
  <c r="J1134" i="2"/>
  <c r="I1134" i="2"/>
  <c r="J1133" i="2"/>
  <c r="I1133" i="2"/>
  <c r="J1132" i="2"/>
  <c r="I1132" i="2"/>
  <c r="J1131" i="2"/>
  <c r="I1131" i="2"/>
  <c r="J1130" i="2"/>
  <c r="I1130" i="2"/>
  <c r="J1129" i="2"/>
  <c r="I1129" i="2"/>
  <c r="J1128" i="2"/>
  <c r="I1128" i="2"/>
  <c r="J1127" i="2"/>
  <c r="I1127" i="2"/>
  <c r="J1126" i="2"/>
  <c r="I1126" i="2"/>
  <c r="J1125" i="2"/>
  <c r="I1125" i="2"/>
  <c r="J1124" i="2"/>
  <c r="I1124" i="2"/>
  <c r="J1123" i="2"/>
  <c r="I1123" i="2"/>
  <c r="J1122" i="2"/>
  <c r="I1122" i="2"/>
  <c r="J1121" i="2"/>
  <c r="I1121" i="2"/>
  <c r="J1120" i="2"/>
  <c r="I1120" i="2"/>
  <c r="J1119" i="2"/>
  <c r="I1119" i="2"/>
  <c r="J1118" i="2"/>
  <c r="I1118" i="2"/>
  <c r="J1117" i="2"/>
  <c r="I1117" i="2"/>
  <c r="J1116" i="2"/>
  <c r="I1116" i="2"/>
  <c r="J1115" i="2"/>
  <c r="I1115" i="2"/>
  <c r="J1114" i="2"/>
  <c r="I1114" i="2"/>
  <c r="J1113" i="2"/>
  <c r="I1113" i="2"/>
  <c r="J1112" i="2"/>
  <c r="I1112" i="2"/>
  <c r="J1111" i="2"/>
  <c r="I1111" i="2"/>
  <c r="J1110" i="2"/>
  <c r="I1110" i="2"/>
  <c r="J1109" i="2"/>
  <c r="I1109" i="2"/>
  <c r="J1108" i="2"/>
  <c r="I1108" i="2"/>
  <c r="J1107" i="2"/>
  <c r="I1107" i="2"/>
  <c r="J1106" i="2"/>
  <c r="I1106" i="2"/>
  <c r="J1105" i="2"/>
  <c r="I1105" i="2"/>
  <c r="J1104" i="2"/>
  <c r="I1104" i="2"/>
  <c r="J1103" i="2"/>
  <c r="I1103" i="2"/>
  <c r="J1102" i="2"/>
  <c r="I1102" i="2"/>
  <c r="J1101" i="2"/>
  <c r="I1101" i="2"/>
  <c r="J1100" i="2"/>
  <c r="I1100" i="2"/>
  <c r="J1099" i="2"/>
  <c r="I1099" i="2"/>
  <c r="J1098" i="2"/>
  <c r="I1098" i="2"/>
  <c r="J1097" i="2"/>
  <c r="I1097" i="2"/>
  <c r="J1096" i="2"/>
  <c r="I1096" i="2"/>
  <c r="J1095" i="2"/>
  <c r="I1095" i="2"/>
  <c r="J1094" i="2"/>
  <c r="I1094" i="2"/>
  <c r="J1093" i="2"/>
  <c r="I1093" i="2"/>
  <c r="J1092" i="2"/>
  <c r="I1092" i="2"/>
  <c r="J1091" i="2"/>
  <c r="I1091" i="2"/>
  <c r="J1090" i="2"/>
  <c r="I1090" i="2"/>
  <c r="J1089" i="2"/>
  <c r="I1089" i="2"/>
  <c r="J1088" i="2"/>
  <c r="I1088" i="2"/>
  <c r="J1087" i="2"/>
  <c r="I1087" i="2"/>
  <c r="J1086" i="2"/>
  <c r="I1086" i="2"/>
  <c r="J1085" i="2"/>
  <c r="I1085" i="2"/>
  <c r="J1084" i="2"/>
  <c r="I1084" i="2"/>
  <c r="J1083" i="2"/>
  <c r="I1083" i="2"/>
  <c r="J1082" i="2"/>
  <c r="I1082" i="2"/>
  <c r="J1081" i="2"/>
  <c r="I1081" i="2"/>
  <c r="J1080" i="2"/>
  <c r="I1080" i="2"/>
  <c r="J1079" i="2"/>
  <c r="I1079" i="2"/>
  <c r="J1078" i="2"/>
  <c r="I1078" i="2"/>
  <c r="J1077" i="2"/>
  <c r="I1077" i="2"/>
  <c r="J1076" i="2"/>
  <c r="I1076" i="2"/>
  <c r="J1075" i="2"/>
  <c r="I1075" i="2"/>
  <c r="J1074" i="2"/>
  <c r="I1074" i="2"/>
  <c r="J1073" i="2"/>
  <c r="I1073" i="2"/>
  <c r="J1072" i="2"/>
  <c r="I1072" i="2"/>
  <c r="J1071" i="2"/>
  <c r="I1071" i="2"/>
  <c r="J1070" i="2"/>
  <c r="I1070" i="2"/>
  <c r="J1069" i="2"/>
  <c r="I1069" i="2"/>
  <c r="J1068" i="2"/>
  <c r="I1068" i="2"/>
  <c r="J1067" i="2"/>
  <c r="I1067" i="2"/>
  <c r="J1066" i="2"/>
  <c r="I1066" i="2"/>
  <c r="J1065" i="2"/>
  <c r="I1065" i="2"/>
  <c r="J1064" i="2"/>
  <c r="I1064" i="2"/>
  <c r="J1063" i="2"/>
  <c r="I1063" i="2"/>
  <c r="J1062" i="2"/>
  <c r="I1062" i="2"/>
  <c r="J1061" i="2"/>
  <c r="I1061" i="2"/>
  <c r="J1060" i="2"/>
  <c r="I1060" i="2"/>
  <c r="J1059" i="2"/>
  <c r="I1059" i="2"/>
  <c r="J1058" i="2"/>
  <c r="I1058" i="2"/>
  <c r="J1057" i="2"/>
  <c r="I1057" i="2"/>
  <c r="J1056" i="2"/>
  <c r="I1056" i="2"/>
  <c r="J1055" i="2"/>
  <c r="I1055" i="2"/>
  <c r="J1054" i="2"/>
  <c r="I1054" i="2"/>
  <c r="J1053" i="2"/>
  <c r="I1053" i="2"/>
  <c r="J1052" i="2"/>
  <c r="I1052" i="2"/>
  <c r="J1051" i="2"/>
  <c r="I1051" i="2"/>
  <c r="J1050" i="2"/>
  <c r="I1050" i="2"/>
  <c r="J1049" i="2"/>
  <c r="I1049" i="2"/>
  <c r="J1048" i="2"/>
  <c r="I1048" i="2"/>
  <c r="J1047" i="2"/>
  <c r="I1047" i="2"/>
  <c r="J1046" i="2"/>
  <c r="I1046" i="2"/>
  <c r="J1045" i="2"/>
  <c r="I1045" i="2"/>
  <c r="J1044" i="2"/>
  <c r="I1044" i="2"/>
  <c r="J1043" i="2"/>
  <c r="I1043" i="2"/>
  <c r="J1042" i="2"/>
  <c r="I1042" i="2"/>
  <c r="J1041" i="2"/>
  <c r="I1041" i="2"/>
  <c r="J1040" i="2"/>
  <c r="I1040" i="2"/>
  <c r="J1039" i="2"/>
  <c r="I1039" i="2"/>
  <c r="J1038" i="2"/>
  <c r="I1038" i="2"/>
  <c r="J1037" i="2"/>
  <c r="I1037" i="2"/>
  <c r="J1036" i="2"/>
  <c r="I1036" i="2"/>
  <c r="J1035" i="2"/>
  <c r="I1035" i="2"/>
  <c r="J1034" i="2"/>
  <c r="I1034" i="2"/>
  <c r="J1033" i="2"/>
  <c r="I1033" i="2"/>
  <c r="J1032" i="2"/>
  <c r="I1032" i="2"/>
  <c r="J1031" i="2"/>
  <c r="I1031" i="2"/>
  <c r="J1030" i="2"/>
  <c r="I1030" i="2"/>
  <c r="J1029" i="2"/>
  <c r="I1029" i="2"/>
  <c r="J1028" i="2"/>
  <c r="I1028" i="2"/>
  <c r="J1027" i="2"/>
  <c r="I1027" i="2"/>
  <c r="J1026" i="2"/>
  <c r="I1026" i="2"/>
  <c r="J1025" i="2"/>
  <c r="I1025" i="2"/>
  <c r="J1024" i="2"/>
  <c r="I1024" i="2"/>
  <c r="J1023" i="2"/>
  <c r="I1023" i="2"/>
  <c r="J1022" i="2"/>
  <c r="I1022" i="2"/>
  <c r="J1021" i="2"/>
  <c r="I1021" i="2"/>
  <c r="J1020" i="2"/>
  <c r="I1020" i="2"/>
  <c r="J1019" i="2"/>
  <c r="I1019" i="2"/>
  <c r="J1018" i="2"/>
  <c r="I1018" i="2"/>
  <c r="J1017" i="2"/>
  <c r="I1017" i="2"/>
  <c r="J1016" i="2"/>
  <c r="I1016" i="2"/>
  <c r="J1015" i="2"/>
  <c r="I1015" i="2"/>
  <c r="J1014" i="2"/>
  <c r="I1014" i="2"/>
  <c r="J1013" i="2"/>
  <c r="I1013" i="2"/>
  <c r="J1012" i="2"/>
  <c r="I1012" i="2"/>
  <c r="J1011" i="2"/>
  <c r="I1011" i="2"/>
  <c r="J1010" i="2"/>
  <c r="I1010" i="2"/>
  <c r="J1009" i="2"/>
  <c r="I1009" i="2"/>
  <c r="J1008" i="2"/>
  <c r="I1008" i="2"/>
  <c r="J1007" i="2"/>
  <c r="I1007" i="2"/>
  <c r="J1006" i="2"/>
  <c r="I1006" i="2"/>
  <c r="J1005" i="2"/>
  <c r="I1005" i="2"/>
  <c r="J1004" i="2"/>
  <c r="I1004" i="2"/>
  <c r="J1003" i="2"/>
  <c r="I1003" i="2"/>
  <c r="J1002" i="2"/>
  <c r="I1002" i="2"/>
  <c r="J1001" i="2"/>
  <c r="I1001" i="2"/>
  <c r="J1000" i="2"/>
  <c r="I1000" i="2"/>
  <c r="J999" i="2"/>
  <c r="I999" i="2"/>
  <c r="J998" i="2"/>
  <c r="I998" i="2"/>
  <c r="J997" i="2"/>
  <c r="I997" i="2"/>
  <c r="J996" i="2"/>
  <c r="I996" i="2"/>
  <c r="J995" i="2"/>
  <c r="I995" i="2"/>
  <c r="J994" i="2"/>
  <c r="I994" i="2"/>
  <c r="J993" i="2"/>
  <c r="I993" i="2"/>
  <c r="J992" i="2"/>
  <c r="I992" i="2"/>
  <c r="J991" i="2"/>
  <c r="I991" i="2"/>
  <c r="J990" i="2"/>
  <c r="I990" i="2"/>
  <c r="J989" i="2"/>
  <c r="I989" i="2"/>
  <c r="J988" i="2"/>
  <c r="I988" i="2"/>
  <c r="J987" i="2"/>
  <c r="I987" i="2"/>
  <c r="J986" i="2"/>
  <c r="I986" i="2"/>
  <c r="J985" i="2"/>
  <c r="I985" i="2"/>
  <c r="J984" i="2"/>
  <c r="I984" i="2"/>
  <c r="J983" i="2"/>
  <c r="I983" i="2"/>
  <c r="J982" i="2"/>
  <c r="I982" i="2"/>
  <c r="J981" i="2"/>
  <c r="I981" i="2"/>
  <c r="J980" i="2"/>
  <c r="I980" i="2"/>
  <c r="J979" i="2"/>
  <c r="I979" i="2"/>
  <c r="J978" i="2"/>
  <c r="I978" i="2"/>
  <c r="J977" i="2"/>
  <c r="I977" i="2"/>
  <c r="J976" i="2"/>
  <c r="I976" i="2"/>
  <c r="J975" i="2"/>
  <c r="I975" i="2"/>
  <c r="J974" i="2"/>
  <c r="I974" i="2"/>
  <c r="J973" i="2"/>
  <c r="I973" i="2"/>
  <c r="J972" i="2"/>
  <c r="I972" i="2"/>
  <c r="J971" i="2"/>
  <c r="I971" i="2"/>
  <c r="J970" i="2"/>
  <c r="I970" i="2"/>
  <c r="J969" i="2"/>
  <c r="I969" i="2"/>
  <c r="J968" i="2"/>
  <c r="I968" i="2"/>
  <c r="J967" i="2"/>
  <c r="I967" i="2"/>
  <c r="J966" i="2"/>
  <c r="I966" i="2"/>
  <c r="J965" i="2"/>
  <c r="I965" i="2"/>
  <c r="J964" i="2"/>
  <c r="I964" i="2"/>
  <c r="J963" i="2"/>
  <c r="I963" i="2"/>
  <c r="J962" i="2"/>
  <c r="I962" i="2"/>
  <c r="J961" i="2"/>
  <c r="I961" i="2"/>
  <c r="J960" i="2"/>
  <c r="I960" i="2"/>
  <c r="J959" i="2"/>
  <c r="I959" i="2"/>
  <c r="J958" i="2"/>
  <c r="I958" i="2"/>
  <c r="J957" i="2"/>
  <c r="I957" i="2"/>
  <c r="J956" i="2"/>
  <c r="I956" i="2"/>
  <c r="J955" i="2"/>
  <c r="I955" i="2"/>
  <c r="J954" i="2"/>
  <c r="I954" i="2"/>
  <c r="J953" i="2"/>
  <c r="I953" i="2"/>
  <c r="J952" i="2"/>
  <c r="I952" i="2"/>
  <c r="J951" i="2"/>
  <c r="I951" i="2"/>
  <c r="J950" i="2"/>
  <c r="I950" i="2"/>
  <c r="J949" i="2"/>
  <c r="I949" i="2"/>
  <c r="J948" i="2"/>
  <c r="I948" i="2"/>
  <c r="J947" i="2"/>
  <c r="I947" i="2"/>
  <c r="J946" i="2"/>
  <c r="I946" i="2"/>
  <c r="J945" i="2"/>
  <c r="I945" i="2"/>
  <c r="J944" i="2"/>
  <c r="I944" i="2"/>
  <c r="J943" i="2"/>
  <c r="I943" i="2"/>
  <c r="J942" i="2"/>
  <c r="I942" i="2"/>
  <c r="J941" i="2"/>
  <c r="I941" i="2"/>
  <c r="J940" i="2"/>
  <c r="I940" i="2"/>
  <c r="J939" i="2"/>
  <c r="I939" i="2"/>
  <c r="J938" i="2"/>
  <c r="I938" i="2"/>
  <c r="J937" i="2"/>
  <c r="I937" i="2"/>
  <c r="J936" i="2"/>
  <c r="I936" i="2"/>
  <c r="J935" i="2"/>
  <c r="I935" i="2"/>
  <c r="J934" i="2"/>
  <c r="I934" i="2"/>
  <c r="J933" i="2"/>
  <c r="I933" i="2"/>
  <c r="J932" i="2"/>
  <c r="I932" i="2"/>
  <c r="J931" i="2"/>
  <c r="I931" i="2"/>
  <c r="J930" i="2"/>
  <c r="I930" i="2"/>
  <c r="J929" i="2"/>
  <c r="I929" i="2"/>
  <c r="J928" i="2"/>
  <c r="I928" i="2"/>
  <c r="J927" i="2"/>
  <c r="I927" i="2"/>
  <c r="J926" i="2"/>
  <c r="I926" i="2"/>
  <c r="J925" i="2"/>
  <c r="I925" i="2"/>
  <c r="J924" i="2"/>
  <c r="I924" i="2"/>
  <c r="J923" i="2"/>
  <c r="I923" i="2"/>
  <c r="J922" i="2"/>
  <c r="I922" i="2"/>
  <c r="J921" i="2"/>
  <c r="I921" i="2"/>
  <c r="J920" i="2"/>
  <c r="I920" i="2"/>
  <c r="J919" i="2"/>
  <c r="I919" i="2"/>
  <c r="J918" i="2"/>
  <c r="I918" i="2"/>
  <c r="J917" i="2"/>
  <c r="I917" i="2"/>
  <c r="J916" i="2"/>
  <c r="I916" i="2"/>
  <c r="J915" i="2"/>
  <c r="I915" i="2"/>
  <c r="J914" i="2"/>
  <c r="I914" i="2"/>
  <c r="J913" i="2"/>
  <c r="I913" i="2"/>
  <c r="J912" i="2"/>
  <c r="I912" i="2"/>
  <c r="J911" i="2"/>
  <c r="I911" i="2"/>
  <c r="J910" i="2"/>
  <c r="I910" i="2"/>
  <c r="J909" i="2"/>
  <c r="I909" i="2"/>
  <c r="J908" i="2"/>
  <c r="I908" i="2"/>
  <c r="J907" i="2"/>
  <c r="I907" i="2"/>
  <c r="J906" i="2"/>
  <c r="I906" i="2"/>
  <c r="J905" i="2"/>
  <c r="I905" i="2"/>
  <c r="J904" i="2"/>
  <c r="I904" i="2"/>
  <c r="J903" i="2"/>
  <c r="I903" i="2"/>
  <c r="J902" i="2"/>
  <c r="I902" i="2"/>
  <c r="J901" i="2"/>
  <c r="I901" i="2"/>
  <c r="J900" i="2"/>
  <c r="I900" i="2"/>
  <c r="J899" i="2"/>
  <c r="I899" i="2"/>
  <c r="J898" i="2"/>
  <c r="I898" i="2"/>
  <c r="J897" i="2"/>
  <c r="I897" i="2"/>
  <c r="J896" i="2"/>
  <c r="I896" i="2"/>
  <c r="J895" i="2"/>
  <c r="I895" i="2"/>
  <c r="J894" i="2"/>
  <c r="I894" i="2"/>
  <c r="J893" i="2"/>
  <c r="I893" i="2"/>
  <c r="J892" i="2"/>
  <c r="I892" i="2"/>
  <c r="J891" i="2"/>
  <c r="I891" i="2"/>
  <c r="J890" i="2"/>
  <c r="I890" i="2"/>
  <c r="J889" i="2"/>
  <c r="I889" i="2"/>
  <c r="J888" i="2"/>
  <c r="I888" i="2"/>
  <c r="J887" i="2"/>
  <c r="I887" i="2"/>
  <c r="J886" i="2"/>
  <c r="I886" i="2"/>
  <c r="J885" i="2"/>
  <c r="I885" i="2"/>
  <c r="J884" i="2"/>
  <c r="I884" i="2"/>
  <c r="J883" i="2"/>
  <c r="I883" i="2"/>
  <c r="J882" i="2"/>
  <c r="I882" i="2"/>
  <c r="J881" i="2"/>
  <c r="I881" i="2"/>
  <c r="J880" i="2"/>
  <c r="I880" i="2"/>
  <c r="J879" i="2"/>
  <c r="I879" i="2"/>
  <c r="J878" i="2"/>
  <c r="I878" i="2"/>
  <c r="J877" i="2"/>
  <c r="I877" i="2"/>
  <c r="J876" i="2"/>
  <c r="I876" i="2"/>
  <c r="J875" i="2"/>
  <c r="I875" i="2"/>
  <c r="J874" i="2"/>
  <c r="I874" i="2"/>
  <c r="J873" i="2"/>
  <c r="I873" i="2"/>
  <c r="J872" i="2"/>
  <c r="I872" i="2"/>
  <c r="J871" i="2"/>
  <c r="I871" i="2"/>
  <c r="J870" i="2"/>
  <c r="I870" i="2"/>
  <c r="J869" i="2"/>
  <c r="I869" i="2"/>
  <c r="J868" i="2"/>
  <c r="I868" i="2"/>
  <c r="J867" i="2"/>
  <c r="I867" i="2"/>
  <c r="J866" i="2"/>
  <c r="I866" i="2"/>
  <c r="J865" i="2"/>
  <c r="I865" i="2"/>
  <c r="J864" i="2"/>
  <c r="I864" i="2"/>
  <c r="J863" i="2"/>
  <c r="I863" i="2"/>
  <c r="J862" i="2"/>
  <c r="I862" i="2"/>
  <c r="J861" i="2"/>
  <c r="I861" i="2"/>
  <c r="J860" i="2"/>
  <c r="I860" i="2"/>
  <c r="J859" i="2"/>
  <c r="I859" i="2"/>
  <c r="J858" i="2"/>
  <c r="I858" i="2"/>
  <c r="J857" i="2"/>
  <c r="I857" i="2"/>
  <c r="J856" i="2"/>
  <c r="I856" i="2"/>
  <c r="J855" i="2"/>
  <c r="I855" i="2"/>
  <c r="J854" i="2"/>
  <c r="I854" i="2"/>
  <c r="J853" i="2"/>
  <c r="I853" i="2"/>
  <c r="J852" i="2"/>
  <c r="I852" i="2"/>
  <c r="J851" i="2"/>
  <c r="I851" i="2"/>
  <c r="J850" i="2"/>
  <c r="I850" i="2"/>
  <c r="J849" i="2"/>
  <c r="I849" i="2"/>
  <c r="J848" i="2"/>
  <c r="I848" i="2"/>
  <c r="J847" i="2"/>
  <c r="I847" i="2"/>
  <c r="J846" i="2"/>
  <c r="I846" i="2"/>
  <c r="J845" i="2"/>
  <c r="I845" i="2"/>
  <c r="J844" i="2"/>
  <c r="I844" i="2"/>
  <c r="J843" i="2"/>
  <c r="I843" i="2"/>
  <c r="J842" i="2"/>
  <c r="I842" i="2"/>
  <c r="J841" i="2"/>
  <c r="I841" i="2"/>
  <c r="J840" i="2"/>
  <c r="I840" i="2"/>
  <c r="J839" i="2"/>
  <c r="I839" i="2"/>
  <c r="J838" i="2"/>
  <c r="I838" i="2"/>
  <c r="J837" i="2"/>
  <c r="I837" i="2"/>
  <c r="J836" i="2"/>
  <c r="I836" i="2"/>
  <c r="J835" i="2"/>
  <c r="I835" i="2"/>
  <c r="J834" i="2"/>
  <c r="I834" i="2"/>
  <c r="J833" i="2"/>
  <c r="I833" i="2"/>
  <c r="J832" i="2"/>
  <c r="I832" i="2"/>
  <c r="J831" i="2"/>
  <c r="I831" i="2"/>
  <c r="J830" i="2"/>
  <c r="I830" i="2"/>
  <c r="J829" i="2"/>
  <c r="I829" i="2"/>
  <c r="J828" i="2"/>
  <c r="I828" i="2"/>
  <c r="J827" i="2"/>
  <c r="I827" i="2"/>
  <c r="J826" i="2"/>
  <c r="I826" i="2"/>
  <c r="J825" i="2"/>
  <c r="I825" i="2"/>
  <c r="J824" i="2"/>
  <c r="I824" i="2"/>
  <c r="J823" i="2"/>
  <c r="I823" i="2"/>
  <c r="J822" i="2"/>
  <c r="I822" i="2"/>
  <c r="J821" i="2"/>
  <c r="I821" i="2"/>
  <c r="J820" i="2"/>
  <c r="I820" i="2"/>
  <c r="J819" i="2"/>
  <c r="I819" i="2"/>
  <c r="J818" i="2"/>
  <c r="I818" i="2"/>
  <c r="J817" i="2"/>
  <c r="I817" i="2"/>
  <c r="J816" i="2"/>
  <c r="I816" i="2"/>
  <c r="J815" i="2"/>
  <c r="I815" i="2"/>
  <c r="J814" i="2"/>
  <c r="I814" i="2"/>
  <c r="J813" i="2"/>
  <c r="I813" i="2"/>
  <c r="J812" i="2"/>
  <c r="I812" i="2"/>
  <c r="J811" i="2"/>
  <c r="I811" i="2"/>
  <c r="J810" i="2"/>
  <c r="I810" i="2"/>
  <c r="J809" i="2"/>
  <c r="I809" i="2"/>
  <c r="J808" i="2"/>
  <c r="I808" i="2"/>
  <c r="J807" i="2"/>
  <c r="I807" i="2"/>
  <c r="J806" i="2"/>
  <c r="I806" i="2"/>
  <c r="J805" i="2"/>
  <c r="I805" i="2"/>
  <c r="J804" i="2"/>
  <c r="I804" i="2"/>
  <c r="J803" i="2"/>
  <c r="I803" i="2"/>
  <c r="J802" i="2"/>
  <c r="I802" i="2"/>
  <c r="J801" i="2"/>
  <c r="I801" i="2"/>
  <c r="J800" i="2"/>
  <c r="I800" i="2"/>
  <c r="J799" i="2"/>
  <c r="I799" i="2"/>
  <c r="J798" i="2"/>
  <c r="I798" i="2"/>
  <c r="J797" i="2"/>
  <c r="I797" i="2"/>
  <c r="J796" i="2"/>
  <c r="I796" i="2"/>
  <c r="J795" i="2"/>
  <c r="I795" i="2"/>
  <c r="J794" i="2"/>
  <c r="I794" i="2"/>
  <c r="J793" i="2"/>
  <c r="I793" i="2"/>
  <c r="J792" i="2"/>
  <c r="I792" i="2"/>
  <c r="J791" i="2"/>
  <c r="I791" i="2"/>
  <c r="J790" i="2"/>
  <c r="I790" i="2"/>
  <c r="J789" i="2"/>
  <c r="I789" i="2"/>
  <c r="J788" i="2"/>
  <c r="I788" i="2"/>
  <c r="J787" i="2"/>
  <c r="I787" i="2"/>
  <c r="J786" i="2"/>
  <c r="I786" i="2"/>
  <c r="J785" i="2"/>
  <c r="I785" i="2"/>
  <c r="J784" i="2"/>
  <c r="I784" i="2"/>
  <c r="J783" i="2"/>
  <c r="I783" i="2"/>
  <c r="J782" i="2"/>
  <c r="I782" i="2"/>
  <c r="J781" i="2"/>
  <c r="I781" i="2"/>
  <c r="J780" i="2"/>
  <c r="I780" i="2"/>
  <c r="J779" i="2"/>
  <c r="I779" i="2"/>
  <c r="J778" i="2"/>
  <c r="I778" i="2"/>
  <c r="J777" i="2"/>
  <c r="I777" i="2"/>
  <c r="J776" i="2"/>
  <c r="I776" i="2"/>
  <c r="J775" i="2"/>
  <c r="I775" i="2"/>
  <c r="J774" i="2"/>
  <c r="I774" i="2"/>
  <c r="J773" i="2"/>
  <c r="I773" i="2"/>
  <c r="J772" i="2"/>
  <c r="I772" i="2"/>
  <c r="J771" i="2"/>
  <c r="I771" i="2"/>
  <c r="J770" i="2"/>
  <c r="I770" i="2"/>
  <c r="J769" i="2"/>
  <c r="I769" i="2"/>
  <c r="J768" i="2"/>
  <c r="I768" i="2"/>
  <c r="J767" i="2"/>
  <c r="I767" i="2"/>
  <c r="J766" i="2"/>
  <c r="I766" i="2"/>
  <c r="J765" i="2"/>
  <c r="I765" i="2"/>
  <c r="J764" i="2"/>
  <c r="I764" i="2"/>
  <c r="J763" i="2"/>
  <c r="I763" i="2"/>
  <c r="J762" i="2"/>
  <c r="I762" i="2"/>
  <c r="J761" i="2"/>
  <c r="I761" i="2"/>
  <c r="J760" i="2"/>
  <c r="I760" i="2"/>
  <c r="J759" i="2"/>
  <c r="I759" i="2"/>
  <c r="J758" i="2"/>
  <c r="I758" i="2"/>
  <c r="J757" i="2"/>
  <c r="I757" i="2"/>
  <c r="J756" i="2"/>
  <c r="I756" i="2"/>
  <c r="J755" i="2"/>
  <c r="I755" i="2"/>
  <c r="J754" i="2"/>
  <c r="I754" i="2"/>
  <c r="J753" i="2"/>
  <c r="I753" i="2"/>
  <c r="J752" i="2"/>
  <c r="I752" i="2"/>
  <c r="J751" i="2"/>
  <c r="I751" i="2"/>
  <c r="J750" i="2"/>
  <c r="I750" i="2"/>
  <c r="J749" i="2"/>
  <c r="I749" i="2"/>
  <c r="J748" i="2"/>
  <c r="I748" i="2"/>
  <c r="J747" i="2"/>
  <c r="I747" i="2"/>
  <c r="J746" i="2"/>
  <c r="I746" i="2"/>
  <c r="J745" i="2"/>
  <c r="I745" i="2"/>
  <c r="J744" i="2"/>
  <c r="I744" i="2"/>
  <c r="J743" i="2"/>
  <c r="I743" i="2"/>
  <c r="J742" i="2"/>
  <c r="I742" i="2"/>
  <c r="J741" i="2"/>
  <c r="I741" i="2"/>
  <c r="J740" i="2"/>
  <c r="I740" i="2"/>
  <c r="J739" i="2"/>
  <c r="I739" i="2"/>
  <c r="J738" i="2"/>
  <c r="I738" i="2"/>
  <c r="J737" i="2"/>
  <c r="I737" i="2"/>
  <c r="J736" i="2"/>
  <c r="I736" i="2"/>
  <c r="J735" i="2"/>
  <c r="I735" i="2"/>
  <c r="J734" i="2"/>
  <c r="I734" i="2"/>
  <c r="J733" i="2"/>
  <c r="I733" i="2"/>
  <c r="J732" i="2"/>
  <c r="I732" i="2"/>
  <c r="J731" i="2"/>
  <c r="I731" i="2"/>
  <c r="J730" i="2"/>
  <c r="I730" i="2"/>
  <c r="J729" i="2"/>
  <c r="I729" i="2"/>
  <c r="J728" i="2"/>
  <c r="I728" i="2"/>
  <c r="J727" i="2"/>
  <c r="I727" i="2"/>
  <c r="J726" i="2"/>
  <c r="I726" i="2"/>
  <c r="J725" i="2"/>
  <c r="I725" i="2"/>
  <c r="J724" i="2"/>
  <c r="I724" i="2"/>
  <c r="J723" i="2"/>
  <c r="I723" i="2"/>
  <c r="J722" i="2"/>
  <c r="I722" i="2"/>
  <c r="J721" i="2"/>
  <c r="I721" i="2"/>
  <c r="J720" i="2"/>
  <c r="I720" i="2"/>
  <c r="J719" i="2"/>
  <c r="I719" i="2"/>
  <c r="J718" i="2"/>
  <c r="I718" i="2"/>
  <c r="J717" i="2"/>
  <c r="I717" i="2"/>
  <c r="J716" i="2"/>
  <c r="I716" i="2"/>
  <c r="J715" i="2"/>
  <c r="I715" i="2"/>
  <c r="J714" i="2"/>
  <c r="I714" i="2"/>
  <c r="J713" i="2"/>
  <c r="I713" i="2"/>
  <c r="J712" i="2"/>
  <c r="I712" i="2"/>
  <c r="J711" i="2"/>
  <c r="I711" i="2"/>
  <c r="J710" i="2"/>
  <c r="I710" i="2"/>
  <c r="J709" i="2"/>
  <c r="I709" i="2"/>
  <c r="J708" i="2"/>
  <c r="I708" i="2"/>
  <c r="J707" i="2"/>
  <c r="I707" i="2"/>
  <c r="J706" i="2"/>
  <c r="I706" i="2"/>
  <c r="J705" i="2"/>
  <c r="I705" i="2"/>
  <c r="J704" i="2"/>
  <c r="I704" i="2"/>
  <c r="J703" i="2"/>
  <c r="I703" i="2"/>
  <c r="J702" i="2"/>
  <c r="I702" i="2"/>
  <c r="J701" i="2"/>
  <c r="I701" i="2"/>
  <c r="J700" i="2"/>
  <c r="I700" i="2"/>
  <c r="J699" i="2"/>
  <c r="I699" i="2"/>
  <c r="J698" i="2"/>
  <c r="I698" i="2"/>
  <c r="J697" i="2"/>
  <c r="I697" i="2"/>
  <c r="J696" i="2"/>
  <c r="I696" i="2"/>
  <c r="J695" i="2"/>
  <c r="I695" i="2"/>
  <c r="J694" i="2"/>
  <c r="I694" i="2"/>
  <c r="J693" i="2"/>
  <c r="I693" i="2"/>
  <c r="J692" i="2"/>
  <c r="I692" i="2"/>
  <c r="J691" i="2"/>
  <c r="I691" i="2"/>
  <c r="J690" i="2"/>
  <c r="I690" i="2"/>
  <c r="J689" i="2"/>
  <c r="I689" i="2"/>
  <c r="J688" i="2"/>
  <c r="I688" i="2"/>
  <c r="J687" i="2"/>
  <c r="I687" i="2"/>
  <c r="J686" i="2"/>
  <c r="I686" i="2"/>
  <c r="J685" i="2"/>
  <c r="I685" i="2"/>
  <c r="J684" i="2"/>
  <c r="I684" i="2"/>
  <c r="J683" i="2"/>
  <c r="I683" i="2"/>
  <c r="J682" i="2"/>
  <c r="I682" i="2"/>
  <c r="J681" i="2"/>
  <c r="I681" i="2"/>
  <c r="J680" i="2"/>
  <c r="I680" i="2"/>
  <c r="J679" i="2"/>
  <c r="I679" i="2"/>
  <c r="J678" i="2"/>
  <c r="I678" i="2"/>
  <c r="J677" i="2"/>
  <c r="I677" i="2"/>
  <c r="J676" i="2"/>
  <c r="I676" i="2"/>
  <c r="J675" i="2"/>
  <c r="I675" i="2"/>
  <c r="J674" i="2"/>
  <c r="I674" i="2"/>
  <c r="J673" i="2"/>
  <c r="I673" i="2"/>
  <c r="J672" i="2"/>
  <c r="I672" i="2"/>
  <c r="J671" i="2"/>
  <c r="I671" i="2"/>
  <c r="J670" i="2"/>
  <c r="I670" i="2"/>
  <c r="J669" i="2"/>
  <c r="I669" i="2"/>
  <c r="J668" i="2"/>
  <c r="I668" i="2"/>
  <c r="J667" i="2"/>
  <c r="I667" i="2"/>
  <c r="J666" i="2"/>
  <c r="I666" i="2"/>
  <c r="J665" i="2"/>
  <c r="I665" i="2"/>
  <c r="J664" i="2"/>
  <c r="I664" i="2"/>
  <c r="J663" i="2"/>
  <c r="I663" i="2"/>
  <c r="J662" i="2"/>
  <c r="I662" i="2"/>
  <c r="J661" i="2"/>
  <c r="I661" i="2"/>
  <c r="J660" i="2"/>
  <c r="I660" i="2"/>
  <c r="J659" i="2"/>
  <c r="I659" i="2"/>
  <c r="J658" i="2"/>
  <c r="I658" i="2"/>
  <c r="J657" i="2"/>
  <c r="I657" i="2"/>
  <c r="J656" i="2"/>
  <c r="I656" i="2"/>
  <c r="J655" i="2"/>
  <c r="I655" i="2"/>
  <c r="J654" i="2"/>
  <c r="I654" i="2"/>
  <c r="J653" i="2"/>
  <c r="I653" i="2"/>
  <c r="J652" i="2"/>
  <c r="I652" i="2"/>
  <c r="J651" i="2"/>
  <c r="I651" i="2"/>
  <c r="J650" i="2"/>
  <c r="I650" i="2"/>
  <c r="J649" i="2"/>
  <c r="I649" i="2"/>
  <c r="J648" i="2"/>
  <c r="I648" i="2"/>
  <c r="J647" i="2"/>
  <c r="I647" i="2"/>
  <c r="J646" i="2"/>
  <c r="I646" i="2"/>
  <c r="J645" i="2"/>
  <c r="I645" i="2"/>
  <c r="J644" i="2"/>
  <c r="I644" i="2"/>
  <c r="J643" i="2"/>
  <c r="I643" i="2"/>
  <c r="J642" i="2"/>
  <c r="I642" i="2"/>
  <c r="J641" i="2"/>
  <c r="I641" i="2"/>
  <c r="J640" i="2"/>
  <c r="I640" i="2"/>
  <c r="J639" i="2"/>
  <c r="I639" i="2"/>
  <c r="J638" i="2"/>
  <c r="I638" i="2"/>
  <c r="J637" i="2"/>
  <c r="I637" i="2"/>
  <c r="J636" i="2"/>
  <c r="I636" i="2"/>
  <c r="J635" i="2"/>
  <c r="I635" i="2"/>
  <c r="J634" i="2"/>
  <c r="I634" i="2"/>
  <c r="J633" i="2"/>
  <c r="I633" i="2"/>
  <c r="J632" i="2"/>
  <c r="I632" i="2"/>
  <c r="J631" i="2"/>
  <c r="I631" i="2"/>
  <c r="J630" i="2"/>
  <c r="I630" i="2"/>
  <c r="J629" i="2"/>
  <c r="I629" i="2"/>
  <c r="J628" i="2"/>
  <c r="I628" i="2"/>
  <c r="J627" i="2"/>
  <c r="I627" i="2"/>
  <c r="J626" i="2"/>
  <c r="I626" i="2"/>
  <c r="J625" i="2"/>
  <c r="I625" i="2"/>
  <c r="J624" i="2"/>
  <c r="I624" i="2"/>
  <c r="J623" i="2"/>
  <c r="I623" i="2"/>
  <c r="J622" i="2"/>
  <c r="I622" i="2"/>
  <c r="J621" i="2"/>
  <c r="I621" i="2"/>
  <c r="J620" i="2"/>
  <c r="I620" i="2"/>
  <c r="J619" i="2"/>
  <c r="I619" i="2"/>
  <c r="J618" i="2"/>
  <c r="I618" i="2"/>
  <c r="J617" i="2"/>
  <c r="I617" i="2"/>
  <c r="J616" i="2"/>
  <c r="I616" i="2"/>
  <c r="J615" i="2"/>
  <c r="I615" i="2"/>
  <c r="J614" i="2"/>
  <c r="I614" i="2"/>
  <c r="J613" i="2"/>
  <c r="I613" i="2"/>
  <c r="J612" i="2"/>
  <c r="I612" i="2"/>
  <c r="J611" i="2"/>
  <c r="I611" i="2"/>
  <c r="J610" i="2"/>
  <c r="I610" i="2"/>
  <c r="J609" i="2"/>
  <c r="I609" i="2"/>
  <c r="J608" i="2"/>
  <c r="I608" i="2"/>
  <c r="J607" i="2"/>
  <c r="I607" i="2"/>
  <c r="J606" i="2"/>
  <c r="I606" i="2"/>
  <c r="J605" i="2"/>
  <c r="I605" i="2"/>
  <c r="J604" i="2"/>
  <c r="I604" i="2"/>
  <c r="J603" i="2"/>
  <c r="I603" i="2"/>
  <c r="J602" i="2"/>
  <c r="I602" i="2"/>
  <c r="J601" i="2"/>
  <c r="I601" i="2"/>
  <c r="J600" i="2"/>
  <c r="I600" i="2"/>
  <c r="J599" i="2"/>
  <c r="I599" i="2"/>
  <c r="J598" i="2"/>
  <c r="I598" i="2"/>
  <c r="J597" i="2"/>
  <c r="I597" i="2"/>
  <c r="J596" i="2"/>
  <c r="I596" i="2"/>
  <c r="J595" i="2"/>
  <c r="I595" i="2"/>
  <c r="J594" i="2"/>
  <c r="I594" i="2"/>
  <c r="J593" i="2"/>
  <c r="I593" i="2"/>
  <c r="J592" i="2"/>
  <c r="I592" i="2"/>
  <c r="J591" i="2"/>
  <c r="I591" i="2"/>
  <c r="J590" i="2"/>
  <c r="I590" i="2"/>
  <c r="J589" i="2"/>
  <c r="I589" i="2"/>
  <c r="J588" i="2"/>
  <c r="I588" i="2"/>
  <c r="J587" i="2"/>
  <c r="I587" i="2"/>
  <c r="J586" i="2"/>
  <c r="I586" i="2"/>
  <c r="J585" i="2"/>
  <c r="I585" i="2"/>
  <c r="J584" i="2"/>
  <c r="I584" i="2"/>
  <c r="J583" i="2"/>
  <c r="I583" i="2"/>
  <c r="J582" i="2"/>
  <c r="I582" i="2"/>
  <c r="J581" i="2"/>
  <c r="I581" i="2"/>
  <c r="J580" i="2"/>
  <c r="I580" i="2"/>
  <c r="J579" i="2"/>
  <c r="I579" i="2"/>
  <c r="J578" i="2"/>
  <c r="I578" i="2"/>
  <c r="J577" i="2"/>
  <c r="I577" i="2"/>
  <c r="J576" i="2"/>
  <c r="I576" i="2"/>
  <c r="J575" i="2"/>
  <c r="I575" i="2"/>
  <c r="J574" i="2"/>
  <c r="I574" i="2"/>
  <c r="J573" i="2"/>
  <c r="I573" i="2"/>
  <c r="J572" i="2"/>
  <c r="I572" i="2"/>
  <c r="J571" i="2"/>
  <c r="I571" i="2"/>
  <c r="J570" i="2"/>
  <c r="I570" i="2"/>
  <c r="J569" i="2"/>
  <c r="I569" i="2"/>
  <c r="J568" i="2"/>
  <c r="I568" i="2"/>
  <c r="J567" i="2"/>
  <c r="I567" i="2"/>
  <c r="J566" i="2"/>
  <c r="I566" i="2"/>
  <c r="J565" i="2"/>
  <c r="I565" i="2"/>
  <c r="J564" i="2"/>
  <c r="I564" i="2"/>
  <c r="J563" i="2"/>
  <c r="I563" i="2"/>
  <c r="J562" i="2"/>
  <c r="I562" i="2"/>
  <c r="J561" i="2"/>
  <c r="I561" i="2"/>
  <c r="J560" i="2"/>
  <c r="I560" i="2"/>
  <c r="J559" i="2"/>
  <c r="I559" i="2"/>
  <c r="J558" i="2"/>
  <c r="I558" i="2"/>
  <c r="J557" i="2"/>
  <c r="I557" i="2"/>
  <c r="J556" i="2"/>
  <c r="I556" i="2"/>
  <c r="J555" i="2"/>
  <c r="I555" i="2"/>
  <c r="J554" i="2"/>
  <c r="I554" i="2"/>
  <c r="J553" i="2"/>
  <c r="I553" i="2"/>
  <c r="J552" i="2"/>
  <c r="I552" i="2"/>
  <c r="J551" i="2"/>
  <c r="I551" i="2"/>
  <c r="J550" i="2"/>
  <c r="I550" i="2"/>
  <c r="J549" i="2"/>
  <c r="I549" i="2"/>
  <c r="J548" i="2"/>
  <c r="I548" i="2"/>
  <c r="J547" i="2"/>
  <c r="I547" i="2"/>
  <c r="J546" i="2"/>
  <c r="I546" i="2"/>
  <c r="J545" i="2"/>
  <c r="I545" i="2"/>
  <c r="J544" i="2"/>
  <c r="I544" i="2"/>
  <c r="J543" i="2"/>
  <c r="I543" i="2"/>
  <c r="J542" i="2"/>
  <c r="I542" i="2"/>
  <c r="J541" i="2"/>
  <c r="I541" i="2"/>
  <c r="J540" i="2"/>
  <c r="I540" i="2"/>
  <c r="J539" i="2"/>
  <c r="I539" i="2"/>
  <c r="J538" i="2"/>
  <c r="I538" i="2"/>
  <c r="J537" i="2"/>
  <c r="I537" i="2"/>
  <c r="J536" i="2"/>
  <c r="I536" i="2"/>
  <c r="J535" i="2"/>
  <c r="I535" i="2"/>
  <c r="J534" i="2"/>
  <c r="I534" i="2"/>
  <c r="J533" i="2"/>
  <c r="I533" i="2"/>
  <c r="J532" i="2"/>
  <c r="I532" i="2"/>
  <c r="J531" i="2"/>
  <c r="I531" i="2"/>
  <c r="J530" i="2"/>
  <c r="I530" i="2"/>
  <c r="J529" i="2"/>
  <c r="I529" i="2"/>
  <c r="J528" i="2"/>
  <c r="I528" i="2"/>
  <c r="J527" i="2"/>
  <c r="I527" i="2"/>
  <c r="J526" i="2"/>
  <c r="I526" i="2"/>
  <c r="J525" i="2"/>
  <c r="I525" i="2"/>
  <c r="J524" i="2"/>
  <c r="I524" i="2"/>
  <c r="J523" i="2"/>
  <c r="I523" i="2"/>
  <c r="J522" i="2"/>
  <c r="I522" i="2"/>
  <c r="J521" i="2"/>
  <c r="I521" i="2"/>
  <c r="J520" i="2"/>
  <c r="I520" i="2"/>
  <c r="J519" i="2"/>
  <c r="I519" i="2"/>
  <c r="J518" i="2"/>
  <c r="I518" i="2"/>
  <c r="J517" i="2"/>
  <c r="I517" i="2"/>
  <c r="J516" i="2"/>
  <c r="I516" i="2"/>
  <c r="J515" i="2"/>
  <c r="I515" i="2"/>
  <c r="J514" i="2"/>
  <c r="I514" i="2"/>
  <c r="J513" i="2"/>
  <c r="I513" i="2"/>
  <c r="J512" i="2"/>
  <c r="I512" i="2"/>
  <c r="J511" i="2"/>
  <c r="I511" i="2"/>
  <c r="J510" i="2"/>
  <c r="I510" i="2"/>
  <c r="J509" i="2"/>
  <c r="I509" i="2"/>
  <c r="J508" i="2"/>
  <c r="I508" i="2"/>
  <c r="J507" i="2"/>
  <c r="I507" i="2"/>
  <c r="J506" i="2"/>
  <c r="I506" i="2"/>
  <c r="J505" i="2"/>
  <c r="I505" i="2"/>
  <c r="J504" i="2"/>
  <c r="I504" i="2"/>
  <c r="J503" i="2"/>
  <c r="I503" i="2"/>
  <c r="J502" i="2"/>
  <c r="I502" i="2"/>
  <c r="J501" i="2"/>
  <c r="I501" i="2"/>
  <c r="J500" i="2"/>
  <c r="I500" i="2"/>
  <c r="J499" i="2"/>
  <c r="I499" i="2"/>
  <c r="J498" i="2"/>
  <c r="I498" i="2"/>
  <c r="J497" i="2"/>
  <c r="I497" i="2"/>
  <c r="J496" i="2"/>
  <c r="I496" i="2"/>
  <c r="J495" i="2"/>
  <c r="I495" i="2"/>
  <c r="J494" i="2"/>
  <c r="I494" i="2"/>
  <c r="J493" i="2"/>
  <c r="I493" i="2"/>
  <c r="J492" i="2"/>
  <c r="I492" i="2"/>
  <c r="J491" i="2"/>
  <c r="I491" i="2"/>
  <c r="J490" i="2"/>
  <c r="I490" i="2"/>
  <c r="J489" i="2"/>
  <c r="I489" i="2"/>
  <c r="J488" i="2"/>
  <c r="I488" i="2"/>
  <c r="J487" i="2"/>
  <c r="I487" i="2"/>
  <c r="J486" i="2"/>
  <c r="I486" i="2"/>
  <c r="J485" i="2"/>
  <c r="I485" i="2"/>
  <c r="J484" i="2"/>
  <c r="I484" i="2"/>
  <c r="J483" i="2"/>
  <c r="I483" i="2"/>
  <c r="J482" i="2"/>
  <c r="I482" i="2"/>
  <c r="J481" i="2"/>
  <c r="I481" i="2"/>
  <c r="J480" i="2"/>
  <c r="I480" i="2"/>
  <c r="J479" i="2"/>
  <c r="I479" i="2"/>
  <c r="J478" i="2"/>
  <c r="I478" i="2"/>
  <c r="J477" i="2"/>
  <c r="I477" i="2"/>
  <c r="J476" i="2"/>
  <c r="I476" i="2"/>
  <c r="J475" i="2"/>
  <c r="I475" i="2"/>
  <c r="J474" i="2"/>
  <c r="I474" i="2"/>
  <c r="J473" i="2"/>
  <c r="I473" i="2"/>
  <c r="J472" i="2"/>
  <c r="I472" i="2"/>
  <c r="J471" i="2"/>
  <c r="I471" i="2"/>
  <c r="J470" i="2"/>
  <c r="I470" i="2"/>
  <c r="J469" i="2"/>
  <c r="I469" i="2"/>
  <c r="J468" i="2"/>
  <c r="I468" i="2"/>
  <c r="J467" i="2"/>
  <c r="I467" i="2"/>
  <c r="J466" i="2"/>
  <c r="I466" i="2"/>
  <c r="J465" i="2"/>
  <c r="I465" i="2"/>
  <c r="J464" i="2"/>
  <c r="I464" i="2"/>
  <c r="J463" i="2"/>
  <c r="I463" i="2"/>
  <c r="J462" i="2"/>
  <c r="I462" i="2"/>
  <c r="J461" i="2"/>
  <c r="I461" i="2"/>
  <c r="J460" i="2"/>
  <c r="I460" i="2"/>
  <c r="J459" i="2"/>
  <c r="I459" i="2"/>
  <c r="J458" i="2"/>
  <c r="I458" i="2"/>
  <c r="J457" i="2"/>
  <c r="I457" i="2"/>
  <c r="J456" i="2"/>
  <c r="I456" i="2"/>
  <c r="J455" i="2"/>
  <c r="I455" i="2"/>
  <c r="J454" i="2"/>
  <c r="I454" i="2"/>
  <c r="J453" i="2"/>
  <c r="I453" i="2"/>
  <c r="J452" i="2"/>
  <c r="I452" i="2"/>
  <c r="J451" i="2"/>
  <c r="I451" i="2"/>
  <c r="J450" i="2"/>
  <c r="I450" i="2"/>
  <c r="J449" i="2"/>
  <c r="I449" i="2"/>
  <c r="J448" i="2"/>
  <c r="I448" i="2"/>
  <c r="J447" i="2"/>
  <c r="I447" i="2"/>
  <c r="J446" i="2"/>
  <c r="I446" i="2"/>
  <c r="J445" i="2"/>
  <c r="I445" i="2"/>
  <c r="J444" i="2"/>
  <c r="I444" i="2"/>
  <c r="J443" i="2"/>
  <c r="I443" i="2"/>
  <c r="J442" i="2"/>
  <c r="I442" i="2"/>
  <c r="J441" i="2"/>
  <c r="I441" i="2"/>
  <c r="J440" i="2"/>
  <c r="I440" i="2"/>
  <c r="J439" i="2"/>
  <c r="I439" i="2"/>
  <c r="J438" i="2"/>
  <c r="I438" i="2"/>
  <c r="J437" i="2"/>
  <c r="I437" i="2"/>
  <c r="J436" i="2"/>
  <c r="I436" i="2"/>
  <c r="J435" i="2"/>
  <c r="I435" i="2"/>
  <c r="J434" i="2"/>
  <c r="I434" i="2"/>
  <c r="J433" i="2"/>
  <c r="I433" i="2"/>
  <c r="J432" i="2"/>
  <c r="I432" i="2"/>
  <c r="J431" i="2"/>
  <c r="I431" i="2"/>
  <c r="J430" i="2"/>
  <c r="I430" i="2"/>
  <c r="J429" i="2"/>
  <c r="I429" i="2"/>
  <c r="J428" i="2"/>
  <c r="I428" i="2"/>
  <c r="J427" i="2"/>
  <c r="I427" i="2"/>
  <c r="J426" i="2"/>
  <c r="I426" i="2"/>
  <c r="J425" i="2"/>
  <c r="I425" i="2"/>
  <c r="J424" i="2"/>
  <c r="I424" i="2"/>
  <c r="J423" i="2"/>
  <c r="I423" i="2"/>
  <c r="J422" i="2"/>
  <c r="I422" i="2"/>
  <c r="J421" i="2"/>
  <c r="I421" i="2"/>
  <c r="J420" i="2"/>
  <c r="I420" i="2"/>
  <c r="J419" i="2"/>
  <c r="I419" i="2"/>
  <c r="J418" i="2"/>
  <c r="I418" i="2"/>
  <c r="J417" i="2"/>
  <c r="I417" i="2"/>
  <c r="J416" i="2"/>
  <c r="I416" i="2"/>
  <c r="J415" i="2"/>
  <c r="I415" i="2"/>
  <c r="J414" i="2"/>
  <c r="I414" i="2"/>
  <c r="J413" i="2"/>
  <c r="I413" i="2"/>
  <c r="J412" i="2"/>
  <c r="I412" i="2"/>
  <c r="J411" i="2"/>
  <c r="I411" i="2"/>
  <c r="J410" i="2"/>
  <c r="I410" i="2"/>
  <c r="J409" i="2"/>
  <c r="I409" i="2"/>
  <c r="J408" i="2"/>
  <c r="I408" i="2"/>
  <c r="J407" i="2"/>
  <c r="I407" i="2"/>
  <c r="J406" i="2"/>
  <c r="I406" i="2"/>
  <c r="J405" i="2"/>
  <c r="I405" i="2"/>
  <c r="J404" i="2"/>
  <c r="I404" i="2"/>
  <c r="J403" i="2"/>
  <c r="I403" i="2"/>
  <c r="J402" i="2"/>
  <c r="I402" i="2"/>
  <c r="J401" i="2"/>
  <c r="I401" i="2"/>
  <c r="J400" i="2"/>
  <c r="I400" i="2"/>
  <c r="J399" i="2"/>
  <c r="I399" i="2"/>
  <c r="J398" i="2"/>
  <c r="I398" i="2"/>
  <c r="J397" i="2"/>
  <c r="I397" i="2"/>
  <c r="J396" i="2"/>
  <c r="I396" i="2"/>
  <c r="J395" i="2"/>
  <c r="I395" i="2"/>
  <c r="J394" i="2"/>
  <c r="I394" i="2"/>
  <c r="J393" i="2"/>
  <c r="I393" i="2"/>
  <c r="J392" i="2"/>
  <c r="I392" i="2"/>
  <c r="J391" i="2"/>
  <c r="I391" i="2"/>
  <c r="J390" i="2"/>
  <c r="I390" i="2"/>
  <c r="J389" i="2"/>
  <c r="I389" i="2"/>
  <c r="J388" i="2"/>
  <c r="I388" i="2"/>
  <c r="J387" i="2"/>
  <c r="I387" i="2"/>
  <c r="J386" i="2"/>
  <c r="I386" i="2"/>
  <c r="J385" i="2"/>
  <c r="I385" i="2"/>
  <c r="J384" i="2"/>
  <c r="I384" i="2"/>
  <c r="J383" i="2"/>
  <c r="I383" i="2"/>
  <c r="J382" i="2"/>
  <c r="I382" i="2"/>
  <c r="J381" i="2"/>
  <c r="I381" i="2"/>
  <c r="J380" i="2"/>
  <c r="I380" i="2"/>
  <c r="J379" i="2"/>
  <c r="I379" i="2"/>
  <c r="J378" i="2"/>
  <c r="I378" i="2"/>
  <c r="J377" i="2"/>
  <c r="I377" i="2"/>
  <c r="J376" i="2"/>
  <c r="I376" i="2"/>
  <c r="J375" i="2"/>
  <c r="I375" i="2"/>
  <c r="J374" i="2"/>
  <c r="I374" i="2"/>
  <c r="J373" i="2"/>
  <c r="I373" i="2"/>
  <c r="J372" i="2"/>
  <c r="I372" i="2"/>
  <c r="J371" i="2"/>
  <c r="I371" i="2"/>
  <c r="J370" i="2"/>
  <c r="I370" i="2"/>
  <c r="J369" i="2"/>
  <c r="I369" i="2"/>
  <c r="J368" i="2"/>
  <c r="I368" i="2"/>
  <c r="J367" i="2"/>
  <c r="I367" i="2"/>
  <c r="J366" i="2"/>
  <c r="I366" i="2"/>
  <c r="J365" i="2"/>
  <c r="I365" i="2"/>
  <c r="J364" i="2"/>
  <c r="I364" i="2"/>
  <c r="J363" i="2"/>
  <c r="I363" i="2"/>
  <c r="J362" i="2"/>
  <c r="I362" i="2"/>
  <c r="J361" i="2"/>
  <c r="I361" i="2"/>
  <c r="J360" i="2"/>
  <c r="I360" i="2"/>
  <c r="J359" i="2"/>
  <c r="I359" i="2"/>
  <c r="J358" i="2"/>
  <c r="I358" i="2"/>
  <c r="J357" i="2"/>
  <c r="I357" i="2"/>
  <c r="J356" i="2"/>
  <c r="I356" i="2"/>
  <c r="J355" i="2"/>
  <c r="I355" i="2"/>
  <c r="J354" i="2"/>
  <c r="I354" i="2"/>
  <c r="J353" i="2"/>
  <c r="I353" i="2"/>
  <c r="J352" i="2"/>
  <c r="I352" i="2"/>
  <c r="J351" i="2"/>
  <c r="I351" i="2"/>
  <c r="J350" i="2"/>
  <c r="I350" i="2"/>
  <c r="J349" i="2"/>
  <c r="I349" i="2"/>
  <c r="J348" i="2"/>
  <c r="I348" i="2"/>
  <c r="J347" i="2"/>
  <c r="I347" i="2"/>
  <c r="J346" i="2"/>
  <c r="I346" i="2"/>
  <c r="J345" i="2"/>
  <c r="I345" i="2"/>
  <c r="J344" i="2"/>
  <c r="I344" i="2"/>
  <c r="J343" i="2"/>
  <c r="I343" i="2"/>
  <c r="J342" i="2"/>
  <c r="I342" i="2"/>
  <c r="J341" i="2"/>
  <c r="I341" i="2"/>
  <c r="J340" i="2"/>
  <c r="I340" i="2"/>
  <c r="J339" i="2"/>
  <c r="I339" i="2"/>
  <c r="J338" i="2"/>
  <c r="I338" i="2"/>
  <c r="J337" i="2"/>
  <c r="I337" i="2"/>
  <c r="J336" i="2"/>
  <c r="I336" i="2"/>
  <c r="J335" i="2"/>
  <c r="I335" i="2"/>
  <c r="J334" i="2"/>
  <c r="I334" i="2"/>
  <c r="J333" i="2"/>
  <c r="I333" i="2"/>
  <c r="J332" i="2"/>
  <c r="I332" i="2"/>
  <c r="J331" i="2"/>
  <c r="I331" i="2"/>
  <c r="J330" i="2"/>
  <c r="I330" i="2"/>
  <c r="J329" i="2"/>
  <c r="I329" i="2"/>
  <c r="J328" i="2"/>
  <c r="I328" i="2"/>
  <c r="J327" i="2"/>
  <c r="I327" i="2"/>
  <c r="J326" i="2"/>
  <c r="I326" i="2"/>
  <c r="J325" i="2"/>
  <c r="I325" i="2"/>
  <c r="J324" i="2"/>
  <c r="I324" i="2"/>
  <c r="J323" i="2"/>
  <c r="I323" i="2"/>
  <c r="J322" i="2"/>
  <c r="I322" i="2"/>
  <c r="J321" i="2"/>
  <c r="I321" i="2"/>
  <c r="J320" i="2"/>
  <c r="I320" i="2"/>
  <c r="J319" i="2"/>
  <c r="I319" i="2"/>
  <c r="J318" i="2"/>
  <c r="I318" i="2"/>
  <c r="J317" i="2"/>
  <c r="I317" i="2"/>
  <c r="J316" i="2"/>
  <c r="I316" i="2"/>
  <c r="J315" i="2"/>
  <c r="I315" i="2"/>
  <c r="J314" i="2"/>
  <c r="I314" i="2"/>
  <c r="J313" i="2"/>
  <c r="I313" i="2"/>
  <c r="J312" i="2"/>
  <c r="I312" i="2"/>
  <c r="J311" i="2"/>
  <c r="I311" i="2"/>
  <c r="J310" i="2"/>
  <c r="I310" i="2"/>
  <c r="J309" i="2"/>
  <c r="I309" i="2"/>
  <c r="J308" i="2"/>
  <c r="I308" i="2"/>
  <c r="J307" i="2"/>
  <c r="I307" i="2"/>
  <c r="J306" i="2"/>
  <c r="I306" i="2"/>
  <c r="J305" i="2"/>
  <c r="I305" i="2"/>
  <c r="J304" i="2"/>
  <c r="I304" i="2"/>
  <c r="J303" i="2"/>
  <c r="I303" i="2"/>
  <c r="J302" i="2"/>
  <c r="I302" i="2"/>
  <c r="J301" i="2"/>
  <c r="I301" i="2"/>
  <c r="J300" i="2"/>
  <c r="I300" i="2"/>
  <c r="J299" i="2"/>
  <c r="I299" i="2"/>
  <c r="J298" i="2"/>
  <c r="I298" i="2"/>
  <c r="J297" i="2"/>
  <c r="I297" i="2"/>
  <c r="J296" i="2"/>
  <c r="I296" i="2"/>
  <c r="J295" i="2"/>
  <c r="I295" i="2"/>
  <c r="J294" i="2"/>
  <c r="I294" i="2"/>
  <c r="J293" i="2"/>
  <c r="I293" i="2"/>
  <c r="J292" i="2"/>
  <c r="I292" i="2"/>
  <c r="J291" i="2"/>
  <c r="I291" i="2"/>
  <c r="J290" i="2"/>
  <c r="I290" i="2"/>
  <c r="J289" i="2"/>
  <c r="I289" i="2"/>
  <c r="J288" i="2"/>
  <c r="I288" i="2"/>
  <c r="J287" i="2"/>
  <c r="I287" i="2"/>
  <c r="J286" i="2"/>
  <c r="I286" i="2"/>
  <c r="J285" i="2"/>
  <c r="I285" i="2"/>
  <c r="J284" i="2"/>
  <c r="I284" i="2"/>
  <c r="J283" i="2"/>
  <c r="I283" i="2"/>
  <c r="J282" i="2"/>
  <c r="I282" i="2"/>
  <c r="J281" i="2"/>
  <c r="I281" i="2"/>
  <c r="J280" i="2"/>
  <c r="I280" i="2"/>
  <c r="J279" i="2"/>
  <c r="I279" i="2"/>
  <c r="J278" i="2"/>
  <c r="I278" i="2"/>
  <c r="J277" i="2"/>
  <c r="I277" i="2"/>
  <c r="J276" i="2"/>
  <c r="I276" i="2"/>
  <c r="J275" i="2"/>
  <c r="I275" i="2"/>
  <c r="J274" i="2"/>
  <c r="I274" i="2"/>
  <c r="J273" i="2"/>
  <c r="I273" i="2"/>
  <c r="J272" i="2"/>
  <c r="I272" i="2"/>
  <c r="J271" i="2"/>
  <c r="I271" i="2"/>
  <c r="J270" i="2"/>
  <c r="I270" i="2"/>
  <c r="J269" i="2"/>
  <c r="I269" i="2"/>
  <c r="J268" i="2"/>
  <c r="I268" i="2"/>
  <c r="J267" i="2"/>
  <c r="I267" i="2"/>
  <c r="J266" i="2"/>
  <c r="I266" i="2"/>
  <c r="J265" i="2"/>
  <c r="I265" i="2"/>
  <c r="J264" i="2"/>
  <c r="I264" i="2"/>
  <c r="J263" i="2"/>
  <c r="I263" i="2"/>
  <c r="J262" i="2"/>
  <c r="I262" i="2"/>
  <c r="J261" i="2"/>
  <c r="I261" i="2"/>
  <c r="J260" i="2"/>
  <c r="I260" i="2"/>
  <c r="J259" i="2"/>
  <c r="I259" i="2"/>
  <c r="J258" i="2"/>
  <c r="I258" i="2"/>
  <c r="J257" i="2"/>
  <c r="I257" i="2"/>
  <c r="J256" i="2"/>
  <c r="I256" i="2"/>
  <c r="J255" i="2"/>
  <c r="I255" i="2"/>
  <c r="J254" i="2"/>
  <c r="I254" i="2"/>
  <c r="J253" i="2"/>
  <c r="I253" i="2"/>
  <c r="J252" i="2"/>
  <c r="I252" i="2"/>
  <c r="J251" i="2"/>
  <c r="I251" i="2"/>
  <c r="J250" i="2"/>
  <c r="I250" i="2"/>
  <c r="J249" i="2"/>
  <c r="I249" i="2"/>
  <c r="J248" i="2"/>
  <c r="I248" i="2"/>
  <c r="J247" i="2"/>
  <c r="I247" i="2"/>
  <c r="J246" i="2"/>
  <c r="I246" i="2"/>
  <c r="J245" i="2"/>
  <c r="I245" i="2"/>
  <c r="J244" i="2"/>
  <c r="I244" i="2"/>
  <c r="J243" i="2"/>
  <c r="I243" i="2"/>
  <c r="J242" i="2"/>
  <c r="I242" i="2"/>
  <c r="J241" i="2"/>
  <c r="I241" i="2"/>
  <c r="J240" i="2"/>
  <c r="I240" i="2"/>
  <c r="J239" i="2"/>
  <c r="I239" i="2"/>
  <c r="J238" i="2"/>
  <c r="I238" i="2"/>
  <c r="J237" i="2"/>
  <c r="I237" i="2"/>
  <c r="J236" i="2"/>
  <c r="I236" i="2"/>
  <c r="J235" i="2"/>
  <c r="I235" i="2"/>
  <c r="J234" i="2"/>
  <c r="I234" i="2"/>
  <c r="J233" i="2"/>
  <c r="I233" i="2"/>
  <c r="J232" i="2"/>
  <c r="I232" i="2"/>
  <c r="J231" i="2"/>
  <c r="I231" i="2"/>
  <c r="J230" i="2"/>
  <c r="I230" i="2"/>
  <c r="J229" i="2"/>
  <c r="I229" i="2"/>
  <c r="J228" i="2"/>
  <c r="I228" i="2"/>
  <c r="J227" i="2"/>
  <c r="I227" i="2"/>
  <c r="J226" i="2"/>
  <c r="I226" i="2"/>
  <c r="J225" i="2"/>
  <c r="I225" i="2"/>
  <c r="J224" i="2"/>
  <c r="I224" i="2"/>
  <c r="J223" i="2"/>
  <c r="I223" i="2"/>
  <c r="J222" i="2"/>
  <c r="I222" i="2"/>
  <c r="J221" i="2"/>
  <c r="I221" i="2"/>
  <c r="J220" i="2"/>
  <c r="I220" i="2"/>
  <c r="J219" i="2"/>
  <c r="I219" i="2"/>
  <c r="J218" i="2"/>
  <c r="I218" i="2"/>
  <c r="J217" i="2"/>
  <c r="I217" i="2"/>
  <c r="J216" i="2"/>
  <c r="I216" i="2"/>
  <c r="J215" i="2"/>
  <c r="I215" i="2"/>
  <c r="J214" i="2"/>
  <c r="I214" i="2"/>
  <c r="J213" i="2"/>
  <c r="I213" i="2"/>
  <c r="J212" i="2"/>
  <c r="I212" i="2"/>
  <c r="J211" i="2"/>
  <c r="I211" i="2"/>
  <c r="J210" i="2"/>
  <c r="I210" i="2"/>
  <c r="J209" i="2"/>
  <c r="I209" i="2"/>
  <c r="J208" i="2"/>
  <c r="I208" i="2"/>
  <c r="J207" i="2"/>
  <c r="I207" i="2"/>
  <c r="J206" i="2"/>
  <c r="I206" i="2"/>
  <c r="J205" i="2"/>
  <c r="I205" i="2"/>
  <c r="J204" i="2"/>
  <c r="I204" i="2"/>
  <c r="J203" i="2"/>
  <c r="I203" i="2"/>
  <c r="J202" i="2"/>
  <c r="I202" i="2"/>
  <c r="J201" i="2"/>
  <c r="I201" i="2"/>
  <c r="J200" i="2"/>
  <c r="I200" i="2"/>
  <c r="J199" i="2"/>
  <c r="I199" i="2"/>
  <c r="J198" i="2"/>
  <c r="I198" i="2"/>
  <c r="J197" i="2"/>
  <c r="I197" i="2"/>
  <c r="J196" i="2"/>
  <c r="I196" i="2"/>
  <c r="J195" i="2"/>
  <c r="I195" i="2"/>
  <c r="J194" i="2"/>
  <c r="I194" i="2"/>
  <c r="J193" i="2"/>
  <c r="I193" i="2"/>
  <c r="J192" i="2"/>
  <c r="I192" i="2"/>
  <c r="J191" i="2"/>
  <c r="I191" i="2"/>
  <c r="J190" i="2"/>
  <c r="I190" i="2"/>
  <c r="J189" i="2"/>
  <c r="I189" i="2"/>
  <c r="J188" i="2"/>
  <c r="I188" i="2"/>
  <c r="J187" i="2"/>
  <c r="I187" i="2"/>
  <c r="J186" i="2"/>
  <c r="I186" i="2"/>
  <c r="J185" i="2"/>
  <c r="I185" i="2"/>
  <c r="J184" i="2"/>
  <c r="I184" i="2"/>
  <c r="J183" i="2"/>
  <c r="I183" i="2"/>
  <c r="J182" i="2"/>
  <c r="I182" i="2"/>
  <c r="J181" i="2"/>
  <c r="I181" i="2"/>
  <c r="J180" i="2"/>
  <c r="I180" i="2"/>
  <c r="J179" i="2"/>
  <c r="I179" i="2"/>
  <c r="J178" i="2"/>
  <c r="I178" i="2"/>
  <c r="J177" i="2"/>
  <c r="I177" i="2"/>
  <c r="J176" i="2"/>
  <c r="I176" i="2"/>
  <c r="J175" i="2"/>
  <c r="I175" i="2"/>
  <c r="J174" i="2"/>
  <c r="I174" i="2"/>
  <c r="J173" i="2"/>
  <c r="I173" i="2"/>
  <c r="J172" i="2"/>
  <c r="I172" i="2"/>
  <c r="J171" i="2"/>
  <c r="I171" i="2"/>
  <c r="J170" i="2"/>
  <c r="I170" i="2"/>
  <c r="J169" i="2"/>
  <c r="I169" i="2"/>
  <c r="J168" i="2"/>
  <c r="I168" i="2"/>
  <c r="J167" i="2"/>
  <c r="I167" i="2"/>
  <c r="J166" i="2"/>
  <c r="I166" i="2"/>
  <c r="J165" i="2"/>
  <c r="I165" i="2"/>
  <c r="J164" i="2"/>
  <c r="I164" i="2"/>
  <c r="J163" i="2"/>
  <c r="I163" i="2"/>
  <c r="J162" i="2"/>
  <c r="I162" i="2"/>
  <c r="J161" i="2"/>
  <c r="I161" i="2"/>
  <c r="J160" i="2"/>
  <c r="I160" i="2"/>
  <c r="J159" i="2"/>
  <c r="I159" i="2"/>
  <c r="J158" i="2"/>
  <c r="I158" i="2"/>
  <c r="J157" i="2"/>
  <c r="I157" i="2"/>
  <c r="J156" i="2"/>
  <c r="I156" i="2"/>
  <c r="J155" i="2"/>
  <c r="I155" i="2"/>
  <c r="J154" i="2"/>
  <c r="I154" i="2"/>
  <c r="J153" i="2"/>
  <c r="I153" i="2"/>
  <c r="J152" i="2"/>
  <c r="I152" i="2"/>
  <c r="J151" i="2"/>
  <c r="I151" i="2"/>
  <c r="J150" i="2"/>
  <c r="I150" i="2"/>
  <c r="J149" i="2"/>
  <c r="I149" i="2"/>
  <c r="J148" i="2"/>
  <c r="I148" i="2"/>
  <c r="J147" i="2"/>
  <c r="I147" i="2"/>
  <c r="J146" i="2"/>
  <c r="I146" i="2"/>
  <c r="J145" i="2"/>
  <c r="I145" i="2"/>
  <c r="J144" i="2"/>
  <c r="I144" i="2"/>
  <c r="J143" i="2"/>
  <c r="I143" i="2"/>
  <c r="J142" i="2"/>
  <c r="I142" i="2"/>
  <c r="J141" i="2"/>
  <c r="I141" i="2"/>
  <c r="J140" i="2"/>
  <c r="I140" i="2"/>
  <c r="J139" i="2"/>
  <c r="I139" i="2"/>
  <c r="J138" i="2"/>
  <c r="I138" i="2"/>
  <c r="J137" i="2"/>
  <c r="I137" i="2"/>
  <c r="J136" i="2"/>
  <c r="I136" i="2"/>
  <c r="J135" i="2"/>
  <c r="I135" i="2"/>
  <c r="J134" i="2"/>
  <c r="I134" i="2"/>
  <c r="J133" i="2"/>
  <c r="I133" i="2"/>
  <c r="J132" i="2"/>
  <c r="I132" i="2"/>
  <c r="J131" i="2"/>
  <c r="I131" i="2"/>
  <c r="J130" i="2"/>
  <c r="I130" i="2"/>
  <c r="J129" i="2"/>
  <c r="I129" i="2"/>
  <c r="J128" i="2"/>
  <c r="I128" i="2"/>
  <c r="J127" i="2"/>
  <c r="I127" i="2"/>
  <c r="J126" i="2"/>
  <c r="I126" i="2"/>
  <c r="J125" i="2"/>
  <c r="I125" i="2"/>
  <c r="J124" i="2"/>
  <c r="I124" i="2"/>
  <c r="J123" i="2"/>
  <c r="I123" i="2"/>
  <c r="J122" i="2"/>
  <c r="I122" i="2"/>
  <c r="J121" i="2"/>
  <c r="I121" i="2"/>
  <c r="J120" i="2"/>
  <c r="I120" i="2"/>
  <c r="J119" i="2"/>
  <c r="I119" i="2"/>
  <c r="J118" i="2"/>
  <c r="I118" i="2"/>
  <c r="J117" i="2"/>
  <c r="I117" i="2"/>
  <c r="J116" i="2"/>
  <c r="I116" i="2"/>
  <c r="J115" i="2"/>
  <c r="I115" i="2"/>
  <c r="J114" i="2"/>
  <c r="I114" i="2"/>
  <c r="J113" i="2"/>
  <c r="I113" i="2"/>
  <c r="J112" i="2"/>
  <c r="I112" i="2"/>
  <c r="J111" i="2"/>
  <c r="I111" i="2"/>
  <c r="J110" i="2"/>
  <c r="I110" i="2"/>
  <c r="J109" i="2"/>
  <c r="I109" i="2"/>
  <c r="J108" i="2"/>
  <c r="I108" i="2"/>
  <c r="J107" i="2"/>
  <c r="I107" i="2"/>
  <c r="J106" i="2"/>
  <c r="I106" i="2"/>
  <c r="J105" i="2"/>
  <c r="I105" i="2"/>
  <c r="J104" i="2"/>
  <c r="I104" i="2"/>
  <c r="J103" i="2"/>
  <c r="I103" i="2"/>
  <c r="J102" i="2"/>
  <c r="I102" i="2"/>
  <c r="J101" i="2"/>
  <c r="I101" i="2"/>
  <c r="J100" i="2"/>
  <c r="I100" i="2"/>
  <c r="J99" i="2"/>
  <c r="I99" i="2"/>
  <c r="J98" i="2"/>
  <c r="I98" i="2"/>
  <c r="J97" i="2"/>
  <c r="I97" i="2"/>
  <c r="J96" i="2"/>
  <c r="I96" i="2"/>
  <c r="J95" i="2"/>
  <c r="I95" i="2"/>
  <c r="J94" i="2"/>
  <c r="I94" i="2"/>
  <c r="J93" i="2"/>
  <c r="I93" i="2"/>
  <c r="J92" i="2"/>
  <c r="I92" i="2"/>
  <c r="J91" i="2"/>
  <c r="I91" i="2"/>
  <c r="J90" i="2"/>
  <c r="I90" i="2"/>
  <c r="J89" i="2"/>
  <c r="I89" i="2"/>
  <c r="J88" i="2"/>
  <c r="I88" i="2"/>
  <c r="J87" i="2"/>
  <c r="I87" i="2"/>
  <c r="J86" i="2"/>
  <c r="I86" i="2"/>
  <c r="J85" i="2"/>
  <c r="I85" i="2"/>
  <c r="J84" i="2"/>
  <c r="I84" i="2"/>
  <c r="J83" i="2"/>
  <c r="I83" i="2"/>
  <c r="J82" i="2"/>
  <c r="I82" i="2"/>
  <c r="J81" i="2"/>
  <c r="I81" i="2"/>
  <c r="J80" i="2"/>
  <c r="I80" i="2"/>
  <c r="J79" i="2"/>
  <c r="I79" i="2"/>
  <c r="J78" i="2"/>
  <c r="I78" i="2"/>
  <c r="J77" i="2"/>
  <c r="I77" i="2"/>
  <c r="J76" i="2"/>
  <c r="I76" i="2"/>
  <c r="J75" i="2"/>
  <c r="I75" i="2"/>
  <c r="J74" i="2"/>
  <c r="I74" i="2"/>
  <c r="J73" i="2"/>
  <c r="I73" i="2"/>
  <c r="J72" i="2"/>
  <c r="I72" i="2"/>
  <c r="J71" i="2"/>
  <c r="I71" i="2"/>
  <c r="J70" i="2"/>
  <c r="I70" i="2"/>
  <c r="J69" i="2"/>
  <c r="I69" i="2"/>
  <c r="J68" i="2"/>
  <c r="I68" i="2"/>
  <c r="J67" i="2"/>
  <c r="I67" i="2"/>
  <c r="J66" i="2"/>
  <c r="I66" i="2"/>
  <c r="J65" i="2"/>
  <c r="I65" i="2"/>
  <c r="J64" i="2"/>
  <c r="I64" i="2"/>
  <c r="J63" i="2"/>
  <c r="I63" i="2"/>
  <c r="J62" i="2"/>
  <c r="I62" i="2"/>
  <c r="J61" i="2"/>
  <c r="I61" i="2"/>
  <c r="J60" i="2"/>
  <c r="I60" i="2"/>
  <c r="J59" i="2"/>
  <c r="I59" i="2"/>
  <c r="J58" i="2"/>
  <c r="I58" i="2"/>
  <c r="J57" i="2"/>
  <c r="I57" i="2"/>
  <c r="J56" i="2"/>
  <c r="I56" i="2"/>
  <c r="J55" i="2"/>
  <c r="I55" i="2"/>
  <c r="J54" i="2"/>
  <c r="I54" i="2"/>
  <c r="J53" i="2"/>
  <c r="I53" i="2"/>
  <c r="J52" i="2"/>
  <c r="I52" i="2"/>
  <c r="J51" i="2"/>
  <c r="I51" i="2"/>
  <c r="J50" i="2"/>
  <c r="I50" i="2"/>
  <c r="J49" i="2"/>
  <c r="I49" i="2"/>
  <c r="J48" i="2"/>
  <c r="I48" i="2"/>
  <c r="J47" i="2"/>
  <c r="I47" i="2"/>
  <c r="J46" i="2"/>
  <c r="I46" i="2"/>
  <c r="J45" i="2"/>
  <c r="I45" i="2"/>
  <c r="J44" i="2"/>
  <c r="I44" i="2"/>
  <c r="J43" i="2"/>
  <c r="I43" i="2"/>
  <c r="J42" i="2"/>
  <c r="I42" i="2"/>
  <c r="J41" i="2"/>
  <c r="I41" i="2"/>
  <c r="J40" i="2"/>
  <c r="I40" i="2"/>
  <c r="J39" i="2"/>
  <c r="I39" i="2"/>
  <c r="J38" i="2"/>
  <c r="I38" i="2"/>
  <c r="J37" i="2"/>
  <c r="I37" i="2"/>
  <c r="J36" i="2"/>
  <c r="I36" i="2"/>
  <c r="J35" i="2"/>
  <c r="I35" i="2"/>
  <c r="J34" i="2"/>
  <c r="I34" i="2"/>
  <c r="J33" i="2"/>
  <c r="I33" i="2"/>
  <c r="J32" i="2"/>
  <c r="I32" i="2"/>
  <c r="J31" i="2"/>
  <c r="I31" i="2"/>
  <c r="J30" i="2"/>
  <c r="I30" i="2"/>
  <c r="J29" i="2"/>
  <c r="I29" i="2"/>
  <c r="J28" i="2"/>
  <c r="I28" i="2"/>
  <c r="J27" i="2"/>
  <c r="I27" i="2"/>
  <c r="J26" i="2"/>
  <c r="I26" i="2"/>
  <c r="J25" i="2"/>
  <c r="I25" i="2"/>
  <c r="J24" i="2"/>
  <c r="I24" i="2"/>
  <c r="J23" i="2"/>
  <c r="I23" i="2"/>
  <c r="J22" i="2"/>
  <c r="I22" i="2"/>
  <c r="J21" i="2"/>
  <c r="I21" i="2"/>
  <c r="J20" i="2"/>
  <c r="I20" i="2"/>
  <c r="J19" i="2"/>
  <c r="I19" i="2"/>
  <c r="J18" i="2"/>
  <c r="I18" i="2"/>
  <c r="J17" i="2"/>
  <c r="I17" i="2"/>
  <c r="J16" i="2"/>
  <c r="I16" i="2"/>
  <c r="J15" i="2"/>
  <c r="I15" i="2"/>
  <c r="J14" i="2"/>
  <c r="I14" i="2"/>
  <c r="J13" i="2"/>
  <c r="I13" i="2"/>
  <c r="J12" i="2"/>
  <c r="I12" i="2"/>
  <c r="J11" i="2"/>
  <c r="I11" i="2"/>
  <c r="J10" i="2"/>
  <c r="I10" i="2"/>
  <c r="J9" i="2"/>
  <c r="I9" i="2"/>
  <c r="J8" i="2"/>
  <c r="I8" i="2"/>
  <c r="J7" i="2"/>
  <c r="I7" i="2"/>
  <c r="J6" i="2"/>
  <c r="I6" i="2"/>
  <c r="J5" i="2"/>
  <c r="I5" i="2"/>
  <c r="J4" i="2"/>
  <c r="I4" i="2"/>
  <c r="J3" i="2"/>
  <c r="I3" i="2"/>
  <c r="J2" i="2"/>
  <c r="I2" i="2"/>
  <c r="H2" i="2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F720FBA3-A44A-48F9-B535-34652FCC6F5F}" keepAlive="1" name="Query - sa_retail_sales" description="Connection to the 'sa_retail_sales' query in the workbook." type="5" refreshedVersion="8" background="1" saveData="1">
    <dbPr connection="Provider=Microsoft.Mashup.OleDb.1;Data Source=$Workbook$;Location=sa_retail_sales;Extended Properties=&quot;&quot;" command="SELECT * FROM [sa_retail_sales]"/>
  </connection>
</connections>
</file>

<file path=xl/sharedStrings.xml><?xml version="1.0" encoding="utf-8"?>
<sst xmlns="http://schemas.openxmlformats.org/spreadsheetml/2006/main" count="6064" uniqueCount="36">
  <si>
    <t>Order Date</t>
  </si>
  <si>
    <t>Region</t>
  </si>
  <si>
    <t>Product Category</t>
  </si>
  <si>
    <t>Sales Rep</t>
  </si>
  <si>
    <t>Revenue</t>
  </si>
  <si>
    <t>Cost</t>
  </si>
  <si>
    <t>Discount %</t>
  </si>
  <si>
    <t>Profit</t>
  </si>
  <si>
    <t>Western Cape</t>
  </si>
  <si>
    <t>Groceries</t>
  </si>
  <si>
    <t>L. Dlamini</t>
  </si>
  <si>
    <t>KwaZulu-Natal</t>
  </si>
  <si>
    <t>T. Van Wyk</t>
  </si>
  <si>
    <t>Clothing</t>
  </si>
  <si>
    <t>Homeware</t>
  </si>
  <si>
    <t>S. Naidoo</t>
  </si>
  <si>
    <t>Electronics</t>
  </si>
  <si>
    <t>Eastern Cape</t>
  </si>
  <si>
    <t>Gauteng</t>
  </si>
  <si>
    <t>A. Mokoena</t>
  </si>
  <si>
    <t>Profit Margin =Profit / Revenue</t>
  </si>
  <si>
    <t>Year</t>
  </si>
  <si>
    <t>Row Labels</t>
  </si>
  <si>
    <t>Grand Total</t>
  </si>
  <si>
    <t>Column Labels</t>
  </si>
  <si>
    <t>Sum of Revenue</t>
  </si>
  <si>
    <t>Sum of Profit</t>
  </si>
  <si>
    <t>Sum of Profit Margin</t>
  </si>
  <si>
    <t>Count of Order Date</t>
  </si>
  <si>
    <t>Average Order Value</t>
  </si>
  <si>
    <t>Sum of Year</t>
  </si>
  <si>
    <t xml:space="preserve"> </t>
  </si>
  <si>
    <t>Qtr1</t>
  </si>
  <si>
    <t>Qtr2</t>
  </si>
  <si>
    <t>Qtr3</t>
  </si>
  <si>
    <t>Qtr4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</si>
</sst>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-&quot;R&quot;* #,##0.00_-;\-&quot;R&quot;* #,##0.00_-;_-&quot;R&quot;* &quot;-&quot;??_-;_-@_-"/>
    <numFmt numFmtId="164" formatCode="_-[$R-1C09]* #,##0_-;\-[$R-1C09]* #,##0_-;_-[$R-1C09]* &quot;-&quot;??_-;_-@_-"/>
    <numFmt numFmtId="165" formatCode="_-&quot;R&quot;* #,##0_-;\-&quot;R&quot;* #,##0_-;_-&quot;R&quot;* &quot;-&quot;??_-;_-@_-"/>
  </numFmts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4">
    <xf numFmtId="0" fontId="0" fillId="0" borderId="0"/>
    <xf numFmtId="9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44" fontId="1" fillId="0" borderId="0" applyFont="0" applyFill="0" applyBorder="0" applyAlignment="0" applyProtection="0"/>
  </cellStyleXfs>
  <cellXfs count="8">
    <xf numFmtId="0" fontId="0" fillId="0" borderId="0" xfId="0"/>
    <xf numFmtId="14" fontId="0" fillId="0" borderId="0" xfId="0" applyNumberFormat="1"/>
    <xf numFmtId="9" fontId="0" fillId="0" borderId="0" xfId="1" applyFont="1"/>
    <xf numFmtId="0" fontId="0" fillId="0" borderId="0" xfId="0" pivotButton="1"/>
    <xf numFmtId="0" fontId="0" fillId="0" borderId="0" xfId="0" applyAlignment="1">
      <alignment horizontal="left"/>
    </xf>
    <xf numFmtId="9" fontId="0" fillId="0" borderId="0" xfId="0" applyNumberFormat="1"/>
    <xf numFmtId="164" fontId="0" fillId="0" borderId="0" xfId="0" applyNumberFormat="1"/>
    <xf numFmtId="165" fontId="0" fillId="0" borderId="0" xfId="43" applyNumberFormat="1" applyFont="1"/>
  </cellXfs>
  <cellStyles count="44">
    <cellStyle name="20% - Accent1" xfId="20" builtinId="30" customBuiltin="1"/>
    <cellStyle name="20% - Accent2" xfId="24" builtinId="34" customBuiltin="1"/>
    <cellStyle name="20% - Accent3" xfId="28" builtinId="38" customBuiltin="1"/>
    <cellStyle name="20% - Accent4" xfId="32" builtinId="42" customBuiltin="1"/>
    <cellStyle name="20% - Accent5" xfId="36" builtinId="46" customBuiltin="1"/>
    <cellStyle name="20% - Accent6" xfId="40" builtinId="50" customBuiltin="1"/>
    <cellStyle name="40% - Accent1" xfId="21" builtinId="31" customBuiltin="1"/>
    <cellStyle name="40% - Accent2" xfId="25" builtinId="35" customBuiltin="1"/>
    <cellStyle name="40% - Accent3" xfId="29" builtinId="39" customBuiltin="1"/>
    <cellStyle name="40% - Accent4" xfId="33" builtinId="43" customBuiltin="1"/>
    <cellStyle name="40% - Accent5" xfId="37" builtinId="47" customBuiltin="1"/>
    <cellStyle name="40% - Accent6" xfId="41" builtinId="51" customBuiltin="1"/>
    <cellStyle name="60% - Accent1" xfId="22" builtinId="32" customBuiltin="1"/>
    <cellStyle name="60% - Accent2" xfId="26" builtinId="36" customBuiltin="1"/>
    <cellStyle name="60% - Accent3" xfId="30" builtinId="40" customBuiltin="1"/>
    <cellStyle name="60% - Accent4" xfId="34" builtinId="44" customBuiltin="1"/>
    <cellStyle name="60% - Accent5" xfId="38" builtinId="48" customBuiltin="1"/>
    <cellStyle name="60% - Accent6" xfId="42" builtinId="52" customBuiltin="1"/>
    <cellStyle name="Accent1" xfId="19" builtinId="29" customBuiltin="1"/>
    <cellStyle name="Accent2" xfId="23" builtinId="33" customBuiltin="1"/>
    <cellStyle name="Accent3" xfId="27" builtinId="37" customBuiltin="1"/>
    <cellStyle name="Accent4" xfId="31" builtinId="41" customBuiltin="1"/>
    <cellStyle name="Accent5" xfId="35" builtinId="45" customBuiltin="1"/>
    <cellStyle name="Accent6" xfId="39" builtinId="49" customBuiltin="1"/>
    <cellStyle name="Bad" xfId="8" builtinId="27" customBuiltin="1"/>
    <cellStyle name="Calculation" xfId="12" builtinId="22" customBuiltin="1"/>
    <cellStyle name="Check Cell" xfId="14" builtinId="23" customBuiltin="1"/>
    <cellStyle name="Currency" xfId="43" builtinId="4"/>
    <cellStyle name="Explanatory Text" xfId="17" builtinId="53" customBuiltin="1"/>
    <cellStyle name="Good" xfId="7" builtinId="26" customBuiltin="1"/>
    <cellStyle name="Heading 1" xfId="3" builtinId="16" customBuiltin="1"/>
    <cellStyle name="Heading 2" xfId="4" builtinId="17" customBuiltin="1"/>
    <cellStyle name="Heading 3" xfId="5" builtinId="18" customBuiltin="1"/>
    <cellStyle name="Heading 4" xfId="6" builtinId="19" customBuiltin="1"/>
    <cellStyle name="Input" xfId="10" builtinId="20" customBuiltin="1"/>
    <cellStyle name="Linked Cell" xfId="13" builtinId="24" customBuiltin="1"/>
    <cellStyle name="Neutral" xfId="9" builtinId="28" customBuiltin="1"/>
    <cellStyle name="Normal" xfId="0" builtinId="0"/>
    <cellStyle name="Note" xfId="16" builtinId="10" customBuiltin="1"/>
    <cellStyle name="Output" xfId="11" builtinId="21" customBuiltin="1"/>
    <cellStyle name="Percent" xfId="1" builtinId="5"/>
    <cellStyle name="Title" xfId="2" builtinId="15" customBuiltin="1"/>
    <cellStyle name="Total" xfId="18" builtinId="25" customBuiltin="1"/>
    <cellStyle name="Warning Text" xfId="15" builtinId="11" customBuiltin="1"/>
  </cellStyles>
  <dxfs count="8">
    <dxf>
      <numFmt numFmtId="164" formatCode="_-[$R-1C09]* #,##0_-;\-[$R-1C09]* #,##0_-;_-[$R-1C09]* &quot;-&quot;??_-;_-@_-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yyyy/mm/dd"/>
    </dxf>
    <dxf>
      <numFmt numFmtId="164" formatCode="_-[$R-1C09]* #,##0_-;\-[$R-1C09]* #,##0_-;_-[$R-1C09]* &quot;-&quot;??_-;_-@_-"/>
    </dxf>
    <dxf>
      <numFmt numFmtId="13" formatCode="0%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onnections" Target="connection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2.xml"/><Relationship Id="rId11" Type="http://schemas.openxmlformats.org/officeDocument/2006/relationships/calcChain" Target="calcChain.xml"/><Relationship Id="rId5" Type="http://schemas.openxmlformats.org/officeDocument/2006/relationships/pivotCacheDefinition" Target="pivotCache/pivotCacheDefinition1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[sa_retail_sales (version 2).xlsx]PivotTables!PivotTable1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cap="all" spc="5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1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Sum of Revenue Per Region</a:t>
            </a:r>
          </a:p>
        </c:rich>
      </c:tx>
      <c:layout>
        <c:manualLayout>
          <c:xMode val="edge"/>
          <c:yMode val="edge"/>
          <c:x val="0.20976683896108078"/>
          <c:y val="0.11610586720138245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cap="all" spc="5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gradFill flip="none" rotWithShape="1">
            <a:gsLst>
              <a:gs pos="0">
                <a:schemeClr val="accent6"/>
              </a:gs>
              <a:gs pos="75000">
                <a:schemeClr val="accent6">
                  <a:lumMod val="60000"/>
                  <a:lumOff val="40000"/>
                </a:schemeClr>
              </a:gs>
              <a:gs pos="51000">
                <a:schemeClr val="accent6">
                  <a:alpha val="75000"/>
                </a:schemeClr>
              </a:gs>
              <a:gs pos="100000">
                <a:schemeClr val="accent6">
                  <a:lumMod val="20000"/>
                  <a:lumOff val="80000"/>
                  <a:alpha val="15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22262934157770159"/>
          <c:y val="0.19623715513821641"/>
          <c:w val="0.69198643114395975"/>
          <c:h val="0.58251278372812099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PivotTables!$B$3</c:f>
              <c:strCache>
                <c:ptCount val="1"/>
                <c:pt idx="0">
                  <c:v>Total</c:v>
                </c:pt>
              </c:strCache>
            </c:strRef>
          </c:tx>
          <c:spPr>
            <a:gradFill flip="none" rotWithShape="1">
              <a:gsLst>
                <a:gs pos="0">
                  <a:schemeClr val="accent6"/>
                </a:gs>
                <a:gs pos="75000">
                  <a:schemeClr val="accent6">
                    <a:lumMod val="60000"/>
                    <a:lumOff val="40000"/>
                  </a:schemeClr>
                </a:gs>
                <a:gs pos="51000">
                  <a:schemeClr val="accent6">
                    <a:alpha val="75000"/>
                  </a:schemeClr>
                </a:gs>
                <a:gs pos="100000">
                  <a:schemeClr val="accent6">
                    <a:lumMod val="20000"/>
                    <a:lumOff val="80000"/>
                    <a:alpha val="15000"/>
                  </a:schemeClr>
                </a:gs>
              </a:gsLst>
              <a:lin ang="5400000" scaled="0"/>
            </a:gradFill>
            <a:ln>
              <a:noFill/>
            </a:ln>
            <a:effectLst/>
          </c:spPr>
          <c:invertIfNegative val="0"/>
          <c:cat>
            <c:strRef>
              <c:f>PivotTables!$A$4:$A$8</c:f>
              <c:strCache>
                <c:ptCount val="4"/>
                <c:pt idx="0">
                  <c:v>Gauteng</c:v>
                </c:pt>
                <c:pt idx="1">
                  <c:v>Eastern Cape</c:v>
                </c:pt>
                <c:pt idx="2">
                  <c:v>KwaZulu-Natal</c:v>
                </c:pt>
                <c:pt idx="3">
                  <c:v>Western Cape</c:v>
                </c:pt>
              </c:strCache>
            </c:strRef>
          </c:cat>
          <c:val>
            <c:numRef>
              <c:f>PivotTables!$B$4:$B$8</c:f>
              <c:numCache>
                <c:formatCode>General</c:formatCode>
                <c:ptCount val="4"/>
                <c:pt idx="0">
                  <c:v>3963178</c:v>
                </c:pt>
                <c:pt idx="1">
                  <c:v>3908847</c:v>
                </c:pt>
                <c:pt idx="2">
                  <c:v>3838481</c:v>
                </c:pt>
                <c:pt idx="3">
                  <c:v>3635911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FF4-4CA8-92ED-D25958BBD64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515093632"/>
        <c:axId val="515094112"/>
      </c:barChart>
      <c:catAx>
        <c:axId val="515093632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15094112"/>
        <c:crosses val="autoZero"/>
        <c:auto val="1"/>
        <c:lblAlgn val="ctr"/>
        <c:lblOffset val="100"/>
        <c:noMultiLvlLbl val="0"/>
      </c:catAx>
      <c:valAx>
        <c:axId val="51509411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15093632"/>
        <c:crosses val="autoZero"/>
        <c:crossBetween val="between"/>
        <c:dispUnits>
          <c:builtInUnit val="thousands"/>
          <c:dispUnits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cap="all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</c:dispUnitsLbl>
        </c:dispUnits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49177253916880015"/>
          <c:y val="0.90951701689462727"/>
          <c:w val="0.11449124840989969"/>
          <c:h val="5.823022122234721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[sa_retail_sales (version 2).xlsx]PivotTables!PivotTable3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cap="all" spc="5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/>
              <a:t>Sum Of Revenue per Product Category</a:t>
            </a:r>
          </a:p>
        </c:rich>
      </c:tx>
      <c:layout>
        <c:manualLayout>
          <c:xMode val="edge"/>
          <c:yMode val="edge"/>
          <c:x val="0.10872940938943718"/>
          <c:y val="9.490032754170191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cap="all" spc="5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gradFill>
            <a:gsLst>
              <a:gs pos="100000">
                <a:schemeClr val="accent2">
                  <a:alpha val="0"/>
                </a:schemeClr>
              </a:gs>
              <a:gs pos="50000">
                <a:schemeClr val="accent2"/>
              </a:gs>
            </a:gsLst>
            <a:lin ang="5400000" scaled="0"/>
          </a:gra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>
        <c:manualLayout>
          <c:layoutTarget val="inner"/>
          <c:xMode val="edge"/>
          <c:yMode val="edge"/>
          <c:x val="0.18009316991484661"/>
          <c:y val="0.26769647079239056"/>
          <c:w val="0.74442643199011893"/>
          <c:h val="0.47670440988264889"/>
        </c:manualLayout>
      </c:layout>
      <c:bar3DChart>
        <c:barDir val="col"/>
        <c:grouping val="clustered"/>
        <c:varyColors val="0"/>
        <c:ser>
          <c:idx val="0"/>
          <c:order val="0"/>
          <c:tx>
            <c:strRef>
              <c:f>PivotTables!$B$21</c:f>
              <c:strCache>
                <c:ptCount val="1"/>
                <c:pt idx="0">
                  <c:v>Total</c:v>
                </c:pt>
              </c:strCache>
            </c:strRef>
          </c:tx>
          <c:spPr>
            <a:gradFill>
              <a:gsLst>
                <a:gs pos="100000">
                  <a:schemeClr val="accent2">
                    <a:alpha val="0"/>
                  </a:schemeClr>
                </a:gs>
                <a:gs pos="50000">
                  <a:schemeClr val="accent2"/>
                </a:gs>
              </a:gsLst>
              <a:lin ang="5400000" scaled="0"/>
            </a:gradFill>
            <a:ln>
              <a:noFill/>
            </a:ln>
            <a:effectLst/>
            <a:sp3d/>
          </c:spPr>
          <c:invertIfNegative val="0"/>
          <c:cat>
            <c:strRef>
              <c:f>PivotTables!$A$22:$A$26</c:f>
              <c:strCache>
                <c:ptCount val="4"/>
                <c:pt idx="0">
                  <c:v>Groceries</c:v>
                </c:pt>
                <c:pt idx="1">
                  <c:v>Electronics</c:v>
                </c:pt>
                <c:pt idx="2">
                  <c:v>Homeware</c:v>
                </c:pt>
                <c:pt idx="3">
                  <c:v>Clothing</c:v>
                </c:pt>
              </c:strCache>
            </c:strRef>
          </c:cat>
          <c:val>
            <c:numRef>
              <c:f>PivotTables!$B$22:$B$26</c:f>
              <c:numCache>
                <c:formatCode>General</c:formatCode>
                <c:ptCount val="4"/>
                <c:pt idx="0">
                  <c:v>880644</c:v>
                </c:pt>
                <c:pt idx="1">
                  <c:v>809380</c:v>
                </c:pt>
                <c:pt idx="2">
                  <c:v>712708</c:v>
                </c:pt>
                <c:pt idx="3">
                  <c:v>678534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870-4619-8F52-A9B065855A7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gapDepth val="0"/>
        <c:shape val="box"/>
        <c:axId val="1139306048"/>
        <c:axId val="1139302688"/>
        <c:axId val="0"/>
      </c:bar3DChart>
      <c:catAx>
        <c:axId val="113930604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39302688"/>
        <c:crosses val="autoZero"/>
        <c:auto val="1"/>
        <c:lblAlgn val="ctr"/>
        <c:lblOffset val="100"/>
        <c:noMultiLvlLbl val="0"/>
      </c:catAx>
      <c:valAx>
        <c:axId val="11393026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39306048"/>
        <c:crosses val="autoZero"/>
        <c:crossBetween val="between"/>
        <c:dispUnits>
          <c:builtInUnit val="millions"/>
          <c:dispUnitsLbl>
            <c:spPr>
              <a:noFill/>
              <a:ln>
                <a:noFill/>
              </a:ln>
              <a:effectLst/>
            </c:spPr>
            <c:txPr>
              <a:bodyPr rot="-5400000" spcFirstLastPara="1" vertOverflow="ellipsis" vert="horz" wrap="square" anchor="ctr" anchorCtr="1"/>
              <a:lstStyle/>
              <a:p>
                <a:pPr>
                  <a:defRPr sz="900" b="0" i="0" u="none" strike="noStrike" kern="1200" cap="all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</c:dispUnitsLbl>
        </c:dispUnits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52665695751445707"/>
          <c:y val="0.81966172100388279"/>
          <c:w val="0.18105960736808352"/>
          <c:h val="0.12661722780342113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[sa_retail_sales (version 2).xlsx]PivotTables!PivotTable2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SUM</a:t>
            </a:r>
            <a:r>
              <a:rPr lang="en-US" b="1" baseline="0"/>
              <a:t> OF REVENUE IN </a:t>
            </a:r>
            <a:r>
              <a:rPr lang="en-US" b="1"/>
              <a:t>2024</a:t>
            </a:r>
          </a:p>
        </c:rich>
      </c:tx>
      <c:layout>
        <c:manualLayout>
          <c:xMode val="edge"/>
          <c:yMode val="edge"/>
          <c:x val="0.23410696914633922"/>
          <c:y val="0.23682512816739026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</c:pivotFmts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>
        <c:manualLayout>
          <c:layoutTarget val="inner"/>
          <c:xMode val="edge"/>
          <c:yMode val="edge"/>
          <c:x val="0.1622934370965867"/>
          <c:y val="0.46503973802340126"/>
          <c:w val="0.57921471718835793"/>
          <c:h val="0.36192110800199562"/>
        </c:manualLayout>
      </c:layout>
      <c:pie3DChart>
        <c:varyColors val="1"/>
        <c:ser>
          <c:idx val="0"/>
          <c:order val="0"/>
          <c:tx>
            <c:strRef>
              <c:f>PivotTables!$B$12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EE2B-441E-9A5D-1B322CFCAAF3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EE2B-441E-9A5D-1B322CFCAAF3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EE2B-441E-9A5D-1B322CFCAAF3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EE2B-441E-9A5D-1B322CFCAAF3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EE2B-441E-9A5D-1B322CFCAAF3}"/>
              </c:ext>
            </c:extLst>
          </c:dPt>
          <c:cat>
            <c:strRef>
              <c:f>PivotTables!$A$13:$A$17</c:f>
              <c:strCache>
                <c:ptCount val="4"/>
                <c:pt idx="0">
                  <c:v>Qtr1</c:v>
                </c:pt>
                <c:pt idx="1">
                  <c:v>Qtr2</c:v>
                </c:pt>
                <c:pt idx="2">
                  <c:v>Qtr3</c:v>
                </c:pt>
                <c:pt idx="3">
                  <c:v>Qtr4</c:v>
                </c:pt>
              </c:strCache>
            </c:strRef>
          </c:cat>
          <c:val>
            <c:numRef>
              <c:f>PivotTables!$B$13:$B$17</c:f>
              <c:numCache>
                <c:formatCode>General</c:formatCode>
                <c:ptCount val="4"/>
                <c:pt idx="0">
                  <c:v>4036857</c:v>
                </c:pt>
                <c:pt idx="1">
                  <c:v>3850556</c:v>
                </c:pt>
                <c:pt idx="2">
                  <c:v>3682313</c:v>
                </c:pt>
                <c:pt idx="3">
                  <c:v>3776691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EE2B-441E-9A5D-1B322CFCAAF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[sa_retail_sales (version 2).xlsx]PivotTables!PivotTable4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r>
              <a:rPr lang="en-US" sz="1400"/>
              <a:t>SUM OF REVENUE PER SALES</a:t>
            </a:r>
            <a:r>
              <a:rPr lang="en-US" sz="1400" baseline="0"/>
              <a:t> REP</a:t>
            </a:r>
            <a:endParaRPr lang="en-US" sz="1400"/>
          </a:p>
        </c:rich>
      </c:tx>
      <c:layout>
        <c:manualLayout>
          <c:xMode val="edge"/>
          <c:yMode val="edge"/>
          <c:x val="0.13405354833038216"/>
          <c:y val="9.4958569859000183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 w="31750" cap="rnd">
            <a:solidFill>
              <a:schemeClr val="accent6"/>
            </a:solidFill>
            <a:round/>
          </a:ln>
          <a:effectLst/>
        </c:spPr>
        <c:marker>
          <c:symbol val="circle"/>
          <c:size val="6"/>
          <c:spPr>
            <a:gradFill rotWithShape="1">
              <a:gsLst>
                <a:gs pos="0">
                  <a:schemeClr val="accent6">
                    <a:satMod val="103000"/>
                    <a:lumMod val="102000"/>
                    <a:tint val="94000"/>
                  </a:schemeClr>
                </a:gs>
                <a:gs pos="50000">
                  <a:schemeClr val="accent6">
                    <a:satMod val="110000"/>
                    <a:lumMod val="100000"/>
                    <a:shade val="100000"/>
                  </a:schemeClr>
                </a:gs>
                <a:gs pos="100000">
                  <a:schemeClr val="accent6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18368370227306494"/>
          <c:y val="0.26222178129590568"/>
          <c:w val="0.70151599564205414"/>
          <c:h val="0.49956940064189587"/>
        </c:manualLayout>
      </c:layout>
      <c:lineChart>
        <c:grouping val="standard"/>
        <c:varyColors val="0"/>
        <c:ser>
          <c:idx val="0"/>
          <c:order val="0"/>
          <c:tx>
            <c:strRef>
              <c:f>PivotTables!$E$3</c:f>
              <c:strCache>
                <c:ptCount val="1"/>
                <c:pt idx="0">
                  <c:v>Total</c:v>
                </c:pt>
              </c:strCache>
            </c:strRef>
          </c:tx>
          <c:spPr>
            <a:ln w="317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6"/>
            <c:spPr>
              <a:gradFill rotWithShape="1">
                <a:gsLst>
                  <a:gs pos="0">
                    <a:schemeClr val="accent6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6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6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w="12700">
                <a:solidFill>
                  <a:schemeClr val="lt2"/>
                </a:solidFill>
                <a:round/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2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PivotTables!$D$4:$D$8</c:f>
              <c:strCache>
                <c:ptCount val="4"/>
                <c:pt idx="0">
                  <c:v>A. Mokoena</c:v>
                </c:pt>
                <c:pt idx="1">
                  <c:v>L. Dlamini</c:v>
                </c:pt>
                <c:pt idx="2">
                  <c:v>S. Naidoo</c:v>
                </c:pt>
                <c:pt idx="3">
                  <c:v>T. Van Wyk</c:v>
                </c:pt>
              </c:strCache>
            </c:strRef>
          </c:cat>
          <c:val>
            <c:numRef>
              <c:f>PivotTables!$E$4:$E$8</c:f>
              <c:numCache>
                <c:formatCode>General</c:formatCode>
                <c:ptCount val="4"/>
                <c:pt idx="0">
                  <c:v>3695884</c:v>
                </c:pt>
                <c:pt idx="1">
                  <c:v>3936331</c:v>
                </c:pt>
                <c:pt idx="2">
                  <c:v>3988480</c:v>
                </c:pt>
                <c:pt idx="3">
                  <c:v>3725722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ECF-4915-A7C9-67078FEAB7F4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468765040"/>
        <c:axId val="468765520"/>
      </c:lineChart>
      <c:catAx>
        <c:axId val="46876504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2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68765520"/>
        <c:crosses val="autoZero"/>
        <c:auto val="1"/>
        <c:lblAlgn val="ctr"/>
        <c:lblOffset val="100"/>
        <c:noMultiLvlLbl val="0"/>
      </c:catAx>
      <c:valAx>
        <c:axId val="4687655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2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68765040"/>
        <c:crosses val="autoZero"/>
        <c:crossBetween val="between"/>
        <c:dispUnits>
          <c:builtInUnit val="thousands"/>
          <c:dispUnitsLbl>
            <c:spPr>
              <a:noFill/>
              <a:ln>
                <a:noFill/>
              </a:ln>
              <a:effectLst/>
            </c:spPr>
            <c:txPr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</c:dispUnitsLbl>
        </c:dispUnits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48032548407864106"/>
          <c:y val="0.92199363673705248"/>
          <c:w val="0.19021210865388238"/>
          <c:h val="7.800654642006958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2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93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/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bg1"/>
    </cs:fontRef>
    <cs:spPr>
      <a:solidFill>
        <a:schemeClr val="tx1">
          <a:lumMod val="50000"/>
          <a:lumOff val="50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gradFill flip="none" rotWithShape="1">
        <a:gsLst>
          <a:gs pos="0">
            <a:schemeClr val="phClr"/>
          </a:gs>
          <a:gs pos="75000">
            <a:schemeClr val="phClr">
              <a:lumMod val="60000"/>
              <a:lumOff val="40000"/>
            </a:schemeClr>
          </a:gs>
          <a:gs pos="51000">
            <a:schemeClr val="phClr">
              <a:alpha val="75000"/>
            </a:schemeClr>
          </a:gs>
          <a:gs pos="100000">
            <a:schemeClr val="phClr">
              <a:lumMod val="20000"/>
              <a:lumOff val="80000"/>
              <a:alpha val="15000"/>
            </a:schemeClr>
          </a:gs>
        </a:gsLst>
        <a:lin ang="5400000" scaled="0"/>
      </a:gra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gradFill>
        <a:gsLst>
          <a:gs pos="100000">
            <a:schemeClr val="phClr">
              <a:alpha val="0"/>
            </a:schemeClr>
          </a:gs>
          <a:gs pos="50000">
            <a:schemeClr val="phClr"/>
          </a:gs>
        </a:gsLst>
        <a:lin ang="5400000" scaled="0"/>
      </a:gradFill>
      <a:sp3d/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gradFill flip="none" rotWithShape="1">
        <a:gsLst>
          <a:gs pos="0">
            <a:schemeClr val="phClr"/>
          </a:gs>
          <a:gs pos="75000">
            <a:schemeClr val="phClr">
              <a:lumMod val="60000"/>
              <a:lumOff val="40000"/>
            </a:schemeClr>
          </a:gs>
          <a:gs pos="51000">
            <a:schemeClr val="phClr">
              <a:alpha val="75000"/>
            </a:schemeClr>
          </a:gs>
          <a:gs pos="100000">
            <a:schemeClr val="phClr">
              <a:lumMod val="20000"/>
              <a:lumOff val="80000"/>
              <a:alpha val="15000"/>
            </a:schemeClr>
          </a:gs>
        </a:gsLst>
        <a:lin ang="5400000" scaled="0"/>
      </a:gradFill>
      <a:ln w="9525" cap="flat" cmpd="sng" algn="ctr">
        <a:solidFill>
          <a:schemeClr val="phClr">
            <a:shade val="95000"/>
          </a:schemeClr>
        </a:solidFill>
        <a:round/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  <a:headEnd type="none" w="sm" len="sm"/>
        <a:tailEnd type="none" w="sm" len="sm"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800" b="1" kern="1200" cap="all" spc="5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93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/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bg1"/>
    </cs:fontRef>
    <cs:spPr>
      <a:solidFill>
        <a:schemeClr val="tx1">
          <a:lumMod val="50000"/>
          <a:lumOff val="50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gradFill flip="none" rotWithShape="1">
        <a:gsLst>
          <a:gs pos="0">
            <a:schemeClr val="phClr"/>
          </a:gs>
          <a:gs pos="75000">
            <a:schemeClr val="phClr">
              <a:lumMod val="60000"/>
              <a:lumOff val="40000"/>
            </a:schemeClr>
          </a:gs>
          <a:gs pos="51000">
            <a:schemeClr val="phClr">
              <a:alpha val="75000"/>
            </a:schemeClr>
          </a:gs>
          <a:gs pos="100000">
            <a:schemeClr val="phClr">
              <a:lumMod val="20000"/>
              <a:lumOff val="80000"/>
              <a:alpha val="15000"/>
            </a:schemeClr>
          </a:gs>
        </a:gsLst>
        <a:lin ang="5400000" scaled="0"/>
      </a:gra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gradFill>
        <a:gsLst>
          <a:gs pos="100000">
            <a:schemeClr val="phClr">
              <a:alpha val="0"/>
            </a:schemeClr>
          </a:gs>
          <a:gs pos="50000">
            <a:schemeClr val="phClr"/>
          </a:gs>
        </a:gsLst>
        <a:lin ang="5400000" scaled="0"/>
      </a:gradFill>
      <a:sp3d/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gradFill flip="none" rotWithShape="1">
        <a:gsLst>
          <a:gs pos="0">
            <a:schemeClr val="phClr"/>
          </a:gs>
          <a:gs pos="75000">
            <a:schemeClr val="phClr">
              <a:lumMod val="60000"/>
              <a:lumOff val="40000"/>
            </a:schemeClr>
          </a:gs>
          <a:gs pos="51000">
            <a:schemeClr val="phClr">
              <a:alpha val="75000"/>
            </a:schemeClr>
          </a:gs>
          <a:gs pos="100000">
            <a:schemeClr val="phClr">
              <a:lumMod val="20000"/>
              <a:lumOff val="80000"/>
              <a:alpha val="15000"/>
            </a:schemeClr>
          </a:gs>
        </a:gsLst>
        <a:lin ang="5400000" scaled="0"/>
      </a:gradFill>
      <a:ln w="9525" cap="flat" cmpd="sng" algn="ctr">
        <a:solidFill>
          <a:schemeClr val="phClr">
            <a:shade val="95000"/>
          </a:schemeClr>
        </a:solidFill>
        <a:round/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  <a:headEnd type="none" w="sm" len="sm"/>
        <a:tailEnd type="none" w="sm" len="sm"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800" b="1" kern="1200" cap="all" spc="5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6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31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3">
      <cs:styleClr val="auto"/>
    </cs:fillRef>
    <cs:effectRef idx="2"/>
    <cs:fontRef idx="minor">
      <a:schemeClr val="tx2"/>
    </cs:fontRef>
    <cs:spPr>
      <a:ln w="12700">
        <a:solidFill>
          <a:schemeClr val="lt2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defRPr sz="900" kern="1200"/>
  </cs:valueAxis>
  <cs:wall>
    <cs:lnRef idx="0"/>
    <cs:fillRef idx="0"/>
    <cs:effectRef idx="0"/>
    <cs:fontRef idx="minor">
      <a:schemeClr val="tx2"/>
    </cs:fontRef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0</xdr:col>
      <xdr:colOff>586740</xdr:colOff>
      <xdr:row>41</xdr:row>
      <xdr:rowOff>167640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193DABC4-71AD-6C21-C976-EDF74D009958}"/>
            </a:ext>
          </a:extLst>
        </xdr:cNvPr>
        <xdr:cNvSpPr/>
      </xdr:nvSpPr>
      <xdr:spPr>
        <a:xfrm>
          <a:off x="0" y="0"/>
          <a:ext cx="586740" cy="7665720"/>
        </a:xfrm>
        <a:prstGeom prst="rect">
          <a:avLst/>
        </a:prstGeom>
        <a:solidFill>
          <a:schemeClr val="accent6">
            <a:lumMod val="75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ZA" sz="1100"/>
        </a:p>
      </xdr:txBody>
    </xdr:sp>
    <xdr:clientData/>
  </xdr:twoCellAnchor>
  <xdr:twoCellAnchor>
    <xdr:from>
      <xdr:col>1</xdr:col>
      <xdr:colOff>0</xdr:colOff>
      <xdr:row>0</xdr:row>
      <xdr:rowOff>38100</xdr:rowOff>
    </xdr:from>
    <xdr:to>
      <xdr:col>18</xdr:col>
      <xdr:colOff>205740</xdr:colOff>
      <xdr:row>3</xdr:row>
      <xdr:rowOff>129540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4476B930-BB12-48F2-4AD5-6F71187F5F06}"/>
            </a:ext>
          </a:extLst>
        </xdr:cNvPr>
        <xdr:cNvSpPr txBox="1"/>
      </xdr:nvSpPr>
      <xdr:spPr>
        <a:xfrm>
          <a:off x="609600" y="38100"/>
          <a:ext cx="10568940" cy="640080"/>
        </a:xfrm>
        <a:prstGeom prst="rect">
          <a:avLst/>
        </a:prstGeom>
        <a:solidFill>
          <a:schemeClr val="lt1"/>
        </a:solidFill>
        <a:ln w="9525" cmpd="sng">
          <a:noFill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ZA" sz="2400" b="1">
              <a:solidFill>
                <a:schemeClr val="accent6">
                  <a:lumMod val="75000"/>
                </a:schemeClr>
              </a:solidFill>
              <a:latin typeface="+mn-lt"/>
              <a:ea typeface="+mn-ea"/>
              <a:cs typeface="+mn-cs"/>
            </a:rPr>
            <a:t>Telco SA </a:t>
          </a:r>
          <a:r>
            <a:rPr lang="en-ZA" sz="2400" b="1">
              <a:solidFill>
                <a:schemeClr val="accent6">
                  <a:lumMod val="75000"/>
                </a:schemeClr>
              </a:solidFill>
            </a:rPr>
            <a:t>– Customer  Dashboard</a:t>
          </a:r>
        </a:p>
      </xdr:txBody>
    </xdr:sp>
    <xdr:clientData/>
  </xdr:twoCellAnchor>
  <xdr:twoCellAnchor>
    <xdr:from>
      <xdr:col>1</xdr:col>
      <xdr:colOff>114300</xdr:colOff>
      <xdr:row>8</xdr:row>
      <xdr:rowOff>114300</xdr:rowOff>
    </xdr:from>
    <xdr:to>
      <xdr:col>12</xdr:col>
      <xdr:colOff>563880</xdr:colOff>
      <xdr:row>29</xdr:row>
      <xdr:rowOff>0</xdr:rowOff>
    </xdr:to>
    <xdr:sp macro="" textlink="">
      <xdr:nvSpPr>
        <xdr:cNvPr id="9" name="Rectangle 8">
          <a:extLst>
            <a:ext uri="{FF2B5EF4-FFF2-40B4-BE49-F238E27FC236}">
              <a16:creationId xmlns:a16="http://schemas.microsoft.com/office/drawing/2014/main" id="{F709EDC3-8546-4E73-B900-7853FA96DDD5}"/>
            </a:ext>
          </a:extLst>
        </xdr:cNvPr>
        <xdr:cNvSpPr/>
      </xdr:nvSpPr>
      <xdr:spPr>
        <a:xfrm>
          <a:off x="723900" y="1577340"/>
          <a:ext cx="7155180" cy="3726180"/>
        </a:xfrm>
        <a:prstGeom prst="rect">
          <a:avLst/>
        </a:prstGeom>
        <a:ln>
          <a:noFill/>
        </a:ln>
        <a:effectLst>
          <a:outerShdw blurRad="50800" dist="38100" dir="5400000" algn="t" rotWithShape="0">
            <a:prstClr val="black">
              <a:alpha val="40000"/>
            </a:prstClr>
          </a:outerShdw>
        </a:effectLst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ZA" sz="1100"/>
        </a:p>
      </xdr:txBody>
    </xdr:sp>
    <xdr:clientData/>
  </xdr:twoCellAnchor>
  <xdr:twoCellAnchor>
    <xdr:from>
      <xdr:col>1</xdr:col>
      <xdr:colOff>365760</xdr:colOff>
      <xdr:row>10</xdr:row>
      <xdr:rowOff>114300</xdr:rowOff>
    </xdr:from>
    <xdr:to>
      <xdr:col>4</xdr:col>
      <xdr:colOff>274320</xdr:colOff>
      <xdr:row>11</xdr:row>
      <xdr:rowOff>152400</xdr:rowOff>
    </xdr:to>
    <xdr:sp macro="" textlink="">
      <xdr:nvSpPr>
        <xdr:cNvPr id="11" name="TextBox 10">
          <a:extLst>
            <a:ext uri="{FF2B5EF4-FFF2-40B4-BE49-F238E27FC236}">
              <a16:creationId xmlns:a16="http://schemas.microsoft.com/office/drawing/2014/main" id="{6518A233-5F21-40BF-B567-F0D11934C518}"/>
            </a:ext>
          </a:extLst>
        </xdr:cNvPr>
        <xdr:cNvSpPr txBox="1"/>
      </xdr:nvSpPr>
      <xdr:spPr>
        <a:xfrm>
          <a:off x="975360" y="1943100"/>
          <a:ext cx="1737360" cy="22098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n-ZA" sz="1100" b="1">
            <a:solidFill>
              <a:schemeClr val="accent6">
                <a:lumMod val="75000"/>
              </a:schemeClr>
            </a:solidFill>
          </a:endParaRPr>
        </a:p>
      </xdr:txBody>
    </xdr:sp>
    <xdr:clientData/>
  </xdr:twoCellAnchor>
  <xdr:twoCellAnchor>
    <xdr:from>
      <xdr:col>1</xdr:col>
      <xdr:colOff>99060</xdr:colOff>
      <xdr:row>4</xdr:row>
      <xdr:rowOff>22860</xdr:rowOff>
    </xdr:from>
    <xdr:to>
      <xdr:col>12</xdr:col>
      <xdr:colOff>586740</xdr:colOff>
      <xdr:row>8</xdr:row>
      <xdr:rowOff>68580</xdr:rowOff>
    </xdr:to>
    <xdr:grpSp>
      <xdr:nvGrpSpPr>
        <xdr:cNvPr id="26" name="Group 25">
          <a:extLst>
            <a:ext uri="{FF2B5EF4-FFF2-40B4-BE49-F238E27FC236}">
              <a16:creationId xmlns:a16="http://schemas.microsoft.com/office/drawing/2014/main" id="{74F6C831-BDB0-C697-ADE2-BEA865D1EEE8}"/>
            </a:ext>
          </a:extLst>
        </xdr:cNvPr>
        <xdr:cNvGrpSpPr/>
      </xdr:nvGrpSpPr>
      <xdr:grpSpPr>
        <a:xfrm>
          <a:off x="708660" y="754380"/>
          <a:ext cx="7193280" cy="777240"/>
          <a:chOff x="723900" y="1196340"/>
          <a:chExt cx="6065520" cy="861060"/>
        </a:xfrm>
      </xdr:grpSpPr>
      <xdr:grpSp>
        <xdr:nvGrpSpPr>
          <xdr:cNvPr id="23" name="Group 22">
            <a:extLst>
              <a:ext uri="{FF2B5EF4-FFF2-40B4-BE49-F238E27FC236}">
                <a16:creationId xmlns:a16="http://schemas.microsoft.com/office/drawing/2014/main" id="{91E21AE8-6B69-7594-B19F-D110CBFE6125}"/>
              </a:ext>
            </a:extLst>
          </xdr:cNvPr>
          <xdr:cNvGrpSpPr/>
        </xdr:nvGrpSpPr>
        <xdr:grpSpPr>
          <a:xfrm>
            <a:off x="723900" y="1196340"/>
            <a:ext cx="1905000" cy="845820"/>
            <a:chOff x="891540" y="1554480"/>
            <a:chExt cx="1965960" cy="944880"/>
          </a:xfrm>
        </xdr:grpSpPr>
        <xdr:sp macro="" textlink="">
          <xdr:nvSpPr>
            <xdr:cNvPr id="7" name="Rectangle 6">
              <a:extLst>
                <a:ext uri="{FF2B5EF4-FFF2-40B4-BE49-F238E27FC236}">
                  <a16:creationId xmlns:a16="http://schemas.microsoft.com/office/drawing/2014/main" id="{DECEAE17-E401-441A-9310-E80F88C93D06}"/>
                </a:ext>
              </a:extLst>
            </xdr:cNvPr>
            <xdr:cNvSpPr/>
          </xdr:nvSpPr>
          <xdr:spPr>
            <a:xfrm>
              <a:off x="891540" y="1554480"/>
              <a:ext cx="1965960" cy="944880"/>
            </a:xfrm>
            <a:prstGeom prst="rect">
              <a:avLst/>
            </a:prstGeom>
            <a:ln>
              <a:noFill/>
            </a:ln>
            <a:effectLst>
              <a:outerShdw blurRad="50800" dist="38100" dir="5400000" algn="t" rotWithShape="0">
                <a:prstClr val="black">
                  <a:alpha val="40000"/>
                </a:prstClr>
              </a:outerShdw>
            </a:effectLst>
          </xdr:spPr>
          <xdr:style>
            <a:lnRef idx="2">
              <a:schemeClr val="accent6"/>
            </a:lnRef>
            <a:fillRef idx="1">
              <a:schemeClr val="lt1"/>
            </a:fillRef>
            <a:effectRef idx="0">
              <a:schemeClr val="accent6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l"/>
              <a:endParaRPr lang="en-ZA" sz="1100"/>
            </a:p>
          </xdr:txBody>
        </xdr:sp>
        <xdr:sp macro="" textlink="">
          <xdr:nvSpPr>
            <xdr:cNvPr id="5" name="TextBox 4">
              <a:extLst>
                <a:ext uri="{FF2B5EF4-FFF2-40B4-BE49-F238E27FC236}">
                  <a16:creationId xmlns:a16="http://schemas.microsoft.com/office/drawing/2014/main" id="{10EF1530-1651-7FBF-C5BB-72738EC05743}"/>
                </a:ext>
              </a:extLst>
            </xdr:cNvPr>
            <xdr:cNvSpPr txBox="1"/>
          </xdr:nvSpPr>
          <xdr:spPr>
            <a:xfrm>
              <a:off x="982980" y="1630680"/>
              <a:ext cx="1737360" cy="220980"/>
            </a:xfrm>
            <a:prstGeom prst="rect">
              <a:avLst/>
            </a:prstGeom>
            <a:solidFill>
              <a:schemeClr val="lt1"/>
            </a:solidFill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r>
                <a:rPr lang="en-ZA" sz="1100" b="1">
                  <a:solidFill>
                    <a:schemeClr val="accent6">
                      <a:lumMod val="75000"/>
                    </a:schemeClr>
                  </a:solidFill>
                </a:rPr>
                <a:t>Total Revenue</a:t>
              </a:r>
            </a:p>
          </xdr:txBody>
        </xdr:sp>
        <xdr:sp macro="" textlink="#REF!">
          <xdr:nvSpPr>
            <xdr:cNvPr id="13" name="TextBox 12">
              <a:extLst>
                <a:ext uri="{FF2B5EF4-FFF2-40B4-BE49-F238E27FC236}">
                  <a16:creationId xmlns:a16="http://schemas.microsoft.com/office/drawing/2014/main" id="{F0B1BAA0-58EC-67EF-1322-3C1FB94E31EE}"/>
                </a:ext>
              </a:extLst>
            </xdr:cNvPr>
            <xdr:cNvSpPr txBox="1"/>
          </xdr:nvSpPr>
          <xdr:spPr>
            <a:xfrm>
              <a:off x="1120140" y="1950720"/>
              <a:ext cx="1592580" cy="381000"/>
            </a:xfrm>
            <a:prstGeom prst="rect">
              <a:avLst/>
            </a:prstGeom>
            <a:solidFill>
              <a:schemeClr val="lt1"/>
            </a:solidFill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fld id="{09EC4D70-C8C3-4C65-B576-ABB44E69C45A}" type="TxLink">
                <a:rPr lang="en-US" sz="1600" b="1" i="0" u="none" strike="noStrike">
                  <a:solidFill>
                    <a:schemeClr val="accent6">
                      <a:lumMod val="75000"/>
                    </a:schemeClr>
                  </a:solidFill>
                  <a:latin typeface="Aptos Narrow"/>
                </a:rPr>
                <a:pPr/>
                <a:t> 15 346 417 </a:t>
              </a:fld>
              <a:endParaRPr lang="en-ZA" sz="1600" b="1">
                <a:solidFill>
                  <a:schemeClr val="accent6">
                    <a:lumMod val="75000"/>
                  </a:schemeClr>
                </a:solidFill>
              </a:endParaRPr>
            </a:p>
          </xdr:txBody>
        </xdr:sp>
      </xdr:grpSp>
      <xdr:grpSp>
        <xdr:nvGrpSpPr>
          <xdr:cNvPr id="24" name="Group 23">
            <a:extLst>
              <a:ext uri="{FF2B5EF4-FFF2-40B4-BE49-F238E27FC236}">
                <a16:creationId xmlns:a16="http://schemas.microsoft.com/office/drawing/2014/main" id="{EA9A69A4-B58D-44A6-FCE6-681CD55542BB}"/>
              </a:ext>
            </a:extLst>
          </xdr:cNvPr>
          <xdr:cNvGrpSpPr/>
        </xdr:nvGrpSpPr>
        <xdr:grpSpPr>
          <a:xfrm>
            <a:off x="2788920" y="1203960"/>
            <a:ext cx="1988820" cy="853440"/>
            <a:chOff x="3200400" y="1592580"/>
            <a:chExt cx="2095500" cy="944880"/>
          </a:xfrm>
        </xdr:grpSpPr>
        <xdr:sp macro="" textlink="">
          <xdr:nvSpPr>
            <xdr:cNvPr id="3" name="Rectangle 2">
              <a:extLst>
                <a:ext uri="{FF2B5EF4-FFF2-40B4-BE49-F238E27FC236}">
                  <a16:creationId xmlns:a16="http://schemas.microsoft.com/office/drawing/2014/main" id="{81992B4B-B960-E1F9-66B9-D8DAE32928CA}"/>
                </a:ext>
              </a:extLst>
            </xdr:cNvPr>
            <xdr:cNvSpPr/>
          </xdr:nvSpPr>
          <xdr:spPr>
            <a:xfrm>
              <a:off x="3200400" y="1592580"/>
              <a:ext cx="2095500" cy="944880"/>
            </a:xfrm>
            <a:prstGeom prst="rect">
              <a:avLst/>
            </a:prstGeom>
            <a:ln>
              <a:noFill/>
            </a:ln>
            <a:effectLst>
              <a:outerShdw blurRad="50800" dist="38100" dir="5400000" algn="t" rotWithShape="0">
                <a:prstClr val="black">
                  <a:alpha val="40000"/>
                </a:prstClr>
              </a:outerShdw>
            </a:effectLst>
          </xdr:spPr>
          <xdr:style>
            <a:lnRef idx="2">
              <a:schemeClr val="accent6"/>
            </a:lnRef>
            <a:fillRef idx="1">
              <a:schemeClr val="lt1"/>
            </a:fillRef>
            <a:effectRef idx="0">
              <a:schemeClr val="accent6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l"/>
              <a:endParaRPr lang="en-ZA" sz="1100"/>
            </a:p>
          </xdr:txBody>
        </xdr:sp>
        <xdr:sp macro="" textlink="">
          <xdr:nvSpPr>
            <xdr:cNvPr id="14" name="TextBox 13">
              <a:extLst>
                <a:ext uri="{FF2B5EF4-FFF2-40B4-BE49-F238E27FC236}">
                  <a16:creationId xmlns:a16="http://schemas.microsoft.com/office/drawing/2014/main" id="{7E015AE4-5B71-4095-906D-5DBE78DF70C2}"/>
                </a:ext>
              </a:extLst>
            </xdr:cNvPr>
            <xdr:cNvSpPr txBox="1"/>
          </xdr:nvSpPr>
          <xdr:spPr>
            <a:xfrm>
              <a:off x="3215640" y="1607820"/>
              <a:ext cx="1737360" cy="220980"/>
            </a:xfrm>
            <a:prstGeom prst="rect">
              <a:avLst/>
            </a:prstGeom>
            <a:solidFill>
              <a:schemeClr val="lt1"/>
            </a:solidFill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r>
                <a:rPr lang="en-ZA" sz="1100" b="1">
                  <a:solidFill>
                    <a:schemeClr val="accent6">
                      <a:lumMod val="75000"/>
                    </a:schemeClr>
                  </a:solidFill>
                </a:rPr>
                <a:t>Profit</a:t>
              </a:r>
              <a:r>
                <a:rPr lang="en-ZA" sz="1100" b="1" baseline="0">
                  <a:solidFill>
                    <a:schemeClr val="accent6">
                      <a:lumMod val="75000"/>
                    </a:schemeClr>
                  </a:solidFill>
                </a:rPr>
                <a:t> Margin</a:t>
              </a:r>
              <a:endParaRPr lang="en-ZA" sz="1100" b="1">
                <a:solidFill>
                  <a:schemeClr val="accent6">
                    <a:lumMod val="75000"/>
                  </a:schemeClr>
                </a:solidFill>
              </a:endParaRPr>
            </a:p>
          </xdr:txBody>
        </xdr:sp>
        <xdr:sp macro="" textlink="'Pivot Tables'!E11">
          <xdr:nvSpPr>
            <xdr:cNvPr id="16" name="TextBox 15">
              <a:extLst>
                <a:ext uri="{FF2B5EF4-FFF2-40B4-BE49-F238E27FC236}">
                  <a16:creationId xmlns:a16="http://schemas.microsoft.com/office/drawing/2014/main" id="{42A3251D-B85C-4B9D-A849-1CCE755CD3D7}"/>
                </a:ext>
              </a:extLst>
            </xdr:cNvPr>
            <xdr:cNvSpPr txBox="1"/>
          </xdr:nvSpPr>
          <xdr:spPr>
            <a:xfrm>
              <a:off x="3916680" y="1988820"/>
              <a:ext cx="1298558" cy="381000"/>
            </a:xfrm>
            <a:prstGeom prst="rect">
              <a:avLst/>
            </a:prstGeom>
            <a:solidFill>
              <a:schemeClr val="lt1"/>
            </a:solidFill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fld id="{131D6794-EFAC-4503-A0A2-8272C283F29D}" type="TxLink">
                <a:rPr lang="en-US" sz="1600" b="1" i="0" u="none" strike="noStrike">
                  <a:solidFill>
                    <a:schemeClr val="accent6">
                      <a:lumMod val="75000"/>
                    </a:schemeClr>
                  </a:solidFill>
                  <a:latin typeface="Aptos Narrow"/>
                </a:rPr>
                <a:pPr/>
                <a:t> R4 046 072 </a:t>
              </a:fld>
              <a:endParaRPr lang="en-ZA" sz="2400" b="1">
                <a:solidFill>
                  <a:schemeClr val="accent6">
                    <a:lumMod val="75000"/>
                  </a:schemeClr>
                </a:solidFill>
              </a:endParaRPr>
            </a:p>
          </xdr:txBody>
        </xdr:sp>
      </xdr:grpSp>
      <xdr:grpSp>
        <xdr:nvGrpSpPr>
          <xdr:cNvPr id="21" name="Group 20">
            <a:extLst>
              <a:ext uri="{FF2B5EF4-FFF2-40B4-BE49-F238E27FC236}">
                <a16:creationId xmlns:a16="http://schemas.microsoft.com/office/drawing/2014/main" id="{2FFFBBB6-5F1B-F53F-045D-6A8F891BA694}"/>
              </a:ext>
            </a:extLst>
          </xdr:cNvPr>
          <xdr:cNvGrpSpPr/>
        </xdr:nvGrpSpPr>
        <xdr:grpSpPr>
          <a:xfrm>
            <a:off x="4930140" y="1242060"/>
            <a:ext cx="1859280" cy="800100"/>
            <a:chOff x="5593080" y="1592580"/>
            <a:chExt cx="2080260" cy="944880"/>
          </a:xfrm>
        </xdr:grpSpPr>
        <xdr:sp macro="" textlink="">
          <xdr:nvSpPr>
            <xdr:cNvPr id="8" name="Rectangle 7">
              <a:extLst>
                <a:ext uri="{FF2B5EF4-FFF2-40B4-BE49-F238E27FC236}">
                  <a16:creationId xmlns:a16="http://schemas.microsoft.com/office/drawing/2014/main" id="{03BDC83E-B572-4EA8-B8D4-13424CA4407A}"/>
                </a:ext>
              </a:extLst>
            </xdr:cNvPr>
            <xdr:cNvSpPr/>
          </xdr:nvSpPr>
          <xdr:spPr>
            <a:xfrm>
              <a:off x="5593080" y="1592580"/>
              <a:ext cx="2080260" cy="944880"/>
            </a:xfrm>
            <a:prstGeom prst="rect">
              <a:avLst/>
            </a:prstGeom>
            <a:ln>
              <a:noFill/>
            </a:ln>
            <a:effectLst>
              <a:outerShdw blurRad="50800" dist="38100" dir="5400000" algn="t" rotWithShape="0">
                <a:prstClr val="black">
                  <a:alpha val="40000"/>
                </a:prstClr>
              </a:outerShdw>
            </a:effectLst>
          </xdr:spPr>
          <xdr:style>
            <a:lnRef idx="2">
              <a:schemeClr val="accent6"/>
            </a:lnRef>
            <a:fillRef idx="1">
              <a:schemeClr val="lt1"/>
            </a:fillRef>
            <a:effectRef idx="0">
              <a:schemeClr val="accent6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l"/>
              <a:endParaRPr lang="en-ZA" sz="1100"/>
            </a:p>
          </xdr:txBody>
        </xdr:sp>
        <xdr:sp macro="" textlink="">
          <xdr:nvSpPr>
            <xdr:cNvPr id="15" name="TextBox 14">
              <a:extLst>
                <a:ext uri="{FF2B5EF4-FFF2-40B4-BE49-F238E27FC236}">
                  <a16:creationId xmlns:a16="http://schemas.microsoft.com/office/drawing/2014/main" id="{3AA2FB88-FC1B-4F6B-9933-25B66F0CE0BE}"/>
                </a:ext>
              </a:extLst>
            </xdr:cNvPr>
            <xdr:cNvSpPr txBox="1"/>
          </xdr:nvSpPr>
          <xdr:spPr>
            <a:xfrm>
              <a:off x="5669280" y="1607820"/>
              <a:ext cx="1737360" cy="220980"/>
            </a:xfrm>
            <a:prstGeom prst="rect">
              <a:avLst/>
            </a:prstGeom>
            <a:solidFill>
              <a:schemeClr val="lt1"/>
            </a:solidFill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r>
                <a:rPr lang="en-ZA" sz="1100" b="1">
                  <a:solidFill>
                    <a:schemeClr val="accent6">
                      <a:lumMod val="75000"/>
                    </a:schemeClr>
                  </a:solidFill>
                </a:rPr>
                <a:t>Average Order Value</a:t>
              </a:r>
            </a:p>
          </xdr:txBody>
        </xdr:sp>
        <xdr:sp macro="" textlink="'Pivot Tables'!I10">
          <xdr:nvSpPr>
            <xdr:cNvPr id="17" name="TextBox 16">
              <a:extLst>
                <a:ext uri="{FF2B5EF4-FFF2-40B4-BE49-F238E27FC236}">
                  <a16:creationId xmlns:a16="http://schemas.microsoft.com/office/drawing/2014/main" id="{BA3CBC2D-6997-44EA-BD3C-EF7F3A8238E7}"/>
                </a:ext>
              </a:extLst>
            </xdr:cNvPr>
            <xdr:cNvSpPr txBox="1"/>
          </xdr:nvSpPr>
          <xdr:spPr>
            <a:xfrm>
              <a:off x="6202680" y="1973580"/>
              <a:ext cx="1242060" cy="381000"/>
            </a:xfrm>
            <a:prstGeom prst="rect">
              <a:avLst/>
            </a:prstGeom>
            <a:solidFill>
              <a:schemeClr val="lt1"/>
            </a:solidFill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fld id="{ADD5EE1F-DD0E-4FC4-859D-90C3F888D9BD}" type="TxLink">
                <a:rPr lang="en-US" sz="1600" b="1" i="0" u="none" strike="noStrike">
                  <a:solidFill>
                    <a:schemeClr val="accent6">
                      <a:lumMod val="75000"/>
                    </a:schemeClr>
                  </a:solidFill>
                  <a:latin typeface="Aptos Narrow"/>
                </a:rPr>
                <a:pPr/>
                <a:t> R7 673 </a:t>
              </a:fld>
              <a:endParaRPr lang="en-ZA" sz="3600" b="1" i="0" u="none" strike="noStrike">
                <a:solidFill>
                  <a:schemeClr val="accent6">
                    <a:lumMod val="75000"/>
                  </a:schemeClr>
                </a:solidFill>
                <a:latin typeface="Aptos Narrow"/>
              </a:endParaRPr>
            </a:p>
          </xdr:txBody>
        </xdr:sp>
      </xdr:grpSp>
    </xdr:grpSp>
    <xdr:clientData/>
  </xdr:twoCellAnchor>
  <xdr:twoCellAnchor>
    <xdr:from>
      <xdr:col>1</xdr:col>
      <xdr:colOff>91440</xdr:colOff>
      <xdr:row>8</xdr:row>
      <xdr:rowOff>152400</xdr:rowOff>
    </xdr:from>
    <xdr:to>
      <xdr:col>7</xdr:col>
      <xdr:colOff>160020</xdr:colOff>
      <xdr:row>28</xdr:row>
      <xdr:rowOff>175260</xdr:rowOff>
    </xdr:to>
    <xdr:graphicFrame macro="">
      <xdr:nvGraphicFramePr>
        <xdr:cNvPr id="20" name="Chart 19">
          <a:extLst>
            <a:ext uri="{FF2B5EF4-FFF2-40B4-BE49-F238E27FC236}">
              <a16:creationId xmlns:a16="http://schemas.microsoft.com/office/drawing/2014/main" id="{938DACC1-6A72-460A-BE92-D8696935676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198120</xdr:colOff>
      <xdr:row>8</xdr:row>
      <xdr:rowOff>152400</xdr:rowOff>
    </xdr:from>
    <xdr:to>
      <xdr:col>12</xdr:col>
      <xdr:colOff>518160</xdr:colOff>
      <xdr:row>29</xdr:row>
      <xdr:rowOff>0</xdr:rowOff>
    </xdr:to>
    <xdr:graphicFrame macro="">
      <xdr:nvGraphicFramePr>
        <xdr:cNvPr id="27" name="Chart 26">
          <a:extLst>
            <a:ext uri="{FF2B5EF4-FFF2-40B4-BE49-F238E27FC236}">
              <a16:creationId xmlns:a16="http://schemas.microsoft.com/office/drawing/2014/main" id="{16A39615-710C-4D26-9B2D-9620844B913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13</xdr:col>
      <xdr:colOff>60960</xdr:colOff>
      <xdr:row>4</xdr:row>
      <xdr:rowOff>38100</xdr:rowOff>
    </xdr:from>
    <xdr:to>
      <xdr:col>18</xdr:col>
      <xdr:colOff>251460</xdr:colOff>
      <xdr:row>28</xdr:row>
      <xdr:rowOff>175260</xdr:rowOff>
    </xdr:to>
    <xdr:grpSp>
      <xdr:nvGrpSpPr>
        <xdr:cNvPr id="29" name="Group 28">
          <a:extLst>
            <a:ext uri="{FF2B5EF4-FFF2-40B4-BE49-F238E27FC236}">
              <a16:creationId xmlns:a16="http://schemas.microsoft.com/office/drawing/2014/main" id="{CDEB8072-6AD7-638B-18D2-2FC8CC27185E}"/>
            </a:ext>
          </a:extLst>
        </xdr:cNvPr>
        <xdr:cNvGrpSpPr/>
      </xdr:nvGrpSpPr>
      <xdr:grpSpPr>
        <a:xfrm>
          <a:off x="7985760" y="769620"/>
          <a:ext cx="3238500" cy="4526280"/>
          <a:chOff x="7917180" y="784860"/>
          <a:chExt cx="3238500" cy="4526280"/>
        </a:xfrm>
      </xdr:grpSpPr>
      <xdr:sp macro="" textlink="">
        <xdr:nvSpPr>
          <xdr:cNvPr id="6" name="Rectangle 5">
            <a:extLst>
              <a:ext uri="{FF2B5EF4-FFF2-40B4-BE49-F238E27FC236}">
                <a16:creationId xmlns:a16="http://schemas.microsoft.com/office/drawing/2014/main" id="{76CEFA0C-7021-4BBA-8AF0-9EB9E5A36CB2}"/>
              </a:ext>
            </a:extLst>
          </xdr:cNvPr>
          <xdr:cNvSpPr/>
        </xdr:nvSpPr>
        <xdr:spPr>
          <a:xfrm>
            <a:off x="7917180" y="784860"/>
            <a:ext cx="3238500" cy="4526280"/>
          </a:xfrm>
          <a:prstGeom prst="rect">
            <a:avLst/>
          </a:prstGeom>
          <a:ln>
            <a:noFill/>
          </a:ln>
          <a:effectLst>
            <a:outerShdw blurRad="50800" dist="38100" dir="5400000" algn="t" rotWithShape="0">
              <a:prstClr val="black">
                <a:alpha val="40000"/>
              </a:prstClr>
            </a:outerShdw>
          </a:effectLst>
        </xdr:spPr>
        <xdr:style>
          <a:lnRef idx="2">
            <a:schemeClr val="accent6"/>
          </a:lnRef>
          <a:fillRef idx="1">
            <a:schemeClr val="lt1"/>
          </a:fillRef>
          <a:effectRef idx="0">
            <a:schemeClr val="accent6"/>
          </a:effectRef>
          <a:fontRef idx="minor">
            <a:schemeClr val="dk1"/>
          </a:fontRef>
        </xdr:style>
        <xdr:txBody>
          <a:bodyPr vertOverflow="clip" horzOverflow="clip" rtlCol="0" anchor="t"/>
          <a:lstStyle/>
          <a:p>
            <a:pPr algn="l"/>
            <a:endParaRPr lang="en-ZA" sz="1100"/>
          </a:p>
        </xdr:txBody>
      </xdr:sp>
      <xdr:graphicFrame macro="">
        <xdr:nvGraphicFramePr>
          <xdr:cNvPr id="25" name="Chart 24">
            <a:extLst>
              <a:ext uri="{FF2B5EF4-FFF2-40B4-BE49-F238E27FC236}">
                <a16:creationId xmlns:a16="http://schemas.microsoft.com/office/drawing/2014/main" id="{5693DF94-20D6-4912-BE6B-5C7C83D2F68F}"/>
              </a:ext>
            </a:extLst>
          </xdr:cNvPr>
          <xdr:cNvGraphicFramePr>
            <a:graphicFrameLocks/>
          </xdr:cNvGraphicFramePr>
        </xdr:nvGraphicFramePr>
        <xdr:xfrm>
          <a:off x="7940040" y="830580"/>
          <a:ext cx="3177540" cy="1645920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3"/>
          </a:graphicData>
        </a:graphic>
      </xdr:graphicFrame>
      <xdr:graphicFrame macro="">
        <xdr:nvGraphicFramePr>
          <xdr:cNvPr id="28" name="Chart 27">
            <a:extLst>
              <a:ext uri="{FF2B5EF4-FFF2-40B4-BE49-F238E27FC236}">
                <a16:creationId xmlns:a16="http://schemas.microsoft.com/office/drawing/2014/main" id="{BDB26E4A-8026-4640-9CF8-B8C731F7949B}"/>
              </a:ext>
            </a:extLst>
          </xdr:cNvPr>
          <xdr:cNvGraphicFramePr>
            <a:graphicFrameLocks/>
          </xdr:cNvGraphicFramePr>
        </xdr:nvGraphicFramePr>
        <xdr:xfrm>
          <a:off x="7932420" y="2499360"/>
          <a:ext cx="3185160" cy="2621280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4"/>
          </a:graphicData>
        </a:graphic>
      </xdr:graphicFrame>
    </xdr:grpSp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6036.032468055557" createdVersion="8" refreshedVersion="8" minRefreshableVersion="3" recordCount="2000" xr:uid="{1C378DAB-0A8A-4724-A039-07184B46EA3F}">
  <cacheSource type="worksheet">
    <worksheetSource name="sa_retail_sales"/>
  </cacheSource>
  <cacheFields count="12">
    <cacheField name="Order Date" numFmtId="14">
      <sharedItems containsSemiMixedTypes="0" containsNonDate="0" containsDate="1" containsString="0" minDate="2022-01-01T00:00:00" maxDate="2025-01-01T00:00:00"/>
    </cacheField>
    <cacheField name="Region" numFmtId="0">
      <sharedItems count="4">
        <s v="Western Cape"/>
        <s v="KwaZulu-Natal"/>
        <s v="Eastern Cape"/>
        <s v="Gauteng"/>
      </sharedItems>
    </cacheField>
    <cacheField name="Product Category" numFmtId="0">
      <sharedItems count="4">
        <s v="Groceries"/>
        <s v="Clothing"/>
        <s v="Homeware"/>
        <s v="Electronics"/>
      </sharedItems>
    </cacheField>
    <cacheField name="Sales Rep" numFmtId="0">
      <sharedItems count="4">
        <s v="L. Dlamini"/>
        <s v="T. Van Wyk"/>
        <s v="S. Naidoo"/>
        <s v="A. Mokoena"/>
      </sharedItems>
    </cacheField>
    <cacheField name="Revenue" numFmtId="0">
      <sharedItems containsSemiMixedTypes="0" containsString="0" containsNumber="1" containsInteger="1" minValue="504" maxValue="14992" count="1887">
        <n v="7599"/>
        <n v="7876"/>
        <n v="11860"/>
        <n v="10813"/>
        <n v="14002"/>
        <n v="4578"/>
        <n v="6301"/>
        <n v="14630"/>
        <n v="14771"/>
        <n v="4651"/>
        <n v="9411"/>
        <n v="3100"/>
        <n v="6675"/>
        <n v="12290"/>
        <n v="13361"/>
        <n v="1166"/>
        <n v="783"/>
        <n v="6340"/>
        <n v="12595"/>
        <n v="4065"/>
        <n v="10926"/>
        <n v="5093"/>
        <n v="1965"/>
        <n v="8821"/>
        <n v="5234"/>
        <n v="6757"/>
        <n v="7866"/>
        <n v="10752"/>
        <n v="4172"/>
        <n v="7882"/>
        <n v="7087"/>
        <n v="11186"/>
        <n v="13773"/>
        <n v="1492"/>
        <n v="7358"/>
        <n v="2621"/>
        <n v="11276"/>
        <n v="12888"/>
        <n v="2723"/>
        <n v="5022"/>
        <n v="3688"/>
        <n v="3737"/>
        <n v="4636"/>
        <n v="13216"/>
        <n v="843"/>
        <n v="13153"/>
        <n v="5204"/>
        <n v="5323"/>
        <n v="10968"/>
        <n v="5420"/>
        <n v="3701"/>
        <n v="5971"/>
        <n v="1388"/>
        <n v="10735"/>
        <n v="10033"/>
        <n v="7627"/>
        <n v="4220"/>
        <n v="3383"/>
        <n v="14084"/>
        <n v="4712"/>
        <n v="7461"/>
        <n v="2915"/>
        <n v="9809"/>
        <n v="12955"/>
        <n v="3501"/>
        <n v="2238"/>
        <n v="1864"/>
        <n v="3208"/>
        <n v="13482"/>
        <n v="1424"/>
        <n v="651"/>
        <n v="9277"/>
        <n v="8544"/>
        <n v="1412"/>
        <n v="2821"/>
        <n v="14365"/>
        <n v="995"/>
        <n v="12487"/>
        <n v="2648"/>
        <n v="1056"/>
        <n v="13893"/>
        <n v="2052"/>
        <n v="2620"/>
        <n v="3585"/>
        <n v="4004"/>
        <n v="656"/>
        <n v="9426"/>
        <n v="14967"/>
        <n v="8005"/>
        <n v="7662"/>
        <n v="6023"/>
        <n v="8043"/>
        <n v="8555"/>
        <n v="5154"/>
        <n v="6750"/>
        <n v="11968"/>
        <n v="7746"/>
        <n v="654"/>
        <n v="8450"/>
        <n v="1496"/>
        <n v="10986"/>
        <n v="5126"/>
        <n v="3405"/>
        <n v="14759"/>
        <n v="13516"/>
        <n v="9869"/>
        <n v="653"/>
        <n v="8353"/>
        <n v="12879"/>
        <n v="6981"/>
        <n v="6099"/>
        <n v="2216"/>
        <n v="11894"/>
        <n v="14804"/>
        <n v="11549"/>
        <n v="1286"/>
        <n v="4868"/>
        <n v="14815"/>
        <n v="8596"/>
        <n v="4772"/>
        <n v="4267"/>
        <n v="11570"/>
        <n v="9334"/>
        <n v="6494"/>
        <n v="7716"/>
        <n v="13354"/>
        <n v="9357"/>
        <n v="3926"/>
        <n v="4283"/>
        <n v="5927"/>
        <n v="7511"/>
        <n v="8552"/>
        <n v="4201"/>
        <n v="14586"/>
        <n v="9761"/>
        <n v="2849"/>
        <n v="7555"/>
        <n v="13195"/>
        <n v="1712"/>
        <n v="7465"/>
        <n v="14641"/>
        <n v="9844"/>
        <n v="7204"/>
        <n v="7933"/>
        <n v="13929"/>
        <n v="3011"/>
        <n v="643"/>
        <n v="11181"/>
        <n v="7867"/>
        <n v="3728"/>
        <n v="5082"/>
        <n v="13647"/>
        <n v="11897"/>
        <n v="6531"/>
        <n v="4743"/>
        <n v="14147"/>
        <n v="11834"/>
        <n v="11996"/>
        <n v="10049"/>
        <n v="3213"/>
        <n v="4685"/>
        <n v="12986"/>
        <n v="7828"/>
        <n v="5133"/>
        <n v="3692"/>
        <n v="800"/>
        <n v="1223"/>
        <n v="6194"/>
        <n v="3510"/>
        <n v="6055"/>
        <n v="567"/>
        <n v="12528"/>
        <n v="12685"/>
        <n v="3006"/>
        <n v="2037"/>
        <n v="897"/>
        <n v="13407"/>
        <n v="12049"/>
        <n v="6180"/>
        <n v="9855"/>
        <n v="5325"/>
        <n v="9247"/>
        <n v="6548"/>
        <n v="4161"/>
        <n v="10443"/>
        <n v="3441"/>
        <n v="11349"/>
        <n v="11487"/>
        <n v="11021"/>
        <n v="7567"/>
        <n v="5591"/>
        <n v="10651"/>
        <n v="2101"/>
        <n v="11485"/>
        <n v="1980"/>
        <n v="6730"/>
        <n v="9794"/>
        <n v="3776"/>
        <n v="6947"/>
        <n v="5999"/>
        <n v="6773"/>
        <n v="1799"/>
        <n v="6318"/>
        <n v="7201"/>
        <n v="5494"/>
        <n v="13994"/>
        <n v="12571"/>
        <n v="7989"/>
        <n v="10227"/>
        <n v="8769"/>
        <n v="3331"/>
        <n v="12102"/>
        <n v="3221"/>
        <n v="12319"/>
        <n v="2032"/>
        <n v="8929"/>
        <n v="5753"/>
        <n v="2496"/>
        <n v="5811"/>
        <n v="12119"/>
        <n v="777"/>
        <n v="3589"/>
        <n v="1023"/>
        <n v="4775"/>
        <n v="12910"/>
        <n v="5865"/>
        <n v="14545"/>
        <n v="3622"/>
        <n v="8667"/>
        <n v="5690"/>
        <n v="5075"/>
        <n v="8227"/>
        <n v="2297"/>
        <n v="2631"/>
        <n v="7822"/>
        <n v="7000"/>
        <n v="1315"/>
        <n v="11386"/>
        <n v="9134"/>
        <n v="11832"/>
        <n v="7166"/>
        <n v="642"/>
        <n v="12979"/>
        <n v="1910"/>
        <n v="13165"/>
        <n v="1034"/>
        <n v="10408"/>
        <n v="3864"/>
        <n v="1532"/>
        <n v="3842"/>
        <n v="10102"/>
        <n v="14928"/>
        <n v="6585"/>
        <n v="13965"/>
        <n v="5000"/>
        <n v="1672"/>
        <n v="9580"/>
        <n v="12030"/>
        <n v="5017"/>
        <n v="8507"/>
        <n v="2141"/>
        <n v="971"/>
        <n v="3440"/>
        <n v="9238"/>
        <n v="5226"/>
        <n v="12289"/>
        <n v="8170"/>
        <n v="13825"/>
        <n v="11517"/>
        <n v="4223"/>
        <n v="14617"/>
        <n v="863"/>
        <n v="10858"/>
        <n v="3809"/>
        <n v="1045"/>
        <n v="3740"/>
        <n v="7165"/>
        <n v="13421"/>
        <n v="2436"/>
        <n v="14468"/>
        <n v="9654"/>
        <n v="11697"/>
        <n v="12498"/>
        <n v="1382"/>
        <n v="4340"/>
        <n v="7423"/>
        <n v="9562"/>
        <n v="5111"/>
        <n v="11677"/>
        <n v="14208"/>
        <n v="9557"/>
        <n v="14941"/>
        <n v="5704"/>
        <n v="13001"/>
        <n v="7788"/>
        <n v="3703"/>
        <n v="11589"/>
        <n v="2744"/>
        <n v="518"/>
        <n v="1141"/>
        <n v="3583"/>
        <n v="5700"/>
        <n v="9021"/>
        <n v="1365"/>
        <n v="1273"/>
        <n v="13179"/>
        <n v="5232"/>
        <n v="11046"/>
        <n v="4018"/>
        <n v="11634"/>
        <n v="7295"/>
        <n v="7484"/>
        <n v="13813"/>
        <n v="3067"/>
        <n v="2174"/>
        <n v="11375"/>
        <n v="12072"/>
        <n v="1239"/>
        <n v="2045"/>
        <n v="13256"/>
        <n v="10951"/>
        <n v="9827"/>
        <n v="5627"/>
        <n v="7447"/>
        <n v="7120"/>
        <n v="9565"/>
        <n v="5055"/>
        <n v="10992"/>
        <n v="6145"/>
        <n v="9443"/>
        <n v="14249"/>
        <n v="14565"/>
        <n v="7624"/>
        <n v="9545"/>
        <n v="4232"/>
        <n v="2783"/>
        <n v="10021"/>
        <n v="9169"/>
        <n v="11418"/>
        <n v="11783"/>
        <n v="7498"/>
        <n v="12922"/>
        <n v="13940"/>
        <n v="13197"/>
        <n v="14233"/>
        <n v="5913"/>
        <n v="1769"/>
        <n v="8368"/>
        <n v="14367"/>
        <n v="12873"/>
        <n v="3103"/>
        <n v="6461"/>
        <n v="10161"/>
        <n v="9069"/>
        <n v="8057"/>
        <n v="2180"/>
        <n v="13862"/>
        <n v="8933"/>
        <n v="9611"/>
        <n v="6182"/>
        <n v="8584"/>
        <n v="5867"/>
        <n v="569"/>
        <n v="4424"/>
        <n v="6700"/>
        <n v="14193"/>
        <n v="10778"/>
        <n v="2507"/>
        <n v="9492"/>
        <n v="13829"/>
        <n v="8619"/>
        <n v="3279"/>
        <n v="1255"/>
        <n v="6995"/>
        <n v="10687"/>
        <n v="6435"/>
        <n v="10013"/>
        <n v="2830"/>
        <n v="6205"/>
        <n v="8801"/>
        <n v="1516"/>
        <n v="7847"/>
        <n v="14749"/>
        <n v="14557"/>
        <n v="12557"/>
        <n v="8716"/>
        <n v="5438"/>
        <n v="3338"/>
        <n v="1237"/>
        <n v="8871"/>
        <n v="731"/>
        <n v="2417"/>
        <n v="9034"/>
        <n v="13264"/>
        <n v="6418"/>
        <n v="3123"/>
        <n v="9146"/>
        <n v="14043"/>
        <n v="13076"/>
        <n v="14024"/>
        <n v="6901"/>
        <n v="13317"/>
        <n v="7572"/>
        <n v="2776"/>
        <n v="7893"/>
        <n v="9287"/>
        <n v="4374"/>
        <n v="5030"/>
        <n v="13669"/>
        <n v="7664"/>
        <n v="14569"/>
        <n v="4997"/>
        <n v="11361"/>
        <n v="8433"/>
        <n v="2635"/>
        <n v="7227"/>
        <n v="12656"/>
        <n v="2065"/>
        <n v="808"/>
        <n v="9127"/>
        <n v="8868"/>
        <n v="638"/>
        <n v="693"/>
        <n v="3757"/>
        <n v="3735"/>
        <n v="13972"/>
        <n v="1442"/>
        <n v="5120"/>
        <n v="6220"/>
        <n v="11805"/>
        <n v="11654"/>
        <n v="6853"/>
        <n v="13528"/>
        <n v="5457"/>
        <n v="9645"/>
        <n v="9994"/>
        <n v="14062"/>
        <n v="3881"/>
        <n v="6339"/>
        <n v="3380"/>
        <n v="10879"/>
        <n v="5387"/>
        <n v="14632"/>
        <n v="13804"/>
        <n v="2427"/>
        <n v="14341"/>
        <n v="4652"/>
        <n v="14947"/>
        <n v="504"/>
        <n v="12173"/>
        <n v="6033"/>
        <n v="11945"/>
        <n v="10054"/>
        <n v="10512"/>
        <n v="5878"/>
        <n v="6733"/>
        <n v="3163"/>
        <n v="11630"/>
        <n v="9965"/>
        <n v="3826"/>
        <n v="4159"/>
        <n v="11637"/>
        <n v="11710"/>
        <n v="1631"/>
        <n v="5263"/>
        <n v="7237"/>
        <n v="11328"/>
        <n v="11721"/>
        <n v="11711"/>
        <n v="14069"/>
        <n v="5592"/>
        <n v="6522"/>
        <n v="13069"/>
        <n v="3659"/>
        <n v="14015"/>
        <n v="6659"/>
        <n v="7818"/>
        <n v="13723"/>
        <n v="8945"/>
        <n v="5807"/>
        <n v="9020"/>
        <n v="11283"/>
        <n v="11522"/>
        <n v="3544"/>
        <n v="10112"/>
        <n v="6136"/>
        <n v="12093"/>
        <n v="3392"/>
        <n v="5788"/>
        <n v="6312"/>
        <n v="13989"/>
        <n v="1154"/>
        <n v="5981"/>
        <n v="1259"/>
        <n v="7282"/>
        <n v="2298"/>
        <n v="5659"/>
        <n v="11663"/>
        <n v="13203"/>
        <n v="12118"/>
        <n v="8946"/>
        <n v="5762"/>
        <n v="4323"/>
        <n v="2376"/>
        <n v="11449"/>
        <n v="11316"/>
        <n v="13687"/>
        <n v="6654"/>
        <n v="8287"/>
        <n v="12813"/>
        <n v="11696"/>
        <n v="5016"/>
        <n v="4234"/>
        <n v="9936"/>
        <n v="6472"/>
        <n v="7139"/>
        <n v="5856"/>
        <n v="6880"/>
        <n v="1508"/>
        <n v="4814"/>
        <n v="10202"/>
        <n v="3008"/>
        <n v="5258"/>
        <n v="3182"/>
        <n v="7811"/>
        <n v="1489"/>
        <n v="12976"/>
        <n v="12855"/>
        <n v="5211"/>
        <n v="6979"/>
        <n v="7464"/>
        <n v="13661"/>
        <n v="8575"/>
        <n v="14413"/>
        <n v="4952"/>
        <n v="8947"/>
        <n v="1507"/>
        <n v="6996"/>
        <n v="10447"/>
        <n v="8188"/>
        <n v="11263"/>
        <n v="4408"/>
        <n v="11689"/>
        <n v="3303"/>
        <n v="12457"/>
        <n v="4879"/>
        <n v="12075"/>
        <n v="598"/>
        <n v="8888"/>
        <n v="11221"/>
        <n v="1377"/>
        <n v="2368"/>
        <n v="3165"/>
        <n v="1888"/>
        <n v="9261"/>
        <n v="3137"/>
        <n v="7742"/>
        <n v="9757"/>
        <n v="9113"/>
        <n v="1704"/>
        <n v="1044"/>
        <n v="12858"/>
        <n v="12331"/>
        <n v="1723"/>
        <n v="3672"/>
        <n v="9459"/>
        <n v="6950"/>
        <n v="12349"/>
        <n v="14494"/>
        <n v="7020"/>
        <n v="7321"/>
        <n v="2946"/>
        <n v="6392"/>
        <n v="8912"/>
        <n v="4166"/>
        <n v="4777"/>
        <n v="4902"/>
        <n v="3069"/>
        <n v="6015"/>
        <n v="9705"/>
        <n v="10743"/>
        <n v="4485"/>
        <n v="13635"/>
        <n v="13591"/>
        <n v="7948"/>
        <n v="4810"/>
        <n v="3519"/>
        <n v="4181"/>
        <n v="10135"/>
        <n v="4696"/>
        <n v="11702"/>
        <n v="1072"/>
        <n v="10024"/>
        <n v="5253"/>
        <n v="7582"/>
        <n v="4502"/>
        <n v="6129"/>
        <n v="11826"/>
        <n v="14444"/>
        <n v="12778"/>
        <n v="8917"/>
        <n v="4700"/>
        <n v="2497"/>
        <n v="9463"/>
        <n v="7922"/>
        <n v="5024"/>
        <n v="9125"/>
        <n v="14018"/>
        <n v="11791"/>
        <n v="11421"/>
        <n v="3907"/>
        <n v="7231"/>
        <n v="8295"/>
        <n v="3293"/>
        <n v="7834"/>
        <n v="3411"/>
        <n v="8452"/>
        <n v="750"/>
        <n v="5451"/>
        <n v="8598"/>
        <n v="12449"/>
        <n v="5789"/>
        <n v="8602"/>
        <n v="7757"/>
        <n v="13348"/>
        <n v="6065"/>
        <n v="6937"/>
        <n v="9610"/>
        <n v="1673"/>
        <n v="11895"/>
        <n v="9124"/>
        <n v="14894"/>
        <n v="13756"/>
        <n v="1335"/>
        <n v="10938"/>
        <n v="2762"/>
        <n v="9589"/>
        <n v="12324"/>
        <n v="5067"/>
        <n v="4315"/>
        <n v="746"/>
        <n v="2929"/>
        <n v="9682"/>
        <n v="12002"/>
        <n v="9618"/>
        <n v="12130"/>
        <n v="5787"/>
        <n v="3107"/>
        <n v="9766"/>
        <n v="6430"/>
        <n v="4522"/>
        <n v="12491"/>
        <n v="5284"/>
        <n v="7117"/>
        <n v="3651"/>
        <n v="6080"/>
        <n v="7554"/>
        <n v="8206"/>
        <n v="8119"/>
        <n v="13747"/>
        <n v="5073"/>
        <n v="3991"/>
        <n v="1206"/>
        <n v="7497"/>
        <n v="5733"/>
        <n v="11756"/>
        <n v="9445"/>
        <n v="6255"/>
        <n v="7460"/>
        <n v="9279"/>
        <n v="1834"/>
        <n v="6088"/>
        <n v="2347"/>
        <n v="7351"/>
        <n v="12626"/>
        <n v="7711"/>
        <n v="8365"/>
        <n v="12618"/>
        <n v="3817"/>
        <n v="12712"/>
        <n v="11847"/>
        <n v="12994"/>
        <n v="10890"/>
        <n v="7311"/>
        <n v="664"/>
        <n v="7560"/>
        <n v="10690"/>
        <n v="3557"/>
        <n v="10776"/>
        <n v="4928"/>
        <n v="902"/>
        <n v="9105"/>
        <n v="8736"/>
        <n v="6849"/>
        <n v="4657"/>
        <n v="11159"/>
        <n v="1367"/>
        <n v="14279"/>
        <n v="8710"/>
        <n v="864"/>
        <n v="7967"/>
        <n v="12524"/>
        <n v="7071"/>
        <n v="13928"/>
        <n v="1079"/>
        <n v="8174"/>
        <n v="9237"/>
        <n v="14517"/>
        <n v="6968"/>
        <n v="4650"/>
        <n v="13565"/>
        <n v="3539"/>
        <n v="4637"/>
        <n v="14108"/>
        <n v="12736"/>
        <n v="13018"/>
        <n v="952"/>
        <n v="12653"/>
        <n v="7037"/>
        <n v="14333"/>
        <n v="1881"/>
        <n v="8654"/>
        <n v="1967"/>
        <n v="13939"/>
        <n v="3238"/>
        <n v="8072"/>
        <n v="9908"/>
        <n v="7247"/>
        <n v="1380"/>
        <n v="12506"/>
        <n v="3649"/>
        <n v="8776"/>
        <n v="13841"/>
        <n v="8392"/>
        <n v="4644"/>
        <n v="1668"/>
        <n v="12856"/>
        <n v="3629"/>
        <n v="4145"/>
        <n v="3026"/>
        <n v="11559"/>
        <n v="4016"/>
        <n v="3867"/>
        <n v="14489"/>
        <n v="7838"/>
        <n v="14386"/>
        <n v="10886"/>
        <n v="4055"/>
        <n v="14657"/>
        <n v="5611"/>
        <n v="7252"/>
        <n v="945"/>
        <n v="6864"/>
        <n v="4126"/>
        <n v="4516"/>
        <n v="4375"/>
        <n v="5997"/>
        <n v="12029"/>
        <n v="6738"/>
        <n v="761"/>
        <n v="10540"/>
        <n v="5492"/>
        <n v="13882"/>
        <n v="4525"/>
        <n v="10958"/>
        <n v="14344"/>
        <n v="8783"/>
        <n v="4722"/>
        <n v="4675"/>
        <n v="14635"/>
        <n v="12001"/>
        <n v="9674"/>
        <n v="3943"/>
        <n v="5511"/>
        <n v="11225"/>
        <n v="1193"/>
        <n v="12812"/>
        <n v="8847"/>
        <n v="12280"/>
        <n v="2312"/>
        <n v="14754"/>
        <n v="14521"/>
        <n v="13868"/>
        <n v="6224"/>
        <n v="12806"/>
        <n v="1907"/>
        <n v="8532"/>
        <n v="3997"/>
        <n v="4872"/>
        <n v="7894"/>
        <n v="13532"/>
        <n v="1051"/>
        <n v="12086"/>
        <n v="9868"/>
        <n v="13426"/>
        <n v="4832"/>
        <n v="1497"/>
        <n v="4576"/>
        <n v="14890"/>
        <n v="6599"/>
        <n v="11423"/>
        <n v="14944"/>
        <n v="12629"/>
        <n v="4552"/>
        <n v="5803"/>
        <n v="8618"/>
        <n v="14179"/>
        <n v="6602"/>
        <n v="14009"/>
        <n v="5990"/>
        <n v="9064"/>
        <n v="6116"/>
        <n v="2748"/>
        <n v="1348"/>
        <n v="11248"/>
        <n v="14133"/>
        <n v="11014"/>
        <n v="6854"/>
        <n v="9195"/>
        <n v="8570"/>
        <n v="11881"/>
        <n v="9394"/>
        <n v="4125"/>
        <n v="14877"/>
        <n v="814"/>
        <n v="2876"/>
        <n v="9732"/>
        <n v="4878"/>
        <n v="11682"/>
        <n v="8949"/>
        <n v="1074"/>
        <n v="13830"/>
        <n v="10244"/>
        <n v="13210"/>
        <n v="6085"/>
        <n v="5992"/>
        <n v="9449"/>
        <n v="3310"/>
        <n v="8634"/>
        <n v="9796"/>
        <n v="6170"/>
        <n v="8215"/>
        <n v="7067"/>
        <n v="3959"/>
        <n v="6617"/>
        <n v="4492"/>
        <n v="8337"/>
        <n v="703"/>
        <n v="3275"/>
        <n v="11024"/>
        <n v="2492"/>
        <n v="2743"/>
        <n v="8998"/>
        <n v="2187"/>
        <n v="4609"/>
        <n v="2360"/>
        <n v="10653"/>
        <n v="5676"/>
        <n v="1222"/>
        <n v="9471"/>
        <n v="14021"/>
        <n v="9220"/>
        <n v="5393"/>
        <n v="12478"/>
        <n v="12374"/>
        <n v="5898"/>
        <n v="8900"/>
        <n v="5236"/>
        <n v="3906"/>
        <n v="10003"/>
        <n v="10991"/>
        <n v="12028"/>
        <n v="10639"/>
        <n v="1419"/>
        <n v="6319"/>
        <n v="2544"/>
        <n v="918"/>
        <n v="2249"/>
        <n v="11534"/>
        <n v="7878"/>
        <n v="14176"/>
        <n v="1599"/>
        <n v="3892"/>
        <n v="3272"/>
        <n v="11172"/>
        <n v="7284"/>
        <n v="1570"/>
        <n v="7022"/>
        <n v="2350"/>
        <n v="13907"/>
        <n v="5553"/>
        <n v="12890"/>
        <n v="3439"/>
        <n v="13957"/>
        <n v="10595"/>
        <n v="7694"/>
        <n v="6351"/>
        <n v="7173"/>
        <n v="1178"/>
        <n v="14756"/>
        <n v="1488"/>
        <n v="11167"/>
        <n v="10299"/>
        <n v="11561"/>
        <n v="2002"/>
        <n v="2289"/>
        <n v="5781"/>
        <n v="5527"/>
        <n v="1925"/>
        <n v="13849"/>
        <n v="14766"/>
        <n v="7154"/>
        <n v="2940"/>
        <n v="10734"/>
        <n v="7356"/>
        <n v="9970"/>
        <n v="13990"/>
        <n v="3094"/>
        <n v="5189"/>
        <n v="2936"/>
        <n v="6017"/>
        <n v="12495"/>
        <n v="10897"/>
        <n v="9719"/>
        <n v="6810"/>
        <n v="4039"/>
        <n v="3983"/>
        <n v="7871"/>
        <n v="2741"/>
        <n v="6878"/>
        <n v="3265"/>
        <n v="9865"/>
        <n v="11922"/>
        <n v="12042"/>
        <n v="5411"/>
        <n v="903"/>
        <n v="13680"/>
        <n v="11417"/>
        <n v="3882"/>
        <n v="4663"/>
        <n v="8130"/>
        <n v="587"/>
        <n v="14836"/>
        <n v="9850"/>
        <n v="6316"/>
        <n v="5970"/>
        <n v="14975"/>
        <n v="6776"/>
        <n v="6239"/>
        <n v="4773"/>
        <n v="10073"/>
        <n v="7023"/>
        <n v="5503"/>
        <n v="8538"/>
        <n v="13373"/>
        <n v="7106"/>
        <n v="13777"/>
        <n v="13919"/>
        <n v="14957"/>
        <n v="2564"/>
        <n v="5815"/>
        <n v="11066"/>
        <n v="817"/>
        <n v="6630"/>
        <n v="7919"/>
        <n v="2542"/>
        <n v="5098"/>
        <n v="10714"/>
        <n v="618"/>
        <n v="1209"/>
        <n v="4057"/>
        <n v="12832"/>
        <n v="13101"/>
        <n v="3750"/>
        <n v="8561"/>
        <n v="9109"/>
        <n v="12546"/>
        <n v="1601"/>
        <n v="4921"/>
        <n v="8357"/>
        <n v="12120"/>
        <n v="8677"/>
        <n v="14227"/>
        <n v="6582"/>
        <n v="7158"/>
        <n v="2761"/>
        <n v="8521"/>
        <n v="12861"/>
        <n v="12326"/>
        <n v="14390"/>
        <n v="1008"/>
        <n v="2879"/>
        <n v="11856"/>
        <n v="9379"/>
        <n v="5252"/>
        <n v="14330"/>
        <n v="9984"/>
        <n v="5995"/>
        <n v="12597"/>
        <n v="11767"/>
        <n v="3709"/>
        <n v="7898"/>
        <n v="7243"/>
        <n v="6148"/>
        <n v="5671"/>
        <n v="8390"/>
        <n v="824"/>
        <n v="13779"/>
        <n v="10685"/>
        <n v="12668"/>
        <n v="13504"/>
        <n v="11462"/>
        <n v="13064"/>
        <n v="11275"/>
        <n v="4087"/>
        <n v="1454"/>
        <n v="14294"/>
        <n v="4854"/>
        <n v="11063"/>
        <n v="7660"/>
        <n v="13656"/>
        <n v="9883"/>
        <n v="1187"/>
        <n v="9001"/>
        <n v="10194"/>
        <n v="3627"/>
        <n v="7263"/>
        <n v="13260"/>
        <n v="12059"/>
        <n v="3895"/>
        <n v="9505"/>
        <n v="1345"/>
        <n v="1664"/>
        <n v="13454"/>
        <n v="6404"/>
        <n v="14231"/>
        <n v="10459"/>
        <n v="5860"/>
        <n v="854"/>
        <n v="2372"/>
        <n v="2524"/>
        <n v="3317"/>
        <n v="4332"/>
        <n v="12967"/>
        <n v="8757"/>
        <n v="13607"/>
        <n v="14159"/>
        <n v="12958"/>
        <n v="12782"/>
        <n v="11213"/>
        <n v="3081"/>
        <n v="10082"/>
        <n v="9822"/>
        <n v="2986"/>
        <n v="9526"/>
        <n v="8918"/>
        <n v="12207"/>
        <n v="13229"/>
        <n v="2943"/>
        <n v="9419"/>
        <n v="14392"/>
        <n v="14919"/>
        <n v="12378"/>
        <n v="12314"/>
        <n v="1536"/>
        <n v="10524"/>
        <n v="14636"/>
        <n v="11432"/>
        <n v="9184"/>
        <n v="7935"/>
        <n v="2048"/>
        <n v="9835"/>
        <n v="5565"/>
        <n v="6683"/>
        <n v="4457"/>
        <n v="1139"/>
        <n v="672"/>
        <n v="6166"/>
        <n v="4459"/>
        <n v="9208"/>
        <n v="9214"/>
        <n v="10609"/>
        <n v="3386"/>
        <n v="2664"/>
        <n v="10621"/>
        <n v="4445"/>
        <n v="5735"/>
        <n v="10901"/>
        <n v="8246"/>
        <n v="12475"/>
        <n v="3090"/>
        <n v="8254"/>
        <n v="5434"/>
        <n v="5685"/>
        <n v="1593"/>
        <n v="4380"/>
        <n v="7059"/>
        <n v="11271"/>
        <n v="11180"/>
        <n v="3285"/>
        <n v="6565"/>
        <n v="7039"/>
        <n v="11450"/>
        <n v="2074"/>
        <n v="6176"/>
        <n v="11065"/>
        <n v="8560"/>
        <n v="4490"/>
        <n v="5710"/>
        <n v="5345"/>
        <n v="9785"/>
        <n v="1689"/>
        <n v="3189"/>
        <n v="4595"/>
        <n v="2375"/>
        <n v="8268"/>
        <n v="10479"/>
        <n v="4432"/>
        <n v="12440"/>
        <n v="8740"/>
        <n v="13863"/>
        <n v="5908"/>
        <n v="4361"/>
        <n v="14437"/>
        <n v="7906"/>
        <n v="10872"/>
        <n v="11738"/>
        <n v="3333"/>
        <n v="5785"/>
        <n v="10089"/>
        <n v="14616"/>
        <n v="8145"/>
        <n v="12518"/>
        <n v="13266"/>
        <n v="9523"/>
        <n v="11389"/>
        <n v="14402"/>
        <n v="5277"/>
        <n v="3235"/>
        <n v="14111"/>
        <n v="8773"/>
        <n v="8778"/>
        <n v="6868"/>
        <n v="10755"/>
        <n v="1321"/>
        <n v="8025"/>
        <n v="662"/>
        <n v="8277"/>
        <n v="12431"/>
        <n v="11089"/>
        <n v="2432"/>
        <n v="11420"/>
        <n v="4035"/>
        <n v="14638"/>
        <n v="6456"/>
        <n v="3946"/>
        <n v="13903"/>
        <n v="3290"/>
        <n v="3207"/>
        <n v="8459"/>
        <n v="14670"/>
        <n v="4433"/>
        <n v="3885"/>
        <n v="7136"/>
        <n v="1422"/>
        <n v="8589"/>
        <n v="10867"/>
        <n v="14237"/>
        <n v="10274"/>
        <n v="1064"/>
        <n v="3758"/>
        <n v="11289"/>
        <n v="3000"/>
        <n v="5066"/>
        <n v="9679"/>
        <n v="7381"/>
        <n v="4136"/>
        <n v="6530"/>
        <n v="723"/>
        <n v="6797"/>
        <n v="850"/>
        <n v="7814"/>
        <n v="2428"/>
        <n v="8243"/>
        <n v="9040"/>
        <n v="12969"/>
        <n v="1517"/>
        <n v="2726"/>
        <n v="7706"/>
        <n v="13559"/>
        <n v="7670"/>
        <n v="13803"/>
        <n v="6707"/>
        <n v="12816"/>
        <n v="2919"/>
        <n v="6740"/>
        <n v="2393"/>
        <n v="14253"/>
        <n v="5822"/>
        <n v="11732"/>
        <n v="10760"/>
        <n v="8218"/>
        <n v="7378"/>
        <n v="1625"/>
        <n v="3617"/>
        <n v="4661"/>
        <n v="4542"/>
        <n v="13922"/>
        <n v="4933"/>
        <n v="10862"/>
        <n v="14516"/>
        <n v="9138"/>
        <n v="3158"/>
        <n v="12054"/>
        <n v="11410"/>
        <n v="3444"/>
        <n v="13068"/>
        <n v="7710"/>
        <n v="8153"/>
        <n v="2486"/>
        <n v="11442"/>
        <n v="1574"/>
        <n v="12661"/>
        <n v="4805"/>
        <n v="12913"/>
        <n v="13279"/>
        <n v="12272"/>
        <n v="3507"/>
        <n v="1469"/>
        <n v="9272"/>
        <n v="3324"/>
        <n v="12693"/>
        <n v="1711"/>
        <n v="729"/>
        <n v="4784"/>
        <n v="14845"/>
        <n v="3685"/>
        <n v="1001"/>
        <n v="10824"/>
        <n v="548"/>
        <n v="4066"/>
        <n v="3555"/>
        <n v="9380"/>
        <n v="886"/>
        <n v="12152"/>
        <n v="9697"/>
        <n v="6320"/>
        <n v="14792"/>
        <n v="3552"/>
        <n v="12109"/>
        <n v="7897"/>
        <n v="2802"/>
        <n v="14577"/>
        <n v="4866"/>
        <n v="622"/>
        <n v="7299"/>
        <n v="9972"/>
        <n v="4227"/>
        <n v="14232"/>
        <n v="8950"/>
        <n v="9639"/>
        <n v="14882"/>
        <n v="5458"/>
        <n v="1024"/>
        <n v="9579"/>
        <n v="8899"/>
        <n v="12074"/>
        <n v="11486"/>
        <n v="648"/>
        <n v="8501"/>
        <n v="937"/>
        <n v="10894"/>
        <n v="4249"/>
        <n v="11853"/>
        <n v="14509"/>
        <n v="12593"/>
        <n v="8686"/>
        <n v="4953"/>
        <n v="11937"/>
        <n v="5836"/>
        <n v="14718"/>
        <n v="5051"/>
        <n v="3323"/>
        <n v="6228"/>
        <n v="13416"/>
        <n v="11962"/>
        <n v="9177"/>
        <n v="8891"/>
        <n v="13158"/>
        <n v="13801"/>
        <n v="2482"/>
        <n v="7496"/>
        <n v="10163"/>
        <n v="13035"/>
        <n v="13575"/>
        <n v="2811"/>
        <n v="7725"/>
        <n v="12065"/>
        <n v="10770"/>
        <n v="10213"/>
        <n v="14060"/>
        <n v="1104"/>
        <n v="8675"/>
        <n v="12540"/>
        <n v="12034"/>
        <n v="6285"/>
        <n v="10109"/>
        <n v="14608"/>
        <n v="5097"/>
        <n v="8259"/>
        <n v="12567"/>
        <n v="8032"/>
        <n v="11625"/>
        <n v="9240"/>
        <n v="14153"/>
        <n v="1338"/>
        <n v="14218"/>
        <n v="14236"/>
        <n v="1347"/>
        <n v="5209"/>
        <n v="5007"/>
        <n v="7075"/>
        <n v="5273"/>
        <n v="12946"/>
        <n v="14849"/>
        <n v="4968"/>
        <n v="10964"/>
        <n v="5692"/>
        <n v="3820"/>
        <n v="11250"/>
        <n v="5198"/>
        <n v="4811"/>
        <n v="10688"/>
        <n v="4173"/>
        <n v="2064"/>
        <n v="12710"/>
        <n v="2340"/>
        <n v="6558"/>
        <n v="7631"/>
        <n v="11983"/>
        <n v="11579"/>
        <n v="1226"/>
        <n v="7197"/>
        <n v="12410"/>
        <n v="13463"/>
        <n v="782"/>
        <n v="1581"/>
        <n v="4385"/>
        <n v="3381"/>
        <n v="14696"/>
        <n v="3470"/>
        <n v="7485"/>
        <n v="12189"/>
        <n v="1447"/>
        <n v="5260"/>
        <n v="10409"/>
        <n v="13936"/>
        <n v="566"/>
        <n v="14841"/>
        <n v="9328"/>
        <n v="9005"/>
        <n v="12089"/>
        <n v="10293"/>
        <n v="9517"/>
        <n v="4170"/>
        <n v="9717"/>
        <n v="2751"/>
        <n v="13449"/>
        <n v="1304"/>
        <n v="11143"/>
        <n v="5131"/>
        <n v="10083"/>
        <n v="1735"/>
        <n v="7220"/>
        <n v="12724"/>
        <n v="11972"/>
        <n v="7406"/>
        <n v="6516"/>
        <n v="14952"/>
        <n v="13415"/>
        <n v="13536"/>
        <n v="4049"/>
        <n v="12892"/>
        <n v="8438"/>
        <n v="4641"/>
        <n v="7466"/>
        <n v="10046"/>
        <n v="5835"/>
        <n v="5577"/>
        <n v="6111"/>
        <n v="10528"/>
        <n v="11188"/>
        <n v="6077"/>
        <n v="4118"/>
        <n v="2059"/>
        <n v="7183"/>
        <n v="2007"/>
        <n v="12763"/>
        <n v="2563"/>
        <n v="4142"/>
        <n v="2500"/>
        <n v="14761"/>
        <n v="13699"/>
        <n v="1794"/>
        <n v="4565"/>
        <n v="14590"/>
        <n v="11444"/>
        <n v="8514"/>
        <n v="10445"/>
        <n v="12902"/>
        <n v="2103"/>
        <n v="1822"/>
        <n v="2941"/>
        <n v="1598"/>
        <n v="5573"/>
        <n v="10197"/>
        <n v="9818"/>
        <n v="8988"/>
        <n v="11741"/>
        <n v="10917"/>
        <n v="13850"/>
        <n v="13046"/>
        <n v="4287"/>
        <n v="14842"/>
        <n v="2596"/>
        <n v="12301"/>
        <n v="2708"/>
        <n v="6488"/>
        <n v="675"/>
        <n v="7669"/>
        <n v="13788"/>
        <n v="6514"/>
        <n v="11194"/>
        <n v="12691"/>
        <n v="2167"/>
        <n v="13063"/>
        <n v="11237"/>
        <n v="9367"/>
        <n v="2323"/>
        <n v="5647"/>
        <n v="1856"/>
        <n v="3572"/>
        <n v="3759"/>
        <n v="6699"/>
        <n v="1046"/>
        <n v="5731"/>
        <n v="8465"/>
        <n v="2583"/>
        <n v="2540"/>
        <n v="5034"/>
        <n v="2252"/>
        <n v="10307"/>
        <n v="2349"/>
        <n v="3142"/>
        <n v="2100"/>
        <n v="12088"/>
        <n v="14451"/>
        <n v="12297"/>
        <n v="4299"/>
        <n v="1118"/>
        <n v="1632"/>
        <n v="5991"/>
        <n v="14167"/>
        <n v="6295"/>
        <n v="10807"/>
        <n v="11031"/>
        <n v="11431"/>
        <n v="12968"/>
        <n v="8133"/>
        <n v="1987"/>
        <n v="8348"/>
        <n v="5509"/>
        <n v="10249"/>
        <n v="2613"/>
        <n v="1544"/>
        <n v="14423"/>
        <n v="2931"/>
        <n v="8479"/>
        <n v="14426"/>
        <n v="2082"/>
        <n v="14874"/>
        <n v="1808"/>
        <n v="5417"/>
        <n v="9293"/>
        <n v="2120"/>
        <n v="13572"/>
        <n v="8003"/>
        <n v="13999"/>
        <n v="5266"/>
        <n v="5862"/>
        <n v="7122"/>
        <n v="6593"/>
        <n v="600"/>
        <n v="7157"/>
        <n v="6375"/>
        <n v="4771"/>
        <n v="737"/>
        <n v="7726"/>
        <n v="5718"/>
        <n v="11610"/>
        <n v="6573"/>
        <n v="3042"/>
        <n v="10695"/>
        <n v="1254"/>
        <n v="12060"/>
        <n v="10950"/>
        <n v="13934"/>
        <n v="7896"/>
        <n v="12357"/>
        <n v="8323"/>
        <n v="6007"/>
        <n v="4735"/>
        <n v="1040"/>
        <n v="6010"/>
        <n v="8961"/>
        <n v="8426"/>
        <n v="5631"/>
        <n v="14678"/>
        <n v="12100"/>
        <n v="9197"/>
        <n v="1629"/>
        <n v="10771"/>
        <n v="3645"/>
        <n v="11934"/>
        <n v="14660"/>
        <n v="13880"/>
        <n v="13600"/>
        <n v="9053"/>
        <n v="10148"/>
        <n v="13716"/>
        <n v="4567"/>
        <n v="4695"/>
        <n v="10373"/>
        <n v="14844"/>
        <n v="9744"/>
        <n v="7781"/>
        <n v="3009"/>
        <n v="5516"/>
        <n v="7033"/>
        <n v="5227"/>
        <n v="1181"/>
        <n v="14992"/>
        <n v="10821"/>
        <n v="13541"/>
        <n v="6060"/>
        <n v="7839"/>
        <n v="11994"/>
        <n v="1219"/>
        <n v="574"/>
        <n v="9985"/>
        <n v="10614"/>
        <n v="9011"/>
        <n v="2649"/>
        <n v="10144"/>
        <n v="14533"/>
        <n v="10247"/>
        <n v="7213"/>
        <n v="4707"/>
        <n v="11724"/>
        <n v="7641"/>
        <n v="9152"/>
        <n v="9578"/>
        <n v="12225"/>
        <n v="4436"/>
        <n v="9807"/>
        <n v="1575"/>
        <n v="4376"/>
        <n v="5115"/>
        <n v="13599"/>
        <n v="7765"/>
        <n v="6879"/>
        <n v="10616"/>
        <n v="5152"/>
        <n v="7292"/>
        <n v="10973"/>
        <n v="9747"/>
        <n v="7956"/>
        <n v="5174"/>
        <n v="1041"/>
        <n v="2661"/>
        <n v="5069"/>
        <n v="3244"/>
        <n v="12561"/>
        <n v="13692"/>
        <n v="6541"/>
        <n v="13173"/>
        <n v="12849"/>
        <n v="13302"/>
        <n v="13217"/>
        <n v="5175"/>
        <n v="2060"/>
        <n v="12454"/>
        <n v="5919"/>
        <n v="3222"/>
        <n v="11050"/>
        <n v="970"/>
        <n v="10108"/>
        <n v="14453"/>
        <n v="1968"/>
        <n v="8425"/>
        <n v="1308"/>
        <n v="8863"/>
        <n v="7219"/>
        <n v="12818"/>
        <n v="12834"/>
        <n v="12917"/>
        <n v="11091"/>
        <n v="8512"/>
        <n v="2145"/>
        <n v="8749"/>
        <n v="1853"/>
        <n v="1267"/>
        <n v="4395"/>
        <n v="9374"/>
        <n v="3954"/>
        <n v="10700"/>
        <n v="7829"/>
        <n v="2290"/>
        <n v="10169"/>
        <n v="1385"/>
        <n v="8234"/>
        <n v="4406"/>
        <n v="4992"/>
        <n v="10230"/>
        <n v="2573"/>
        <n v="812"/>
        <n v="6769"/>
        <n v="14376"/>
        <n v="5817"/>
        <n v="1310"/>
        <n v="10927"/>
        <n v="7341"/>
        <n v="11455"/>
        <n v="2532"/>
        <n v="10199"/>
        <n v="13237"/>
        <n v="11262"/>
        <n v="10586"/>
        <n v="14165"/>
        <n v="7629"/>
        <n v="3205"/>
        <n v="9288"/>
        <n v="2647"/>
        <n v="1115"/>
        <n v="6177"/>
        <n v="5151"/>
        <n v="13065"/>
        <n v="12456"/>
        <n v="8366"/>
        <n v="2513"/>
        <n v="4197"/>
        <n v="990"/>
        <n v="4850"/>
        <n v="2928"/>
        <n v="5487"/>
        <n v="9233"/>
        <n v="9979"/>
        <n v="10325"/>
        <n v="3426"/>
        <n v="10044"/>
        <n v="7782"/>
        <n v="4876"/>
        <n v="9990"/>
        <n v="5368"/>
        <n v="7486"/>
        <n v="7362"/>
        <n v="12659"/>
        <n v="4923"/>
        <n v="7370"/>
        <n v="13710"/>
        <n v="13339"/>
        <n v="8659"/>
        <n v="6670"/>
        <n v="1201"/>
        <n v="10611"/>
        <n v="8613"/>
        <n v="7325"/>
        <n v="11152"/>
        <n v="12954"/>
        <n v="8367"/>
        <n v="4764"/>
        <n v="8468"/>
        <n v="8646"/>
        <n v="13016"/>
        <n v="14790"/>
        <n v="8276"/>
        <n v="9058"/>
        <n v="9219"/>
        <n v="5386"/>
        <n v="4435"/>
        <n v="5119"/>
        <n v="5691"/>
        <n v="14456"/>
        <n v="10845"/>
        <n v="7375"/>
        <n v="10600"/>
        <n v="11704"/>
        <n v="8356"/>
        <n v="5901"/>
        <n v="12920"/>
        <n v="3522"/>
        <n v="12175"/>
        <n v="11412"/>
        <n v="6238"/>
        <n v="6484"/>
        <n v="2270"/>
        <n v="12805"/>
        <n v="10469"/>
        <n v="12904"/>
        <n v="9489"/>
        <n v="3715"/>
        <n v="12480"/>
        <n v="7194"/>
        <n v="3476"/>
        <n v="4237"/>
        <n v="10403"/>
        <n v="1252"/>
        <n v="11161"/>
        <n v="1892"/>
        <n v="7289"/>
        <n v="11297"/>
        <n v="14885"/>
        <n v="1177"/>
        <n v="605"/>
        <n v="11979"/>
        <n v="2446"/>
        <n v="6044"/>
        <n v="1595"/>
        <n v="13775"/>
        <n v="14596"/>
        <n v="2282"/>
        <n v="5041"/>
        <n v="14736"/>
        <n v="6713"/>
        <n v="10689"/>
        <n v="14985"/>
        <n v="5369"/>
        <n v="2061"/>
        <n v="4506"/>
        <n v="10367"/>
        <n v="9814"/>
        <n v="4481"/>
        <n v="9993"/>
        <n v="6282"/>
        <n v="1443"/>
        <n v="5050"/>
        <n v="13915"/>
        <n v="9637"/>
        <n v="1100"/>
        <n v="11392"/>
        <n v="13512"/>
        <n v="6876"/>
        <n v="2024"/>
        <n v="4266"/>
        <n v="10236"/>
        <n v="578"/>
        <n v="3623"/>
        <n v="7564"/>
        <n v="13568"/>
        <n v="1709"/>
        <n v="5653"/>
        <n v="5398"/>
        <n v="13529"/>
        <n v="2678"/>
        <n v="11371"/>
        <n v="8110"/>
        <n v="11577"/>
        <n v="11498"/>
        <n v="9395"/>
        <n v="3044"/>
        <n v="6022"/>
        <n v="2870"/>
        <n v="3781"/>
        <n v="5210"/>
        <n v="828"/>
        <n v="14183"/>
        <n v="6079"/>
        <n v="4728"/>
        <n v="13622"/>
        <n v="7294"/>
        <n v="620"/>
        <n v="7249"/>
        <n v="14263"/>
        <n v="1464"/>
        <n v="4724"/>
        <n v="4175"/>
        <n v="2576"/>
        <n v="7365"/>
        <n v="6143"/>
        <n v="9024"/>
        <n v="5749"/>
        <n v="1816"/>
        <n v="1696"/>
        <n v="3670"/>
        <n v="10121"/>
        <n v="855"/>
        <n v="12926"/>
        <n v="10218"/>
        <n v="12589"/>
        <n v="13985"/>
        <n v="528"/>
        <n v="13718"/>
        <n v="1513"/>
        <n v="11394"/>
        <n v="9519"/>
        <n v="13138"/>
        <n v="8990"/>
        <n v="10557"/>
        <n v="12708"/>
        <n v="14003"/>
        <n v="6291"/>
        <n v="10803"/>
        <n v="9461"/>
        <n v="4235"/>
        <n v="1738"/>
        <n v="13621"/>
        <n v="10905"/>
        <n v="2406"/>
        <n v="7899"/>
        <n v="8461"/>
        <n v="10256"/>
        <n v="9910"/>
        <n v="5101"/>
        <n v="12531"/>
        <n v="1960"/>
        <n v="8169"/>
        <n v="12677"/>
        <n v="1916"/>
        <n v="11545"/>
        <n v="8266"/>
        <n v="13960"/>
        <n v="13548"/>
        <n v="13620"/>
        <n v="1928"/>
        <n v="8029"/>
        <n v="4974"/>
        <n v="12985"/>
        <n v="11754"/>
        <n v="3571"/>
        <n v="1055"/>
        <n v="9047"/>
        <n v="2063"/>
        <n v="12192"/>
        <n v="1540"/>
        <n v="3186"/>
        <n v="13166"/>
        <n v="13467"/>
        <n v="3053"/>
        <n v="2279"/>
        <n v="13686"/>
        <n v="575"/>
        <n v="4826"/>
        <n v="6335"/>
        <n v="5557"/>
        <n v="12011"/>
        <n v="3273"/>
        <n v="3729"/>
        <n v="10808"/>
        <n v="892"/>
        <n v="1608"/>
        <n v="4862"/>
        <n v="5688"/>
        <n v="9302"/>
        <n v="14158"/>
        <n v="13796"/>
        <n v="11467"/>
        <n v="4498"/>
        <n v="9364"/>
        <n v="7066"/>
        <n v="4177"/>
        <n v="6296"/>
        <n v="14950"/>
        <n v="6863"/>
        <n v="8623"/>
        <n v="8722"/>
        <n v="8190"/>
        <n v="14154"/>
        <n v="1900"/>
        <n v="13941"/>
        <n v="4571"/>
        <n v="9308"/>
        <n v="13326"/>
        <n v="3286"/>
        <n v="1370"/>
        <n v="12296"/>
        <n v="10104"/>
        <n v="3239"/>
      </sharedItems>
    </cacheField>
    <cacheField name="Cost" numFmtId="0">
      <sharedItems containsSemiMixedTypes="0" containsString="0" containsNumber="1" containsInteger="1" minValue="302" maxValue="11990"/>
    </cacheField>
    <cacheField name="Discount %" numFmtId="0">
      <sharedItems containsSemiMixedTypes="0" containsString="0" containsNumber="1" containsInteger="1" minValue="0" maxValue="20"/>
    </cacheField>
    <cacheField name="Profit" numFmtId="0">
      <sharedItems containsSemiMixedTypes="0" containsString="0" containsNumber="1" containsInteger="1" minValue="-11141" maxValue="14530" count="1886">
        <n v="6359"/>
        <n v="7236"/>
        <n v="460"/>
        <n v="3091"/>
        <n v="9569"/>
        <n v="3619"/>
        <n v="-4224"/>
        <n v="4578"/>
        <n v="11014"/>
        <n v="-5497"/>
        <n v="6136"/>
        <n v="-6441"/>
        <n v="5922"/>
        <n v="2094"/>
        <n v="4877"/>
        <n v="-4576"/>
        <n v="-10493"/>
        <n v="5222"/>
        <n v="7427"/>
        <n v="3753"/>
        <n v="2899"/>
        <n v="3873"/>
        <n v="-3255"/>
        <n v="6103"/>
        <n v="-4572"/>
        <n v="-18"/>
        <n v="5549"/>
        <n v="2495"/>
        <n v="-5548"/>
        <n v="2790"/>
        <n v="-43"/>
        <n v="8452"/>
        <n v="10605"/>
        <n v="-9515"/>
        <n v="5620"/>
        <n v="-1222"/>
        <n v="-391"/>
        <n v="10807"/>
        <n v="-3920"/>
        <n v="2459"/>
        <n v="-6773"/>
        <n v="3226"/>
        <n v="-4363"/>
        <n v="6757"/>
        <n v="-6484"/>
        <n v="12522"/>
        <n v="-1956"/>
        <n v="-3021"/>
        <n v="2499"/>
        <n v="-3622"/>
        <n v="-2319"/>
        <n v="-3462"/>
        <n v="361"/>
        <n v="5460"/>
        <n v="-1321"/>
        <n v="4084"/>
        <n v="3272"/>
        <n v="-2012"/>
        <n v="7170"/>
        <n v="-6517"/>
        <n v="-3778"/>
        <n v="-4520"/>
        <n v="8500"/>
        <n v="11105"/>
        <n v="-5794"/>
        <n v="-5554"/>
        <n v="-1837"/>
        <n v="-4539"/>
        <n v="7758"/>
        <n v="-3117"/>
        <n v="-2810"/>
        <n v="4822"/>
        <n v="766"/>
        <n v="-7607"/>
        <n v="-8969"/>
        <n v="4850"/>
        <n v="-5922"/>
        <n v="6527"/>
        <n v="-6276"/>
        <n v="-420"/>
        <n v="5637"/>
        <n v="-6840"/>
        <n v="-7976"/>
        <n v="-7957"/>
        <n v="1471"/>
        <n v="-10281"/>
        <n v="4426"/>
        <n v="3640"/>
        <n v="1799"/>
        <n v="-498"/>
        <n v="-1803"/>
        <n v="2184"/>
        <n v="1523"/>
        <n v="2341"/>
        <n v="-1380"/>
        <n v="1703"/>
        <n v="502"/>
        <n v="-7556"/>
        <n v="2501"/>
        <n v="100"/>
        <n v="1566"/>
        <n v="2875"/>
        <n v="-7060"/>
        <n v="4713"/>
        <n v="2246"/>
        <n v="383"/>
        <n v="-7446"/>
        <n v="-751"/>
        <n v="1794"/>
        <n v="6086"/>
        <n v="-2076"/>
        <n v="-7117"/>
        <n v="7155"/>
        <n v="8532"/>
        <n v="10391"/>
        <n v="-4533"/>
        <n v="-2817"/>
        <n v="5879"/>
        <n v="-1684"/>
        <n v="155"/>
        <n v="513"/>
        <n v="10240"/>
        <n v="-453"/>
        <n v="-1712"/>
        <n v="-2839"/>
        <n v="11607"/>
        <n v="-1180"/>
        <n v="776"/>
        <n v="-6277"/>
        <n v="-2479"/>
        <n v="-3256"/>
        <n v="1101"/>
        <n v="-6099"/>
        <n v="4783"/>
        <n v="2509"/>
        <n v="-1506"/>
        <n v="1809"/>
        <n v="-3388"/>
        <n v="3614"/>
        <n v="-260"/>
        <n v="2633"/>
        <n v="9417"/>
        <n v="-651"/>
        <n v="819"/>
        <n v="-101"/>
        <n v="8765"/>
        <n v="-6605"/>
        <n v="-878"/>
        <n v="8021"/>
        <n v="-2898"/>
        <n v="-7754"/>
        <n v="-5920"/>
        <n v="4919"/>
        <n v="2261"/>
        <n v="2978"/>
        <n v="661"/>
        <n v="6890"/>
        <n v="10768"/>
        <n v="9015"/>
        <n v="2039"/>
        <n v="-4569"/>
        <n v="-701"/>
        <n v="1785"/>
        <n v="10021"/>
        <n v="-2423"/>
        <n v="-6850"/>
        <n v="-7615"/>
        <n v="-3013"/>
        <n v="428"/>
        <n v="-5478"/>
        <n v="-2612"/>
        <n v="3683"/>
        <n v="-7528"/>
        <n v="3699"/>
        <n v="8436"/>
        <n v="-3327"/>
        <n v="-9563"/>
        <n v="-9412"/>
        <n v="4779"/>
        <n v="9194"/>
        <n v="-490"/>
        <n v="5140"/>
        <n v="-934"/>
        <n v="-160"/>
        <n v="255"/>
        <n v="-1160"/>
        <n v="-149"/>
        <n v="234"/>
        <n v="8135"/>
        <n v="1013"/>
        <n v="6851"/>
        <n v="-1923"/>
        <n v="-5048"/>
        <n v="5266"/>
        <n v="-4745"/>
        <n v="10790"/>
        <n v="742"/>
        <n v="-3398"/>
        <n v="-1422"/>
        <n v="966"/>
        <n v="2011"/>
        <n v="4050"/>
        <n v="2783"/>
        <n v="-1936"/>
        <n v="2817"/>
        <n v="2722"/>
        <n v="-5289"/>
        <n v="5289"/>
        <n v="9034"/>
        <n v="3827"/>
        <n v="9869"/>
        <n v="-2653"/>
        <n v="-1907"/>
        <n v="8831"/>
        <n v="-6798"/>
        <n v="3705"/>
        <n v="-7896"/>
        <n v="-725"/>
        <n v="-6039"/>
        <n v="-1149"/>
        <n v="3025"/>
        <n v="11258"/>
        <n v="-3504"/>
        <n v="-2972"/>
        <n v="-1014"/>
        <n v="-4621"/>
        <n v="9056"/>
        <n v="-4353"/>
        <n v="3130"/>
        <n v="-5804"/>
        <n v="1272"/>
        <n v="-2876"/>
        <n v="4481"/>
        <n v="-285"/>
        <n v="-9437"/>
        <n v="-6899"/>
        <n v="2192"/>
        <n v="2045"/>
        <n v="-94"/>
        <n v="7315"/>
        <n v="271"/>
        <n v="5409"/>
        <n v="-781"/>
        <n v="-832"/>
        <n v="11515"/>
        <n v="-7674"/>
        <n v="3390"/>
        <n v="-9469"/>
        <n v="1071"/>
        <n v="-6619"/>
        <n v="-7480"/>
        <n v="-924"/>
        <n v="4264"/>
        <n v="7517"/>
        <n v="-2149"/>
        <n v="10865"/>
        <n v="93"/>
        <n v="-9716"/>
        <n v="-1514"/>
        <n v="4468"/>
        <n v="-5748"/>
        <n v="6666"/>
        <n v="-9635"/>
        <n v="-1351"/>
        <n v="5855"/>
        <n v="-430"/>
        <n v="10132"/>
        <n v="7101"/>
        <n v="12103"/>
        <n v="2619"/>
        <n v="951"/>
        <n v="12445"/>
        <n v="-5036"/>
        <n v="-328"/>
        <n v="1240"/>
        <n v="-4530"/>
        <n v="-1309"/>
        <n v="294"/>
        <n v="3748"/>
        <n v="-2936"/>
        <n v="4537"/>
        <n v="-1891"/>
        <n v="5934"/>
        <n v="673"/>
        <n v="-6368"/>
        <n v="-7049"/>
        <n v="-3972"/>
        <n v="842"/>
        <n v="852"/>
        <n v="1292"/>
        <n v="12595"/>
        <n v="1410"/>
        <n v="13571"/>
        <n v="-3762"/>
        <n v="2771"/>
        <n v="4203"/>
        <n v="-5546"/>
        <n v="8194"/>
        <n v="2124"/>
        <n v="-2103"/>
        <n v="286"/>
        <n v="-1656"/>
        <n v="-32"/>
        <n v="7335"/>
        <n v="-3698"/>
        <n v="-10266"/>
        <n v="2260"/>
        <n v="-1922"/>
        <n v="550"/>
        <n v="1608"/>
        <n v="-3919"/>
        <n v="6493"/>
        <n v="-3360"/>
        <n v="3317"/>
        <n v="2895"/>
        <n v="-1026"/>
        <n v="-5499"/>
        <n v="8562"/>
        <n v="7969"/>
        <n v="-1388"/>
        <n v="-7064"/>
        <n v="10791"/>
        <n v="7343"/>
        <n v="3075"/>
        <n v="-2740"/>
        <n v="-495"/>
        <n v="416"/>
        <n v="8273"/>
        <n v="-669"/>
        <n v="1123"/>
        <n v="1464"/>
        <n v="5969"/>
        <n v="9167"/>
        <n v="4768"/>
        <n v="1764"/>
        <n v="854"/>
        <n v="-8395"/>
        <n v="6738"/>
        <n v="1610"/>
        <n v="5064"/>
        <n v="8960"/>
        <n v="2330"/>
        <n v="9059"/>
        <n v="7288"/>
        <n v="11932"/>
        <n v="4226"/>
        <n v="-9906"/>
        <n v="1516"/>
        <n v="13037"/>
        <n v="2616"/>
        <n v="1583"/>
        <n v="-4445"/>
        <n v="3826"/>
        <n v="-1041"/>
        <n v="-1698"/>
        <n v="-4643"/>
        <n v="5488"/>
        <n v="8477"/>
        <n v="-5132"/>
        <n v="-826"/>
        <n v="3843"/>
        <n v="-6329"/>
        <n v="1711"/>
        <n v="-3105"/>
        <n v="7900"/>
        <n v="5980"/>
        <n v="102"/>
        <n v="6624"/>
        <n v="4199"/>
        <n v="8110"/>
        <n v="209"/>
        <n v="-1265"/>
        <n v="6462"/>
        <n v="9595"/>
        <n v="7547"/>
        <n v="-5996"/>
        <n v="-3646"/>
        <n v="3308"/>
        <n v="2"/>
        <n v="3128"/>
        <n v="7135"/>
        <n v="5782"/>
        <n v="12045"/>
        <n v="6758"/>
        <n v="114"/>
        <n v="-6571"/>
        <n v="-9641"/>
        <n v="483"/>
        <n v="3430"/>
        <n v="-1363"/>
        <n v="-3871"/>
        <n v="438"/>
        <n v="7386"/>
        <n v="567"/>
        <n v="-1022"/>
        <n v="1940"/>
        <n v="2259"/>
        <n v="12398"/>
        <n v="10431"/>
        <n v="8209"/>
        <n v="-4358"/>
        <n v="-5461"/>
        <n v="7369"/>
        <n v="8250"/>
        <n v="3839"/>
        <n v="4019"/>
        <n v="7381"/>
        <n v="5476"/>
        <n v="7096"/>
        <n v="3438"/>
        <n v="5815"/>
        <n v="862"/>
        <n v="1587"/>
        <n v="3376"/>
        <n v="5956"/>
        <n v="-4878"/>
        <n v="-8193"/>
        <n v="6911"/>
        <n v="1975"/>
        <n v="-2565"/>
        <n v="-7439"/>
        <n v="-3839"/>
        <n v="-3062"/>
        <n v="-6891"/>
        <n v="11895"/>
        <n v="-80"/>
        <n v="10494"/>
        <n v="-3576"/>
        <n v="4015"/>
        <n v="6495"/>
        <n v="-2340"/>
        <n v="5110"/>
        <n v="2168"/>
        <n v="1002"/>
        <n v="8369"/>
        <n v="4269"/>
        <n v="-6322"/>
        <n v="912"/>
        <n v="-5918"/>
        <n v="7857"/>
        <n v="431"/>
        <n v="-580"/>
        <n v="10199"/>
        <n v="4153"/>
        <n v="-742"/>
        <n v="12799"/>
        <n v="-4187"/>
        <n v="12816"/>
        <n v="-1365"/>
        <n v="4627"/>
        <n v="3815"/>
        <n v="5229"/>
        <n v="6522"/>
        <n v="6454"/>
        <n v="-419"/>
        <n v="4078"/>
        <n v="-6726"/>
        <n v="358"/>
        <n v="7841"/>
        <n v="-7157"/>
        <n v="-3421"/>
        <n v="7277"/>
        <n v="927"/>
        <n v="3242"/>
        <n v="1621"/>
        <n v="11"/>
        <n v="7576"/>
        <n v="7201"/>
        <n v="2385"/>
        <n v="5228"/>
        <n v="-3269"/>
        <n v="6387"/>
        <n v="-6248"/>
        <n v="12747"/>
        <n v="5991"/>
        <n v="-906"/>
        <n v="11181"/>
        <n v="3643"/>
        <n v="2424"/>
        <n v="647"/>
        <n v="1871"/>
        <n v="2342"/>
        <n v="1775"/>
        <n v="5087"/>
        <n v="1577"/>
        <n v="8171"/>
        <n v="-7200"/>
        <n v="-4969"/>
        <n v="5189"/>
        <n v="10258"/>
        <n v="-5674"/>
        <n v="1530"/>
        <n v="-3254"/>
        <n v="-438"/>
        <n v="-6991"/>
        <n v="4580"/>
        <n v="321"/>
        <n v="10011"/>
        <n v="6284"/>
        <n v="-1439"/>
        <n v="2156"/>
        <n v="1121"/>
        <n v="-1642"/>
        <n v="11128"/>
        <n v="9516"/>
        <n v="4353"/>
        <n v="-3598"/>
        <n v="4346"/>
        <n v="7301"/>
        <n v="11205"/>
        <n v="-3240"/>
        <n v="4522"/>
        <n v="1510"/>
        <n v="2513"/>
        <n v="-3509"/>
        <n v="-4233"/>
        <n v="-3127"/>
        <n v="-3767"/>
        <n v="-569"/>
        <n v="-7764"/>
        <n v="-4238"/>
        <n v="-1025"/>
        <n v="-1522"/>
        <n v="5081"/>
        <n v="2373"/>
        <n v="6271"/>
        <n v="-5743"/>
        <n v="-2629"/>
        <n v="-1653"/>
        <n v="3190"/>
        <n v="4281"/>
        <n v="12435"/>
        <n v="7904"/>
        <n v="745"/>
        <n v="5128"/>
        <n v="-1392"/>
        <n v="6152"/>
        <n v="3060"/>
        <n v="-2894"/>
        <n v="2533"/>
        <n v="1647"/>
        <n v="11143"/>
        <n v="-5745"/>
        <n v="915"/>
        <n v="-756"/>
        <n v="6824"/>
        <n v="4912"/>
        <n v="-3381"/>
        <n v="-8993"/>
        <n v="-6739"/>
        <n v="921"/>
        <n v="-755"/>
        <n v="2985"/>
        <n v="1443"/>
        <n v="-848"/>
        <n v="5387"/>
        <n v="1831"/>
        <n v="-5530"/>
        <n v="-4195"/>
        <n v="-2906"/>
        <n v="3234"/>
        <n v="2137"/>
        <n v="-2197"/>
        <n v="182"/>
        <n v="370"/>
        <n v="6259"/>
        <n v="10974"/>
        <n v="11544"/>
        <n v="4336"/>
        <n v="45"/>
        <n v="-8855"/>
        <n v="591"/>
        <n v="1717"/>
        <n v="2707"/>
        <n v="-3097"/>
        <n v="3071"/>
        <n v="-2712"/>
        <n v="-1833"/>
        <n v="4429"/>
        <n v="4748"/>
        <n v="-6689"/>
        <n v="4890"/>
        <n v="4819"/>
        <n v="1914"/>
        <n v="1485"/>
        <n v="-2161"/>
        <n v="-2045"/>
        <n v="2650"/>
        <n v="7412"/>
        <n v="-3675"/>
        <n v="7141"/>
        <n v="6816"/>
        <n v="241"/>
        <n v="527"/>
        <n v="-5615"/>
        <n v="1946"/>
        <n v="8011"/>
        <n v="10741"/>
        <n v="7880"/>
        <n v="3609"/>
        <n v="-1822"/>
        <n v="-7953"/>
        <n v="5154"/>
        <n v="4887"/>
        <n v="233"/>
        <n v="-2541"/>
        <n v="5125"/>
        <n v="10517"/>
        <n v="10898"/>
        <n v="-1006"/>
        <n v="154"/>
        <n v="-432"/>
        <n v="-158"/>
        <n v="5046"/>
        <n v="-8433"/>
        <n v="7309"/>
        <n v="-7358"/>
        <n v="-31"/>
        <n v="-1662"/>
        <n v="-891"/>
        <n v="1115"/>
        <n v="-103"/>
        <n v="8422"/>
        <n v="1561"/>
        <n v="5499"/>
        <n v="-1844"/>
        <n v="6490"/>
        <n v="-4453"/>
        <n v="6244"/>
        <n v="2471"/>
        <n v="-7662"/>
        <n v="1879"/>
        <n v="29"/>
        <n v="14013"/>
        <n v="3325"/>
        <n v="903"/>
        <n v="7800"/>
        <n v="-923"/>
        <n v="5519"/>
        <n v="9756"/>
        <n v="3792"/>
        <n v="-3590"/>
        <n v="-6767"/>
        <n v="-7376"/>
        <n v="-2073"/>
        <n v="1967"/>
        <n v="6483"/>
        <n v="9092"/>
        <n v="-4062"/>
        <n v="-1327"/>
        <n v="-42"/>
        <n v="-703"/>
        <n v="-4131"/>
        <n v="10282"/>
        <n v="-4335"/>
        <n v="-3033"/>
        <n v="-7966"/>
        <n v="9867"/>
        <n v="627"/>
        <n v="-3227"/>
        <n v="6940"/>
        <n v="6930"/>
        <n v="10386"/>
        <n v="-1688"/>
        <n v="-2475"/>
        <n v="-6061"/>
        <n v="-4184"/>
        <n v="-5507"/>
        <n v="1598"/>
        <n v="-2113"/>
        <n v="-2146"/>
        <n v="-219"/>
        <n v="-654"/>
        <n v="-5746"/>
        <n v="4721"/>
        <n v="-2176"/>
        <n v="-4064"/>
        <n v="2804"/>
        <n v="4080"/>
        <n v="2034"/>
        <n v="338"/>
        <n v="7874"/>
        <n v="9185"/>
        <n v="10470"/>
        <n v="4219"/>
        <n v="5285"/>
        <n v="-9834"/>
        <n v="1469"/>
        <n v="2317"/>
        <n v="-5201"/>
        <n v="3463"/>
        <n v="3791"/>
        <n v="-3982"/>
        <n v="8119"/>
        <n v="6193"/>
        <n v="-4706"/>
        <n v="694"/>
        <n v="-3580"/>
        <n v="3977"/>
        <n v="3992"/>
        <n v="-10269"/>
        <n v="-2753"/>
        <n v="5582"/>
        <n v="3380"/>
        <n v="3086"/>
        <n v="-3578"/>
        <n v="2995"/>
        <n v="3618"/>
        <n v="11478"/>
        <n v="-4254"/>
        <n v="-5160"/>
        <n v="3538"/>
        <n v="-1545"/>
        <n v="-6298"/>
        <n v="3844"/>
        <n v="1035"/>
        <n v="11841"/>
        <n v="-2218"/>
        <n v="961"/>
        <n v="-4291"/>
        <n v="13741"/>
        <n v="-8262"/>
        <n v="-374"/>
        <n v="-1019"/>
        <n v="13406"/>
        <n v="-7906"/>
        <n v="5398"/>
        <n v="7336"/>
        <n v="5981"/>
        <n v="191"/>
        <n v="8343"/>
        <n v="-2805"/>
        <n v="5076"/>
        <n v="5315"/>
        <n v="3550"/>
        <n v="821"/>
        <n v="-395"/>
        <n v="9265"/>
        <n v="841"/>
        <n v="-7047"/>
        <n v="1168"/>
        <n v="6569"/>
        <n v="-2405"/>
        <n v="1291"/>
        <n v="9750"/>
        <n v="6435"/>
        <n v="6566"/>
        <n v="975"/>
        <n v="-1654"/>
        <n v="4687"/>
        <n v="-2558"/>
        <n v="3996"/>
        <n v="-7065"/>
        <n v="547"/>
        <n v="-6550"/>
        <n v="691"/>
        <n v="1643"/>
        <n v="-3997"/>
        <n v="-9597"/>
        <n v="10212"/>
        <n v="-3705"/>
        <n v="4370"/>
        <n v="-6030"/>
        <n v="1020"/>
        <n v="6288"/>
        <n v="1535"/>
        <n v="-6757"/>
        <n v="10733"/>
        <n v="6639"/>
        <n v="1303"/>
        <n v="-3601"/>
        <n v="-1161"/>
        <n v="3820"/>
        <n v="-10667"/>
        <n v="8931"/>
        <n v="5785"/>
        <n v="11408"/>
        <n v="-5693"/>
        <n v="13427"/>
        <n v="10404"/>
        <n v="13896"/>
        <n v="9828"/>
        <n v="5566"/>
        <n v="8729"/>
        <n v="-4299"/>
        <n v="-2331"/>
        <n v="7887"/>
        <n v="261"/>
        <n v="1"/>
        <n v="676"/>
        <n v="3334"/>
        <n v="3444"/>
        <n v="-9068"/>
        <n v="4845"/>
        <n v="-1126"/>
        <n v="9318"/>
        <n v="-714"/>
        <n v="-7187"/>
        <n v="-6590"/>
        <n v="10745"/>
        <n v="3722"/>
        <n v="5664"/>
        <n v="6889"/>
        <n v="5972"/>
        <n v="5737"/>
        <n v="-6856"/>
        <n v="-2625"/>
        <n v="7243"/>
        <n v="11366"/>
        <n v="-1866"/>
        <n v="6848"/>
        <n v="-3300"/>
        <n v="8160"/>
        <n v="2837"/>
        <n v="-4692"/>
        <n v="-6017"/>
        <n v="6032"/>
        <n v="7033"/>
        <n v="10117"/>
        <n v="-3170"/>
        <n v="1575"/>
        <n v="-435"/>
        <n v="5959"/>
        <n v="7217"/>
        <n v="2126"/>
        <n v="5356"/>
        <n v="-5266"/>
        <n v="1860"/>
        <n v="5346"/>
        <n v="3913"/>
        <n v="3536"/>
        <n v="2038"/>
        <n v="-9626"/>
        <n v="11982"/>
        <n v="5111"/>
        <n v="1604"/>
        <n v="522"/>
        <n v="-2259"/>
        <n v="7786"/>
        <n v="-1498"/>
        <n v="6579"/>
        <n v="8977"/>
        <n v="407"/>
        <n v="-2599"/>
        <n v="-466"/>
        <n v="11814"/>
        <n v="3062"/>
        <n v="3044"/>
        <n v="-1589"/>
        <n v="-2760"/>
        <n v="-5853"/>
        <n v="-4283"/>
        <n v="344"/>
        <n v="-6588"/>
        <n v="-4111"/>
        <n v="-901"/>
        <n v="-6115"/>
        <n v="-537"/>
        <n v="-9522"/>
        <n v="-1279"/>
        <n v="-8264"/>
        <n v="4373"/>
        <n v="7116"/>
        <n v="-1331"/>
        <n v="2107"/>
        <n v="143"/>
        <n v="9323"/>
        <n v="1658"/>
        <n v="2186"/>
        <n v="8544"/>
        <n v="-3086"/>
        <n v="1731"/>
        <n v="5160"/>
        <n v="6393"/>
        <n v="7960"/>
        <n v="4587"/>
        <n v="-3714"/>
        <n v="4666"/>
        <n v="-8358"/>
        <n v="-4369"/>
        <n v="-4648"/>
        <n v="6923"/>
        <n v="-3216"/>
        <n v="10942"/>
        <n v="1277"/>
        <n v="-6802"/>
        <n v="1763"/>
        <n v="384"/>
        <n v="5704"/>
        <n v="6180"/>
        <n v="-6580"/>
        <n v="-3146"/>
        <n v="-3907"/>
        <n v="-6575"/>
        <n v="8466"/>
        <n v="285"/>
        <n v="8919"/>
        <n v="-4153"/>
        <n v="6656"/>
        <n v="8197"/>
        <n v="-3715"/>
        <n v="-2393"/>
        <n v="1812"/>
        <n v="-8443"/>
        <n v="11192"/>
        <n v="-4247"/>
        <n v="5100"/>
        <n v="4176"/>
        <n v="-170"/>
        <n v="8498"/>
        <n v="-2303"/>
        <n v="-1252"/>
        <n v="4677"/>
        <n v="-3949"/>
        <n v="8138"/>
        <n v="12879"/>
        <n v="-3160"/>
        <n v="-3280"/>
        <n v="5174"/>
        <n v="-4121"/>
        <n v="5261"/>
        <n v="7907"/>
        <n v="2082"/>
        <n v="-2770"/>
        <n v="-2273"/>
        <n v="4775"/>
        <n v="3754"/>
        <n v="6986"/>
        <n v="3209"/>
        <n v="3469"/>
        <n v="3461"/>
        <n v="-6971"/>
        <n v="-4015"/>
        <n v="1362"/>
        <n v="-4492"/>
        <n v="-2357"/>
        <n v="770"/>
        <n v="6365"/>
        <n v="3760"/>
        <n v="-4666"/>
        <n v="-10646"/>
        <n v="7166"/>
        <n v="6111"/>
        <n v="-403"/>
        <n v="-5224"/>
        <n v="-961"/>
        <n v="-8418"/>
        <n v="8545"/>
        <n v="3323"/>
        <n v="-3242"/>
        <n v="-2163"/>
        <n v="11789"/>
        <n v="3823"/>
        <n v="-3341"/>
        <n v="8735"/>
        <n v="5804"/>
        <n v="3439"/>
        <n v="-2537"/>
        <n v="3672"/>
        <n v="10877"/>
        <n v="6017"/>
        <n v="10002"/>
        <n v="2274"/>
        <n v="4801"/>
        <n v="955"/>
        <n v="4651"/>
        <n v="5377"/>
        <n v="-2846"/>
        <n v="-6513"/>
        <n v="3327"/>
        <n v="-883"/>
        <n v="1011"/>
        <n v="-3161"/>
        <n v="7703"/>
        <n v="-6263"/>
        <n v="-6796"/>
        <n v="3336"/>
        <n v="2567"/>
        <n v="11855"/>
        <n v="-5928"/>
        <n v="6427"/>
        <n v="7245"/>
        <n v="-4529"/>
        <n v="7302"/>
        <n v="-8838"/>
        <n v="3313"/>
        <n v="5071"/>
        <n v="11434"/>
        <n v="4574"/>
        <n v="3024"/>
        <n v="737"/>
        <n v="-2350"/>
        <n v="5864"/>
        <n v="8093"/>
        <n v="3051"/>
        <n v="-731"/>
        <n v="-78"/>
        <n v="4599"/>
        <n v="4897"/>
        <n v="10706"/>
        <n v="2907"/>
        <n v="5590"/>
        <n v="9096"/>
        <n v="10798"/>
        <n v="-5525"/>
        <n v="6632"/>
        <n v="6636"/>
        <n v="3710"/>
        <n v="-6285"/>
        <n v="7981"/>
        <n v="-3108"/>
        <n v="6751"/>
        <n v="4701"/>
        <n v="5869"/>
        <n v="11289"/>
        <n v="10606"/>
        <n v="5145"/>
        <n v="10871"/>
        <n v="1710"/>
        <n v="3642"/>
        <n v="-10604"/>
        <n v="281"/>
        <n v="13696"/>
        <n v="1316"/>
        <n v="1926"/>
        <n v="978"/>
        <n v="2086"/>
        <n v="7072"/>
        <n v="-5709"/>
        <n v="7918"/>
        <n v="4902"/>
        <n v="2957"/>
        <n v="6477"/>
        <n v="399"/>
        <n v="-347"/>
        <n v="-897"/>
        <n v="-3044"/>
        <n v="5359"/>
        <n v="9921"/>
        <n v="-1283"/>
        <n v="-551"/>
        <n v="686"/>
        <n v="-8520"/>
        <n v="-7424"/>
        <n v="-5687"/>
        <n v="11000"/>
        <n v="5766"/>
        <n v="5551"/>
        <n v="11863"/>
        <n v="11233"/>
        <n v="1478"/>
        <n v="2890"/>
        <n v="-4068"/>
        <n v="6535"/>
        <n v="1196"/>
        <n v="8002"/>
        <n v="6031"/>
        <n v="4193"/>
        <n v="9865"/>
        <n v="-5161"/>
        <n v="8287"/>
        <n v="11652"/>
        <n v="9824"/>
        <n v="10432"/>
        <n v="11574"/>
        <n v="-4720"/>
        <n v="503"/>
        <n v="3179"/>
        <n v="2188"/>
        <n v="-3843"/>
        <n v="-3442"/>
        <n v="4872"/>
        <n v="-1797"/>
        <n v="2365"/>
        <n v="-3113"/>
        <n v="-5770"/>
        <n v="-1735"/>
        <n v="-1170"/>
        <n v="-161"/>
        <n v="2970"/>
        <n v="6167"/>
        <n v="5632"/>
        <n v="-4886"/>
        <n v="-1900"/>
        <n v="7188"/>
        <n v="-7467"/>
        <n v="3970"/>
        <n v="6492"/>
        <n v="5735"/>
        <n v="-8206"/>
        <n v="-1781"/>
        <n v="3445"/>
        <n v="-5487"/>
        <n v="-2342"/>
        <n v="-6471"/>
        <n v="-461"/>
        <n v="-585"/>
        <n v="3218"/>
        <n v="-244"/>
        <n v="10062"/>
        <n v="-1536"/>
        <n v="5141"/>
        <n v="1079"/>
        <n v="5509"/>
        <n v="645"/>
        <n v="4174"/>
        <n v="8764"/>
        <n v="1348"/>
        <n v="312"/>
        <n v="-4953"/>
        <n v="-4942"/>
        <n v="-7106"/>
        <n v="-8269"/>
        <n v="1445"/>
        <n v="-4505"/>
        <n v="-557"/>
        <n v="2659"/>
        <n v="-1627"/>
        <n v="4589"/>
        <n v="5069"/>
        <n v="-6913"/>
        <n v="8522"/>
        <n v="7616"/>
        <n v="3361"/>
        <n v="-689"/>
        <n v="-4540"/>
        <n v="4702"/>
        <n v="3978"/>
        <n v="1385"/>
        <n v="10048"/>
        <n v="9575"/>
        <n v="2281"/>
        <n v="9473"/>
        <n v="4994"/>
        <n v="-1481"/>
        <n v="179"/>
        <n v="6958"/>
        <n v="764"/>
        <n v="6542"/>
        <n v="3477"/>
        <n v="9487"/>
        <n v="-3831"/>
        <n v="-2841"/>
        <n v="9900"/>
        <n v="-6852"/>
        <n v="-530"/>
        <n v="-5438"/>
        <n v="6956"/>
        <n v="2625"/>
        <n v="2845"/>
        <n v="5369"/>
        <n v="-359"/>
        <n v="-5098"/>
        <n v="-1810"/>
        <n v="11169"/>
        <n v="3784"/>
        <n v="-6174"/>
        <n v="-2485"/>
        <n v="-10029"/>
        <n v="-1683"/>
        <n v="9984"/>
        <n v="10560"/>
        <n v="3946"/>
        <n v="-6930"/>
        <n v="-2738"/>
        <n v="3906"/>
        <n v="1581"/>
        <n v="-1007"/>
        <n v="1796"/>
        <n v="-5518"/>
        <n v="-542"/>
        <n v="-8067"/>
        <n v="3150"/>
        <n v="-9581"/>
        <n v="6726"/>
        <n v="5054"/>
        <n v="-829"/>
        <n v="7396"/>
        <n v="-5209"/>
        <n v="-2055"/>
        <n v="-6643"/>
        <n v="2172"/>
        <n v="3490"/>
        <n v="468"/>
        <n v="-1205"/>
        <n v="10024"/>
        <n v="-8328"/>
        <n v="-305"/>
        <n v="-8002"/>
        <n v="4379"/>
        <n v="1282"/>
        <n v="9110"/>
        <n v="-288"/>
        <n v="2620"/>
        <n v="5217"/>
        <n v="-5295"/>
        <n v="-6741"/>
        <n v="314"/>
        <n v="-3339"/>
        <n v="6302"/>
        <n v="-6734"/>
        <n v="9464"/>
        <n v="8969"/>
        <n v="7104"/>
        <n v="-1805"/>
        <n v="5845"/>
        <n v="7694"/>
        <n v="-2619"/>
        <n v="-4449"/>
        <n v="12088"/>
        <n v="-753"/>
        <n v="5783"/>
        <n v="2319"/>
        <n v="-5815"/>
        <n v="1221"/>
        <n v="-917"/>
        <n v="3502"/>
        <n v="-5299"/>
        <n v="5027"/>
        <n v="4107"/>
        <n v="2808"/>
        <n v="-9155"/>
        <n v="6509"/>
        <n v="-3813"/>
        <n v="1672"/>
        <n v="-9284"/>
        <n v="-4493"/>
        <n v="92"/>
        <n v="11362"/>
        <n v="218"/>
        <n v="-2296"/>
        <n v="4003"/>
        <n v="-2979"/>
        <n v="-2798"/>
        <n v="-7089"/>
        <n v="-840"/>
        <n v="-1438"/>
        <n v="840"/>
        <n v="9366"/>
        <n v="8242"/>
        <n v="10015"/>
        <n v="1067"/>
        <n v="4723"/>
        <n v="5280"/>
        <n v="-1119"/>
        <n v="-2008"/>
        <n v="7488"/>
        <n v="-4075"/>
        <n v="-9224"/>
        <n v="-849"/>
        <n v="4268"/>
        <n v="-1466"/>
        <n v="12639"/>
        <n v="6185"/>
        <n v="-1955"/>
        <n v="4541"/>
        <n v="1983"/>
        <n v="-7125"/>
        <n v="-2112"/>
        <n v="2145"/>
        <n v="-358"/>
        <n v="-8096"/>
        <n v="-9"/>
        <n v="-2122"/>
        <n v="5339"/>
        <n v="-4465"/>
        <n v="11551"/>
        <n v="6079"/>
        <n v="11034"/>
        <n v="196"/>
        <n v="330"/>
        <n v="2968"/>
        <n v="12533"/>
        <n v="-2309"/>
        <n v="-4821"/>
        <n v="-183"/>
        <n v="3625"/>
        <n v="9324"/>
        <n v="4833"/>
        <n v="8691"/>
        <n v="-6957"/>
        <n v="405"/>
        <n v="2692"/>
        <n v="10004"/>
        <n v="12406"/>
        <n v="-2655"/>
        <n v="7332"/>
        <n v="8778"/>
        <n v="-539"/>
        <n v="5133"/>
        <n v="-4143"/>
        <n v="1724"/>
        <n v="4940"/>
        <n v="6665"/>
        <n v="10721"/>
        <n v="-1048"/>
        <n v="1179"/>
        <n v="3028"/>
        <n v="10980"/>
        <n v="-2308"/>
        <n v="6894"/>
        <n v="10788"/>
        <n v="-7325"/>
        <n v="-8610"/>
        <n v="-5870"/>
        <n v="4463"/>
        <n v="4150"/>
        <n v="1124"/>
        <n v="3049"/>
        <n v="5376"/>
        <n v="-3069"/>
        <n v="2331"/>
        <n v="4500"/>
        <n v="-1967"/>
        <n v="-2412"/>
        <n v="2112"/>
        <n v="5748"/>
        <n v="913"/>
        <n v="-8627"/>
        <n v="5085"/>
        <n v="571"/>
        <n v="-4634"/>
        <n v="-3866"/>
        <n v="8309"/>
        <n v="2432"/>
        <n v="-10034"/>
        <n v="1402"/>
        <n v="1349"/>
        <n v="6988"/>
        <n v="7776"/>
        <n v="-7149"/>
        <n v="-5945"/>
        <n v="-1023"/>
        <n v="857"/>
        <n v="8866"/>
        <n v="13439"/>
        <n v="-3976"/>
        <n v="8984"/>
        <n v="-2337"/>
        <n v="4476"/>
        <n v="-165"/>
        <n v="3139"/>
        <n v="-1085"/>
        <n v="2041"/>
        <n v="-5380"/>
        <n v="9596"/>
        <n v="3654"/>
        <n v="6054"/>
        <n v="1783"/>
        <n v="-9169"/>
        <n v="5292"/>
        <n v="6340"/>
        <n v="-7592"/>
        <n v="4027"/>
        <n v="-1632"/>
        <n v="12404"/>
        <n v="-7745"/>
        <n v="-650"/>
        <n v="3890"/>
        <n v="5760"/>
        <n v="-861"/>
        <n v="10814"/>
        <n v="5372"/>
        <n v="5381"/>
        <n v="-2960"/>
        <n v="4873"/>
        <n v="3587"/>
        <n v="1907"/>
        <n v="-5104"/>
        <n v="5405"/>
        <n v="8106"/>
        <n v="-1644"/>
        <n v="3752"/>
        <n v="8590"/>
        <n v="2409"/>
        <n v="-2975"/>
        <n v="11904"/>
        <n v="5540"/>
        <n v="4933"/>
        <n v="4213"/>
        <n v="-8488"/>
        <n v="4986"/>
        <n v="31"/>
        <n v="8241"/>
        <n v="-3569"/>
        <n v="-1403"/>
        <n v="-8178"/>
        <n v="-4741"/>
        <n v="-6822"/>
        <n v="5741"/>
        <n v="-5938"/>
        <n v="-302"/>
        <n v="-3406"/>
        <n v="7695"/>
        <n v="12669"/>
        <n v="-3396"/>
        <n v="2617"/>
        <n v="9014"/>
        <n v="-2374"/>
        <n v="5779"/>
        <n v="11096"/>
        <n v="-355"/>
        <n v="-1394"/>
        <n v="2927"/>
        <n v="-7217"/>
        <n v="-4967"/>
        <n v="1137"/>
        <n v="-1264"/>
        <n v="6829"/>
        <n v="1498"/>
        <n v="923"/>
        <n v="7807"/>
        <n v="2842"/>
        <n v="1083"/>
        <n v="-2165"/>
        <n v="14530"/>
        <n v="-8866"/>
        <n v="6063"/>
        <n v="-5591"/>
        <n v="-1031"/>
        <n v="9805"/>
        <n v="-1658"/>
        <n v="-771"/>
        <n v="7081"/>
        <n v="-9447"/>
        <n v="1107"/>
        <n v="10285"/>
        <n v="3268"/>
        <n v="-6789"/>
        <n v="1557"/>
        <n v="-89"/>
        <n v="-7163"/>
        <n v="-1053"/>
        <n v="1640"/>
        <n v="-10937"/>
        <n v="-443"/>
        <n v="4477"/>
        <n v="-5406"/>
        <n v="861"/>
        <n v="491"/>
        <n v="-8285"/>
        <n v="-1233"/>
        <n v="-7531"/>
        <n v="-3665"/>
        <n v="-6019"/>
        <n v="3195"/>
        <n v="11498"/>
        <n v="-1009"/>
        <n v="5870"/>
        <n v="76"/>
        <n v="-7641"/>
        <n v="-4580"/>
        <n v="561"/>
        <n v="8428"/>
        <n v="-1885"/>
        <n v="4058"/>
        <n v="9006"/>
        <n v="1827"/>
        <n v="5146"/>
        <n v="-3034"/>
        <n v="-1424"/>
        <n v="-106"/>
        <n v="-6495"/>
        <n v="-7094"/>
        <n v="6677"/>
        <n v="-1985"/>
        <n v="3454"/>
        <n v="10449"/>
        <n v="6094"/>
        <n v="99"/>
        <n v="-3088"/>
        <n v="8737"/>
        <n v="11849"/>
        <n v="2750"/>
        <n v="10709"/>
        <n v="3771"/>
        <n v="1003"/>
        <n v="1027"/>
        <n v="5578"/>
        <n v="-5122"/>
        <n v="138"/>
        <n v="-5002"/>
        <n v="-4805"/>
        <n v="4769"/>
        <n v="-5842"/>
        <n v="-1965"/>
        <n v="4509"/>
        <n v="3853"/>
        <n v="5074"/>
        <n v="4929"/>
        <n v="-5773"/>
        <n v="7964"/>
        <n v="-2933"/>
        <n v="-1830"/>
        <n v="1175"/>
        <n v="1243"/>
        <n v="11939"/>
        <n v="5689"/>
        <n v="4688"/>
        <n v="-7022"/>
        <n v="-663"/>
        <n v="4284"/>
        <n v="-194"/>
        <n v="2258"/>
        <n v="-5508"/>
        <n v="14368"/>
        <n v="5522"/>
        <n v="2570"/>
        <n v="6072"/>
        <n v="-6135"/>
        <n v="7468"/>
        <n v="4439"/>
        <n v="7640"/>
        <n v="10492"/>
        <n v="11511"/>
        <n v="5717"/>
        <n v="-3457"/>
        <n v="2250"/>
        <n v="8578"/>
        <n v="-1605"/>
        <n v="-1294"/>
        <n v="10245"/>
        <n v="176"/>
        <n v="6508"/>
        <n v="-4374"/>
        <n v="-278"/>
        <n v="-3324"/>
        <n v="-6390"/>
        <n v="11286"/>
        <n v="-1018"/>
        <n v="1171"/>
        <n v="10112"/>
        <n v="5656"/>
        <n v="-3217"/>
        <n v="-150"/>
        <n v="8127"/>
        <n v="-3429"/>
        <n v="-4116"/>
        <n v="2874"/>
        <n v="9133"/>
        <n v="-287"/>
        <n v="2031"/>
        <n v="2838"/>
        <n v="6310"/>
        <n v="8294"/>
        <n v="-1372"/>
        <n v="3141"/>
        <n v="6895"/>
        <n v="8744"/>
        <n v="6039"/>
        <n v="5994"/>
        <n v="83"/>
        <n v="4970"/>
        <n v="-5086"/>
        <n v="2831"/>
        <n v="2095"/>
        <n v="4830"/>
        <n v="-3783"/>
        <n v="-1162"/>
        <n v="5211"/>
        <n v="11170"/>
        <n v="6805"/>
        <n v="-4178"/>
        <n v="4191"/>
        <n v="3692"/>
        <n v="1226"/>
        <n v="1154"/>
        <n v="-1164"/>
        <n v="-5488"/>
        <n v="-7088"/>
        <n v="2087"/>
        <n v="7644"/>
        <n v="-1189"/>
        <n v="-6152"/>
        <n v="4825"/>
        <n v="8599"/>
        <n v="-4129"/>
        <n v="4389"/>
        <n v="1974"/>
        <n v="12738"/>
        <n v="-2200"/>
        <n v="10968"/>
        <n v="1159"/>
        <n v="3807"/>
        <n v="-4532"/>
        <n v="4464"/>
        <n v="9646"/>
        <n v="-3162"/>
        <n v="-3095"/>
        <n v="891"/>
        <n v="8082"/>
        <n v="2632"/>
        <n v="1689"/>
        <n v="5732"/>
        <n v="4319"/>
        <n v="6314"/>
        <n v="-1260"/>
        <n v="-8979"/>
        <n v="7080"/>
        <n v="7584"/>
        <n v="-9844"/>
        <n v="-8200"/>
        <n v="-4362"/>
        <n v="3492"/>
        <n v="3318"/>
        <n v="-7600"/>
        <n v="6382"/>
        <n v="2337"/>
        <n v="9519"/>
        <n v="-7860"/>
        <n v="6489"/>
        <n v="-2685"/>
        <n v="2105"/>
        <n v="2493"/>
        <n v="2813"/>
        <n v="4558"/>
        <n v="-1835"/>
        <n v="-10026"/>
        <n v="-2822"/>
        <n v="4810"/>
        <n v="-3461"/>
        <n v="8873"/>
        <n v="-3320"/>
        <n v="3871"/>
        <n v="4474"/>
        <n v="-1524"/>
        <n v="528"/>
        <n v="1436"/>
        <n v="347"/>
        <n v="1170"/>
        <n v="8473"/>
        <n v="-2466"/>
        <n v="-147"/>
        <n v="3296"/>
        <n v="-1871"/>
        <n v="-3988"/>
        <n v="-1230"/>
        <n v="-5795"/>
        <n v="-235"/>
        <n v="9583"/>
        <n v="1147"/>
        <n v="4906"/>
        <n v="-5006"/>
        <n v="-1896"/>
        <n v="1902"/>
        <n v="-4685"/>
        <n v="3470"/>
        <n v="2272"/>
        <n v="9155"/>
        <n v="1546"/>
        <n v="-2701"/>
        <n v="1758"/>
        <n v="-980"/>
        <n v="-5159"/>
        <n v="949"/>
        <n v="1453"/>
        <n v="-2842"/>
        <n v="9119"/>
        <n v="-4931"/>
        <n v="5757"/>
        <n v="-2406"/>
        <n v="12524"/>
        <n v="7185"/>
        <n v="3041"/>
        <n v="15"/>
        <n v="1988"/>
        <n v="-884"/>
        <n v="2584"/>
        <n v="8018"/>
        <n v="-3220"/>
        <n v="8255"/>
        <n v="11974"/>
        <n v="3177"/>
        <n v="166"/>
        <n v="7844"/>
        <n v="394"/>
        <n v="2233"/>
        <n v="13504"/>
        <n v="4858"/>
        <n v="7998"/>
        <n v="1161"/>
        <n v="-4142"/>
        <n v="11204"/>
        <n v="6502"/>
        <n v="-2950"/>
        <n v="1978"/>
        <n v="6129"/>
        <n v="2606"/>
        <n v="-2186"/>
        <n v="8323"/>
        <n v="2608"/>
        <n v="2343"/>
        <n v="10513"/>
        <n v="8942"/>
        <n v="8283"/>
        <n v="-2695"/>
        <n v="1178"/>
        <n v="411"/>
        <n v="10764"/>
        <n v="4339"/>
        <n v="8564"/>
        <n v="1725"/>
        <n v="1207"/>
        <n v="-3134"/>
        <n v="931"/>
        <n v="5801"/>
        <n v="-136"/>
        <n v="4854"/>
        <n v="7750"/>
        <n v="-7780"/>
        <n v="-939"/>
        <n v="904"/>
        <n v="10095"/>
        <n v="-7501"/>
        <n v="-1292"/>
        <n v="79"/>
        <n v="1206"/>
        <n v="-524"/>
        <n v="-2687"/>
        <n v="-1285"/>
        <n v="6043"/>
        <n v="-1145"/>
        <n v="11790"/>
        <n v="-2743"/>
        <n v="-5696"/>
        <n v="10136"/>
        <n v="-2346"/>
        <n v="3387"/>
        <n v="5612"/>
        <n v="-1062"/>
        <n v="-7070"/>
        <n v="-331"/>
        <n v="7732"/>
        <n v="5193"/>
        <n v="9134"/>
        <n v="5169"/>
        <n v="1389"/>
        <n v="-2845"/>
        <n v="-1453"/>
        <n v="13359"/>
        <n v="569"/>
        <n v="763"/>
        <n v="828"/>
        <n v="4560"/>
        <n v="-3056"/>
        <n v="7977"/>
        <n v="-5876"/>
        <n v="-1201"/>
        <n v="-11141"/>
        <n v="9504"/>
        <n v="-3873"/>
        <n v="7538"/>
        <n v="8271"/>
        <n v="2897"/>
        <n v="5946"/>
        <n v="-9623"/>
        <n v="5097"/>
        <n v="4427"/>
        <n v="12740"/>
        <n v="-4511"/>
        <n v="8975"/>
        <n v="6128"/>
        <n v="8817"/>
        <n v="6669"/>
        <n v="3974"/>
        <n v="769"/>
        <n v="2506"/>
        <n v="-7011"/>
        <n v="-1034"/>
        <n v="-782"/>
        <n v="-9248"/>
        <n v="8944"/>
        <n v="216"/>
        <n v="1465"/>
        <n v="8793"/>
        <n v="208"/>
        <n v="-5880"/>
        <n v="5973"/>
        <n v="6618"/>
        <n v="-10392"/>
        <n v="2682"/>
        <n v="-5640"/>
        <n v="-2236"/>
        <n v="2122"/>
        <n v="-439"/>
        <n v="8478"/>
        <n v="8541"/>
        <n v="-3534"/>
        <n v="880"/>
        <n v="-2379"/>
        <n v="541"/>
        <n v="-3628"/>
        <n v="1275"/>
        <n v="9206"/>
        <n v="6444"/>
        <n v="8362"/>
        <n v="9774"/>
        <n v="-6560"/>
        <n v="316"/>
        <n v="7111"/>
        <n v="9224"/>
        <n v="-7210"/>
        <n v="-1561"/>
        <n v="-918"/>
        <n v="-1421"/>
        <n v="7129"/>
        <n v="9371"/>
        <n v="2091"/>
        <n v="-294"/>
        <n v="-6985"/>
        <n v="-2065"/>
        <n v="-3028"/>
        <n v="-3130"/>
        <n v="5483"/>
        <n v="-950"/>
        <n v="4049"/>
        <n v="2887"/>
        <n v="5800"/>
        <n v="-5287"/>
        <n v="8240"/>
        <n v="4658"/>
        <n v="82"/>
        <n v="6990"/>
        <n v="10215"/>
        <n v="-8148"/>
        <n v="1405"/>
        <n v="252"/>
        <n v="12301"/>
        <n v="5172"/>
        <n v="-9533"/>
        <n v="618"/>
        <n v="3918"/>
        <n v="432"/>
        <n v="8468"/>
        <n v="11374"/>
        <n v="539"/>
        <n v="-7078"/>
        <n v="6038"/>
        <n v="-659"/>
        <n v="8251"/>
        <n v="573"/>
        <n v="390"/>
        <n v="9367"/>
        <n v="1477"/>
        <n v="-6883"/>
        <n v="-7558"/>
        <n v="5306"/>
        <n v="-6548"/>
        <n v="3337"/>
        <n v="-3393"/>
        <n v="2307"/>
        <n v="-6554"/>
        <n v="1948"/>
        <n v="-5323"/>
        <n v="-7174"/>
        <n v="10437"/>
        <n v="-4954"/>
        <n v="-1377"/>
        <n v="-4823"/>
        <n v="-1984"/>
        <n v="7154"/>
        <n v="3282"/>
        <n v="11474"/>
        <n v="-1081"/>
        <n v="7426"/>
        <n v="2900"/>
        <n v="4962"/>
        <n v="5862"/>
        <n v="851"/>
        <n v="7941"/>
        <n v="1852"/>
        <n v="302"/>
        <n v="2453"/>
        <n v="5270"/>
        <n v="11208"/>
        <n v="-3265"/>
        <n v="6296"/>
        <n v="1982"/>
        <n v="1638"/>
        <n v="9154"/>
        <n v="-6691"/>
        <n v="-3974"/>
        <n v="-6620"/>
        <n v="2956"/>
        <n v="11231"/>
        <n v="-1153"/>
      </sharedItems>
    </cacheField>
    <cacheField name="Profit Margin =Profit / Revenue" numFmtId="9">
      <sharedItems containsSemiMixedTypes="0" containsString="0" containsNumber="1" minValue="-16.288786482334871" maxValue="0.97897857431612989" count="2000">
        <n v="0.83682063429398601"/>
        <n v="0.91874047739969533"/>
        <n v="3.87858347386172E-2"/>
        <n v="0.28585961342828076"/>
        <n v="0.68340237108984436"/>
        <n v="0.79051987767584098"/>
        <n v="-0.67036978257419455"/>
        <n v="0.31291866028708132"/>
        <n v="0.74565026064586015"/>
        <n v="-1.181896366372823"/>
        <n v="0.65200297524173834"/>
        <n v="-2.0777419354838709"/>
        <n v="0.88719101123595501"/>
        <n v="0.17038242473555737"/>
        <n v="0.36501758850385452"/>
        <n v="-3.9245283018867925"/>
        <n v="-13.401021711366539"/>
        <n v="0.82365930599369086"/>
        <n v="0.58967844382691548"/>
        <n v="0.92324723247232476"/>
        <n v="0.26533040453963025"/>
        <n v="0.76045552719418807"/>
        <n v="-1.6564885496183206"/>
        <n v="0.69187166987869853"/>
        <n v="-0.87351929690485286"/>
        <n v="-2.6639040994524197E-3"/>
        <n v="0.70544113907958306"/>
        <n v="0.23204985119047619"/>
        <n v="-1.329817833173538"/>
        <n v="0.35397107333164174"/>
        <n v="-6.0674474389727671E-3"/>
        <n v="0.75558734131950656"/>
        <n v="0.76998475277717271"/>
        <n v="-6.3773458445040214"/>
        <n v="0.76379450937754823"/>
        <n v="-0.46623426173216331"/>
        <n v="-3.4675416814473219E-2"/>
        <n v="0.83853196772191185"/>
        <n v="-1.4395886889460154"/>
        <n v="0.48964555953803268"/>
        <n v="-1.8364967462039046"/>
        <n v="0.86325929890286324"/>
        <n v="-0.94111302847282141"/>
        <n v="0.51127421307506049"/>
        <n v="-7.6915776986951361"/>
        <n v="0.95202615372918731"/>
        <n v="-0.37586471944657956"/>
        <n v="-0.56753710313732852"/>
        <n v="0.22784463894967177"/>
        <n v="-0.66826568265682662"/>
        <n v="-0.62658740880843011"/>
        <n v="-0.57980237816111202"/>
        <n v="0.26008645533141211"/>
        <n v="0.50861667442943648"/>
        <n v="-0.1316655038373368"/>
        <n v="0.53546610725055721"/>
        <n v="0.77535545023696684"/>
        <n v="-0.59473839787171145"/>
        <n v="0.50908832717977848"/>
        <n v="-1.3830645161290323"/>
        <n v="-0.50636643881517218"/>
        <n v="-1.5506003430531732"/>
        <n v="0.86655112651646449"/>
        <n v="0.85719799305287536"/>
        <n v="-1.6549557269351614"/>
        <n v="-2.4816800714924039"/>
        <n v="-0.98551502145922742"/>
        <n v="-1.4149002493765586"/>
        <n v="0.57543391188251003"/>
        <n v="-2.1889044943820224"/>
        <n v="-4.3164362519201225"/>
        <n v="0.51978010132585961"/>
        <n v="8.9653558052434454E-2"/>
        <n v="-5.3873937677053823"/>
        <n v="-3.1793690180786953"/>
        <n v="0.33762617473024714"/>
        <n v="-5.9517587939698489"/>
        <n v="0.52270361175622648"/>
        <n v="-2.3700906344410875"/>
        <n v="-0.39772727272727271"/>
        <n v="0.4057438998056575"/>
        <n v="-3.3333333333333335"/>
        <n v="-3.0442748091603051"/>
        <n v="-2.2195258019525803"/>
        <n v="0.3673826173826174"/>
        <n v="-15.672256097560975"/>
        <n v="0.46955230214300869"/>
        <n v="0.24320171042961181"/>
        <n v="0.22473454091193004"/>
        <n v="-6.4996084573218482E-2"/>
        <n v="-0.29935248215175164"/>
        <n v="0.27154046997389036"/>
        <n v="0.17802454704850965"/>
        <n v="0.45421032207993789"/>
        <n v="-0.20444444444444446"/>
        <n v="0.14229612299465241"/>
        <n v="6.4807642654273176E-2"/>
        <n v="-11.553516819571865"/>
        <n v="0.29597633136094675"/>
        <n v="6.684491978609626E-2"/>
        <n v="0.14254505734571274"/>
        <n v="0.56086617245415527"/>
        <n v="-2.0734214390602057"/>
        <n v="0.3193305779524358"/>
        <n v="0.16617342408996744"/>
        <n v="3.8808389907792076E-2"/>
        <n v="-11.402756508422664"/>
        <n v="-8.9907817550580624E-2"/>
        <n v="0.13929652923363614"/>
        <n v="0.87179487179487181"/>
        <n v="-0.34038366945400883"/>
        <n v="-3.2116425992779782"/>
        <n v="0.60156381368757361"/>
        <n v="0.57633072142664143"/>
        <n v="0.89973157849164431"/>
        <n v="-3.5248833592534994"/>
        <n v="-0.57867707477403452"/>
        <n v="0.39682753965575429"/>
        <n v="-0.19590507212657049"/>
        <n v="3.2481139983235541E-2"/>
        <n v="0.12022498242324818"/>
        <n v="0.88504753673293002"/>
        <n v="-4.8532247696593103E-2"/>
        <n v="-0.26362796427471513"/>
        <n v="-0.36793675479523069"/>
        <n v="0.86917777444960309"/>
        <n v="-0.1261087955541306"/>
        <n v="0.19765664798777383"/>
        <n v="-1.465561522297455"/>
        <n v="-0.41825544120128227"/>
        <n v="-0.43349753694581283"/>
        <n v="0.12874181478016838"/>
        <n v="-1.4517971911449654"/>
        <n v="0.3279171808583573"/>
        <n v="0.25704333572379878"/>
        <n v="-0.52860652860652857"/>
        <n v="0.24084675808813741"/>
        <n v="-0.44844473858371942"/>
        <n v="0.27389162561576352"/>
        <n v="-0.15186915887850466"/>
        <n v="0.35271265907568655"/>
        <n v="0.64319377091728702"/>
        <n v="-6.6131653799268594E-2"/>
        <n v="0.11368684064408661"/>
        <n v="-1.2731627379301651E-2"/>
        <n v="0.62926268935314811"/>
        <n v="-2.1936233809365659"/>
        <n v="-1.3654743390357698"/>
        <n v="0.71737769430283516"/>
        <n v="-0.36837422143129528"/>
        <n v="-2.0799356223175964"/>
        <n v="-1.1648957103502557"/>
        <n v="0.36044551916172052"/>
        <n v="0.19004791123812725"/>
        <n v="0.45597917623641099"/>
        <n v="0.13936327219059666"/>
        <n v="0.48702905209585073"/>
        <n v="0.90992056785533204"/>
        <n v="0.75150050016672221"/>
        <n v="0.20290576176734004"/>
        <n v="-1.4220354808590103"/>
        <n v="-0.1496264674493063"/>
        <n v="0.17762961488705345"/>
        <n v="0.77167719082088404"/>
        <n v="-0.30952989269289727"/>
        <n v="-1.3345022404052211"/>
        <n v="-2.0625677139761649"/>
        <n v="-3.7662499999999999"/>
        <n v="0.34995911692559278"/>
        <n v="-0.88440426218921542"/>
        <n v="-0.74415954415954411"/>
        <n v="0.60825763831544177"/>
        <n v="-13.276895943562611"/>
        <n v="0.29525862068965519"/>
        <n v="0.66503744580212854"/>
        <n v="-1.1067864271457086"/>
        <n v="-4.694648993618066"/>
        <n v="-10.492753623188406"/>
        <n v="0.35645558290445289"/>
        <n v="0.76305087559133533"/>
        <n v="-7.9288025889967639E-2"/>
        <n v="0.52156265854895989"/>
        <n v="-0.17539906103286385"/>
        <n v="-1.7302909051584298E-2"/>
        <n v="3.8943188759926695E-2"/>
        <n v="-0.27877913962989664"/>
        <n v="-1.4267930671263047E-2"/>
        <n v="6.8003487358326065E-2"/>
        <n v="0.71680324257643846"/>
        <n v="8.8186645773483063E-2"/>
        <n v="0.62163143090463657"/>
        <n v="-0.25412977401876569"/>
        <n v="-0.90287962797352883"/>
        <n v="0.49441367007792697"/>
        <n v="-2.2584483579247978"/>
        <n v="0.93948628646060084"/>
        <n v="0.37474747474747477"/>
        <n v="-0.50490341753343237"/>
        <n v="-0.14519093322442311"/>
        <n v="0.25582627118644069"/>
        <n v="0.28947747229019721"/>
        <n v="0.6751125187531255"/>
        <n v="0.4108962055219253"/>
        <n v="-1.0761534185658699"/>
        <n v="0.44586894586894588"/>
        <n v="0.37800305513123178"/>
        <n v="-0.96268656716417911"/>
        <n v="0.37794769186794341"/>
        <n v="0.7186381353909792"/>
        <n v="0.47903367129803481"/>
        <n v="0.96499462207881104"/>
        <n v="-0.30254304937849241"/>
        <n v="-0.57250075052536775"/>
        <n v="0.72971409684349697"/>
        <n v="-2.1105246817758458"/>
        <n v="0.30075493140677001"/>
        <n v="-3.8858267716535435"/>
        <n v="-8.1196102587075825E-2"/>
        <n v="-1.0497131931166348"/>
        <n v="-0.46033653846153844"/>
        <n v="0.52056444673894342"/>
        <n v="0.92895453420249197"/>
        <n v="-4.5096525096525095"/>
        <n v="-0.82808581777653945"/>
        <n v="-0.99120234604105573"/>
        <n v="-0.96774869109947648"/>
        <n v="0.70147172734314489"/>
        <n v="-0.74219948849104855"/>
        <n v="0.2151942248195256"/>
        <n v="-1.6024295969077857"/>
        <n v="0.14676358601592246"/>
        <n v="-0.50544815465729354"/>
        <n v="0.88295566502463052"/>
        <n v="-3.4642032332563508E-2"/>
        <n v="-4.1084022638223772"/>
        <n v="-2.622196883314329"/>
        <n v="0.28023523395551009"/>
        <n v="0.29214285714285715"/>
        <n v="-7.1482889733840302E-2"/>
        <n v="0.64245564728614091"/>
        <n v="2.9669367199474491E-2"/>
        <n v="0.45715010141987827"/>
        <n v="-0.10898688250069774"/>
        <n v="-1.2959501557632398"/>
        <n v="0.88720240388319593"/>
        <n v="-4.0178010471204191"/>
        <n v="0.25750094948727686"/>
        <n v="-9.1576402321083172"/>
        <n v="0.10290161414296695"/>
        <n v="-1.7129917184265011"/>
        <n v="-4.8825065274151438"/>
        <n v="-0.2404997397188964"/>
        <n v="0.42209463472579689"/>
        <n v="0.50355037513397638"/>
        <n v="-0.32634776006074412"/>
        <n v="0.77801646974579308"/>
        <n v="1.8599999999999998E-2"/>
        <n v="-5.8110047846889952"/>
        <n v="-0.15803757828810022"/>
        <n v="0.37140482128013302"/>
        <n v="-1.1457046043452261"/>
        <n v="0.78358998471846719"/>
        <n v="-0.43157403082671647"/>
        <n v="-9.9227600411946444"/>
        <n v="-0.39273255813953489"/>
        <n v="0.63379519376488413"/>
        <n v="-8.2280903176425571E-2"/>
        <n v="0.82447717470908943"/>
        <n v="0.86915544675642598"/>
        <n v="0.87544303797468359"/>
        <n v="0.22740296952331338"/>
        <n v="0.22519535874970401"/>
        <n v="0.85140589724293636"/>
        <n v="-5.835457705677868"/>
        <n v="-3.0208141462516117E-2"/>
        <n v="0.32554476240483066"/>
        <n v="-4.3349282296650715"/>
        <n v="-0.35"/>
        <n v="4.1032798325191903E-2"/>
        <n v="0.27926384025035395"/>
        <n v="-1.2052545155993433"/>
        <n v="0.31358860934476085"/>
        <n v="-0.19587735653615082"/>
        <n v="0.50730956655552706"/>
        <n v="5.3848615778524567E-2"/>
        <n v="-4.6078147612156295"/>
        <n v="-1.6241935483870968"/>
        <n v="-0.53509362791324266"/>
        <n v="8.8056891863626863E-2"/>
        <n v="0.16669927607121893"/>
        <n v="0.11064485741200651"/>
        <n v="0.88647240990990994"/>
        <n v="0.1475358376059433"/>
        <n v="0.90830600361421587"/>
        <n v="-0.65953716690042075"/>
        <n v="0.21313745096531037"/>
        <n v="0.53967642526964565"/>
        <n v="-1.4977045638671347"/>
        <n v="0.7070497885926309"/>
        <n v="0.77405247813411082"/>
        <n v="-4.0598455598455603"/>
        <n v="0.25065731814198072"/>
        <n v="-0.46218252860731229"/>
        <n v="-5.6140350877192978E-3"/>
        <n v="0.81310276022613903"/>
        <n v="-2.7091575091575093"/>
        <n v="-8.0644147682639442"/>
        <n v="0.17148493815919266"/>
        <n v="-0.36735474006116209"/>
        <n v="4.9791779829802645E-2"/>
        <n v="0.13366583541147131"/>
        <n v="-0.97536087605774013"/>
        <n v="0.55810555269039019"/>
        <n v="-0.46058944482522274"/>
        <n v="0.44321218599679318"/>
        <n v="0.20958517338738869"/>
        <n v="-0.33452885555917833"/>
        <n v="-2.5294388224471023"/>
        <n v="0.75270329670329672"/>
        <n v="0.66012259774685222"/>
        <n v="-1.1202582728006456"/>
        <n v="-3.454278728606357"/>
        <n v="0.81404646952323478"/>
        <n v="0.67053237147292488"/>
        <n v="0.31291340185204031"/>
        <n v="-0.48693797760796159"/>
        <n v="-6.6469719350073855E-2"/>
        <n v="5.8426966292134834E-2"/>
        <n v="0.86492420282279148"/>
        <n v="-0.13234421364985163"/>
        <n v="0.10216521106259098"/>
        <n v="0.23824247355573638"/>
        <n v="0.6321084401143704"/>
        <n v="0.64334339251877326"/>
        <n v="0.32736010985238584"/>
        <n v="0.23137460650577124"/>
        <n v="0.18700890518596125"/>
        <n v="0.20179584120982988"/>
        <n v="-3.0165289256198347"/>
        <n v="0.67238798523101484"/>
        <n v="0.17559166757552622"/>
        <n v="0.44351024697845509"/>
        <n v="0.76041755070864803"/>
        <n v="-0.33062149906641769"/>
        <n v="0.18031264510137748"/>
        <n v="0.64985652797704452"/>
        <n v="0.55224672274001663"/>
        <n v="0.8383334504320944"/>
        <n v="0.71469643159140872"/>
        <n v="-5.5997738835500286"/>
        <n v="0.18116634799235182"/>
        <n v="0.90742674183893646"/>
        <n v="0.20321603355861104"/>
        <n v="0.51015146632291331"/>
        <n v="-0.68797399783315272"/>
        <n v="0.37653774234819409"/>
        <n v="-0.11478663579225934"/>
        <n v="-0.21074841752513343"/>
        <n v="-2.129816513761468"/>
        <n v="0.39590246717645361"/>
        <n v="-4.8136124482256799E-2"/>
        <n v="0.88201019664967228"/>
        <n v="-0.83015205435134265"/>
        <n v="-9.6225535880708299E-2"/>
        <n v="0.65501960115902502"/>
        <n v="-11.123022847100176"/>
        <n v="0.38675406871609402"/>
        <n v="-0.46343283582089551"/>
        <n v="0.55661241457056299"/>
        <n v="0.55483392095008355"/>
        <n v="4.0686078978859196E-2"/>
        <n v="0.69785082174462709"/>
        <n v="0.30363728396847206"/>
        <n v="0.94094442510732101"/>
        <n v="-1.9143031412015858"/>
        <n v="3.8560885608856087E-2"/>
        <n v="-1.0079681274900398"/>
        <n v="0.92380271622587562"/>
        <n v="0.89781978104238791"/>
        <n v="0.47008547008547008"/>
        <n v="0.75372016378707685"/>
        <n v="-2.1187279151943463"/>
        <n v="-0.58759065269943589"/>
        <n v="0.37586637882058854"/>
        <n v="1.3192612137203166E-3"/>
        <n v="0.39862367783866448"/>
        <n v="0.48376161095667503"/>
        <n v="0.39719722470289209"/>
        <n v="0.95922592976029308"/>
        <n v="0.77535566773749431"/>
        <n v="2.0963589554983449E-2"/>
        <n v="-1.9685440383463151"/>
        <n v="-7.793856103476152"/>
        <n v="7.2089552238805976E-2"/>
        <n v="0.38665313944312929"/>
        <n v="-1.8645690834473325"/>
        <n v="-1.6015721969383534"/>
        <n v="4.8483506752269208E-2"/>
        <n v="0.55684559710494574"/>
        <n v="8.8345278903085078E-2"/>
        <n v="-0.32724943964137049"/>
        <n v="0.21211458561119614"/>
        <n v="0.16086306344798121"/>
        <n v="0.9481492811257265"/>
        <n v="0.7437963491158015"/>
        <n v="0.47413418345167369"/>
        <n v="0.61643012690545917"/>
        <n v="-0.57554146856840993"/>
        <n v="-1.9672190201729107"/>
        <n v="0.93361206132015706"/>
        <n v="0.88833853774092819"/>
        <n v="0.87768632830361226"/>
        <n v="0.79900596421471171"/>
        <n v="0.53998097885726826"/>
        <n v="0.714509394572025"/>
        <n v="0.48706156908504361"/>
        <n v="0.68801280768461082"/>
        <n v="0.51183874658920869"/>
        <n v="0.10221747895173722"/>
        <n v="0.60227703984819736"/>
        <n v="0.46713712467137125"/>
        <n v="0.47060682680151705"/>
        <n v="-2.3622276029055689"/>
        <n v="-10.139851485148515"/>
        <n v="0.76499889307062208"/>
        <n v="0.21639092801577736"/>
        <n v="-0.28924221921515564"/>
        <n v="-11.659874608150471"/>
        <n v="-5.5396825396825395"/>
        <n v="-0.81501197764173539"/>
        <n v="-1.8449799196787149"/>
        <n v="0.85134554823933584"/>
        <n v="-5.5478502080443831E-2"/>
        <n v="-0.548828125"/>
        <n v="0.83477845835653486"/>
        <n v="-0.57491961414790993"/>
        <n v="0.34011012282930964"/>
        <n v="0.55731937532177789"/>
        <n v="-0.34145629651247628"/>
        <n v="0.37773506800709639"/>
        <n v="0.39728788711746382"/>
        <n v="0.10388802488335926"/>
        <n v="0.83740244146487897"/>
        <n v="0.30358412743564217"/>
        <n v="-1.6289616078330327"/>
        <n v="0.14387127307146239"/>
        <n v="-1.7508875739644971"/>
        <n v="0.72221711554370804"/>
        <n v="8.000742528308892E-2"/>
        <n v="-0.55502392344497609"/>
        <n v="0.69703389830508478"/>
        <n v="0.30085482468849611"/>
        <n v="-0.30572723526988049"/>
        <n v="0.8924761174255631"/>
        <n v="-0.90004299226139295"/>
        <n v="0.85742958453201312"/>
        <n v="-2.7083333333333335"/>
        <n v="0.38010350776308222"/>
        <n v="0.6323553787502072"/>
        <n v="0.43775638342402678"/>
        <n v="0.64869703600556994"/>
        <n v="0.61396499238964997"/>
        <n v="-7.1282749234433479E-2"/>
        <n v="0.60567354819545527"/>
        <n v="-2.1264622194119505"/>
        <n v="3.0782459157351678E-2"/>
        <n v="0.78685398896136483"/>
        <n v="-1.8706220595922634"/>
        <n v="-0.82255349843712433"/>
        <n v="0.62533298960213113"/>
        <n v="0.51972672929120411"/>
        <n v="0.56836296750459836"/>
        <n v="0.6159984799543986"/>
        <n v="0.2239878402653033"/>
        <n v="9.7104519774011305E-4"/>
        <n v="0.64636123197679374"/>
        <n v="0.61489198189736149"/>
        <n v="0.16952164332930555"/>
        <n v="0.93490701001430621"/>
        <n v="-0.50122661760196263"/>
        <n v="0.48871375009564616"/>
        <n v="-1.7075703744192403"/>
        <n v="0.90952550838387447"/>
        <n v="0.89968463733293291"/>
        <n v="-0.11588641596316193"/>
        <n v="0.814763535670043"/>
        <n v="0.4072666294019005"/>
        <n v="0.41742724298260719"/>
        <n v="7.1729490022172951E-2"/>
        <n v="0.16582469201453515"/>
        <n v="0.20326332233987154"/>
        <n v="0.50084650112866813"/>
        <n v="0.503065664556962"/>
        <n v="0.25700782268578881"/>
        <n v="0.67568014553874145"/>
        <n v="-2.1226415094339623"/>
        <n v="-0.85850034554250176"/>
        <n v="0.82208491761723701"/>
        <n v="0.73329044249052833"/>
        <n v="-4.9168110918544192"/>
        <n v="0.25581006520648719"/>
        <n v="-2.584590945194599"/>
        <n v="-6.0148310903597915E-2"/>
        <n v="-3.0422106179286335"/>
        <n v="0.80933027036578897"/>
        <n v="2.7522935779816515E-2"/>
        <n v="0.75823676437173371"/>
        <n v="0.51856742036639714"/>
        <n v="-0.16085401296668903"/>
        <n v="0.37417563346060395"/>
        <n v="0.25931066389081658"/>
        <n v="-0.69107744107744107"/>
        <n v="0.9719626168224299"/>
        <n v="0.84093319194061511"/>
        <n v="0.31803901512384014"/>
        <n v="-0.54072738202584913"/>
        <n v="0.52443586340050685"/>
        <n v="0.56981190977913054"/>
        <n v="0.95801983584131323"/>
        <n v="-0.77173046251993616"/>
        <n v="-0.76523382144544161"/>
        <n v="0.45511272141706927"/>
        <n v="0.23331273176761433"/>
        <n v="0.35201008544614093"/>
        <n v="-0.59921448087431695"/>
        <n v="-0.61526162790697669"/>
        <n v="-2.0736074270557028"/>
        <n v="-0.78250934773577063"/>
        <n v="-5.5773377769064887E-2"/>
        <n v="0.15989109003849403"/>
        <n v="-2.5811170212765959"/>
        <n v="-0.80600988969189802"/>
        <n v="-0.82086737900691387"/>
        <n v="-0.1312251952374856"/>
        <n v="-1.0221625251846878"/>
        <n v="0.39156905055487051"/>
        <n v="0.26525821596244131"/>
        <n v="0.48782574873590046"/>
        <n v="-1.1020917290347343"/>
        <n v="-0.3767015331709414"/>
        <n v="-0.22146302250803859"/>
        <n v="0.23351145596954834"/>
        <n v="0.49924198250728863"/>
        <n v="0.86276278359814051"/>
        <n v="-0.75969305331179326"/>
        <n v="0.8834246116016542"/>
        <n v="0.49435965494359657"/>
        <n v="0.73299028016009149"/>
        <n v="-0.13324399349095434"/>
        <n v="0.75134342940889109"/>
        <n v="0.27168605167362159"/>
        <n v="-0.65653357531760437"/>
        <n v="0.21669946103173923"/>
        <n v="0.49863760217983649"/>
        <n v="0.89451713895801555"/>
        <n v="-1.177495388399262"/>
        <n v="7.5776397515527949E-2"/>
        <n v="-1.2642140468227425"/>
        <n v="0.76777677767776775"/>
        <n v="0.43775064610997239"/>
        <n v="-2.4553376906318083"/>
        <n v="-3.7977195945945947"/>
        <n v="-2.129225908372828"/>
        <n v="0.4878177966101695"/>
        <n v="-0.25900514579759865"/>
        <n v="0.32231940395205699"/>
        <n v="0.45999362448198916"/>
        <n v="-0.10953242056316197"/>
        <n v="0.55211642923029625"/>
        <n v="0.20092176012290136"/>
        <n v="-1.6346438072716525"/>
        <n v="-2.4618544600938965"/>
        <n v="-2.7835249042145596"/>
        <n v="0.25151656556229585"/>
        <n v="0.17330305733517151"/>
        <n v="-1.2751015670342427"/>
        <n v="4.9564270152505446E-2"/>
        <n v="3.9116185643302673E-2"/>
        <n v="0.90057553956834535"/>
        <n v="0.88865495181796095"/>
        <n v="0.79646750379467368"/>
        <n v="0.61766381766381762"/>
        <n v="3.8994800693240898E-2"/>
        <n v="-0.14014478896325638"/>
        <n v="-3.0057705363204343"/>
        <n v="9.2459324155193992E-2"/>
        <n v="0.19266157989228008"/>
        <n v="0.64978396543446948"/>
        <n v="-0.6483148419510153"/>
        <n v="0.62647898816809466"/>
        <n v="-0.8836754643206256"/>
        <n v="-0.30473815461346632"/>
        <n v="0.45636269963936116"/>
        <n v="0.44196220794936236"/>
        <n v="-1.4914158305462653"/>
        <n v="0.35863586358635863"/>
        <n v="0.55601707626629748"/>
        <n v="0.14082848944154219"/>
        <n v="0.18683945646703573"/>
        <n v="-0.44927234927234927"/>
        <n v="-0.58113100312588806"/>
        <n v="0.63381966036833293"/>
        <n v="0.73132708436112481"/>
        <n v="-0.78258091993185686"/>
        <n v="0.61023756622799519"/>
        <n v="-8.3889925373134329"/>
        <n v="0.67996807661612135"/>
        <n v="4.587854559299448E-2"/>
        <n v="6.9506726457399109E-2"/>
        <n v="-1.2472234562416704"/>
        <n v="0.31750693424702237"/>
        <n v="0.67740571621850165"/>
        <n v="0.74363057324840764"/>
        <n v="0.61668492721865709"/>
        <n v="0.40473253336323878"/>
        <n v="-0.38765957446808513"/>
        <n v="-3.1850220264317182"/>
        <n v="0.54464757476487369"/>
        <n v="0.61688967432466546"/>
        <n v="4.6377388535031844E-2"/>
        <n v="-0.27846575342465751"/>
        <n v="0.36560136966757029"/>
        <n v="0.8919514884233738"/>
        <n v="0.95420716224498725"/>
        <n v="-0.25748656257998465"/>
        <n v="2.1297192642787996E-2"/>
        <n v="-5.2079566003616636E-2"/>
        <n v="-1.3353617308992562E-2"/>
        <n v="0.52798995500680135"/>
        <n v="-2.5608867294260551"/>
        <n v="0.93298442685728877"/>
        <n v="-2.1571386690120198"/>
        <n v="-3.6677709417889258E-3"/>
        <n v="-0.57015437392795887"/>
        <n v="-1.1879999999999999"/>
        <n v="0.2045496239222161"/>
        <n v="-1.1979530123284485E-2"/>
        <n v="0.67652020242589761"/>
        <n v="0.26964933494558646"/>
        <n v="0.63926993722390146"/>
        <n v="-0.2377207683382751"/>
        <n v="0.48621516332034764"/>
        <n v="-0.73421269579554826"/>
        <n v="0.90010090817356203"/>
        <n v="0.25712799167533817"/>
        <n v="-4.5797967722653912"/>
        <n v="0.15796553173602354"/>
        <n v="3.1784305129329243E-3"/>
        <n v="0.9408486638914999"/>
        <n v="0.24171270718232044"/>
        <n v="0.67640449438202244"/>
        <n v="0.7131102578167855"/>
        <n v="-0.33417813178855904"/>
        <n v="0.57555532380853058"/>
        <n v="0.79162609542356377"/>
        <n v="0.74837181764357608"/>
        <n v="-0.83198146002317497"/>
        <n v="-9.0710455764075064"/>
        <n v="-2.518265619665415"/>
        <n v="-0.21410865523652137"/>
        <n v="0.16388935177470421"/>
        <n v="0.67404865876481601"/>
        <n v="0.74954657873042041"/>
        <n v="-0.70191809227579061"/>
        <n v="-0.42710009655616349"/>
        <n v="-4.3006348556215443E-3"/>
        <n v="-0.1093312597200622"/>
        <n v="-0.9135338345864662"/>
        <n v="0.82315266992234404"/>
        <n v="-0.82040121120363363"/>
        <n v="-0.42616270900660391"/>
        <n v="-2.1818679813749657"/>
        <n v="0.81343775762572135"/>
        <n v="0.10312499999999999"/>
        <n v="-0.42719089224252049"/>
        <n v="0.84572264196929081"/>
        <n v="0.85355339327503388"/>
        <n v="0.75551029315487017"/>
        <n v="-0.33274196727774491"/>
        <n v="-0.62014532698571789"/>
        <n v="-5.025704809286899"/>
        <n v="-0.55808990262771774"/>
        <n v="-0.96057910343624631"/>
        <n v="0.13593058863559035"/>
        <n v="-0.22371625198517733"/>
        <n v="-0.3430855315747402"/>
        <n v="-2.9356568364611261E-2"/>
        <n v="-7.048173294536049E-2"/>
        <n v="-3.1330425299890949"/>
        <n v="0.77545992115637319"/>
        <n v="-0.92714103110353641"/>
        <n v="-0.55284995238743029"/>
        <n v="0.26199904958023129"/>
        <n v="0.36363636363636365"/>
        <n v="0.48774656306037062"/>
        <n v="0.16119828815977175"/>
        <n v="8.8551218234215356E-2"/>
        <n v="0.61941472624292004"/>
        <n v="0.77530176415970287"/>
        <n v="0.80575650300138524"/>
        <n v="0.38741965105601467"/>
        <n v="0.72288332649432363"/>
        <n v="-14.810240963855422"/>
        <n v="0.19431216931216932"/>
        <n v="0.21674462114125351"/>
        <n v="-1.4621872364351982"/>
        <n v="0.32136228656273202"/>
        <n v="0.76927759740259738"/>
        <n v="-4.4146341463414638"/>
        <n v="0.89170785282811638"/>
        <n v="-0.35679945054945056"/>
        <n v="0.90421959410132868"/>
        <n v="-1.0105217951470904"/>
        <n v="6.2191952683932253E-2"/>
        <n v="-2.6188734455010971"/>
        <n v="0.27852090482526787"/>
        <n v="0.45832376578645234"/>
        <n v="-11.885416666666666"/>
        <n v="-0.3455503953809464"/>
        <n v="0.44570424784413926"/>
        <n v="0.47800876820817423"/>
        <n v="0.22156806433084433"/>
        <n v="-3.3160333642261355"/>
        <n v="0.366405676535356"/>
        <n v="0.39168561221175707"/>
        <n v="0.79065922711303993"/>
        <n v="-0.61050516647531572"/>
        <n v="-1.1096774193548387"/>
        <n v="0.26081828234426835"/>
        <n v="-0.43656400113026278"/>
        <n v="-1.3582057364675437"/>
        <n v="0.27246952083924014"/>
        <n v="8.1265703517587939E-2"/>
        <n v="0.90958672607159319"/>
        <n v="-2.3298319327731094"/>
        <n v="7.5950367501778235E-2"/>
        <n v="-0.60977689356259768"/>
        <n v="0.9586967138770669"/>
        <n v="-4.3923444976076551"/>
        <n v="-4.3217009475387105E-2"/>
        <n v="-0.51804778851042199"/>
        <n v="0.96176196283808024"/>
        <n v="-2.4416306361951823"/>
        <n v="0.66873141724479679"/>
        <n v="0.74041178845377476"/>
        <n v="0.82530702359597075"/>
        <n v="0.13840579710144926"/>
        <n v="0.66711978250439785"/>
        <n v="-0.76870375445327488"/>
        <n v="0.57839562443026438"/>
        <n v="0.38400404595043713"/>
        <n v="0.42302192564346996"/>
        <n v="0.17678725236864773"/>
        <n v="-0.236810551558753"/>
        <n v="0.72067517112632229"/>
        <n v="0.23174428217139709"/>
        <n v="-1.7001206272617611"/>
        <n v="0.38598810310641113"/>
        <n v="0.5683017562072844"/>
        <n v="-0.59885458167330674"/>
        <n v="0.33385053012671323"/>
        <n v="0.67292428739043408"/>
        <n v="0.82100025516713449"/>
        <n v="0.45641595996107326"/>
        <n v="8.9564578357523419E-2"/>
        <n v="-0.40789149198520347"/>
        <n v="0.319778945213891"/>
        <n v="-0.45589021564783461"/>
        <n v="0.55102040816326525"/>
        <n v="-7.4761904761904763"/>
        <n v="7.9691142191142192E-2"/>
        <n v="-1.3931168201648085"/>
        <n v="-1.4503985828166519"/>
        <n v="0.15794285714285713"/>
        <n v="-0.67767216941804231"/>
        <n v="0.13658658242580429"/>
        <n v="-0.59320273078064711"/>
        <n v="-12.611038107752957"/>
        <n v="0.96888045540796963"/>
        <n v="-0.67461762563729055"/>
        <n v="0.31479613888488689"/>
        <n v="-1.332596685082873"/>
        <n v="9.3082679321043985E-2"/>
        <n v="0.43837144450641385"/>
        <n v="0.17476944096550154"/>
        <n v="-1.4309614570097415"/>
        <n v="-0.29518716577540105"/>
        <n v="0.7333788862316365"/>
        <n v="0.55320389967502703"/>
        <n v="0.1346909241265247"/>
        <n v="-0.91326401217347197"/>
        <n v="-0.21066956995100708"/>
        <n v="0.3403118040089087"/>
        <n v="-8.9413243922883492"/>
        <n v="0.69708086169216354"/>
        <n v="0.65389397535887872"/>
        <n v="0.92899022801302933"/>
        <n v="-2.4623702422145328"/>
        <n v="0.93626664807196147"/>
        <n v="0.70516470109800733"/>
        <n v="0.95695888712898558"/>
        <n v="0.70868185751370061"/>
        <n v="0.89428020565552702"/>
        <n v="0.68163360924566607"/>
        <n v="-2.2543261667540642"/>
        <n v="-0.27320675105485231"/>
        <n v="0.79602341542188126"/>
        <n v="0.13664921465968585"/>
        <n v="2.501876407305479E-4"/>
        <n v="0.13875205254515599"/>
        <n v="0.42234608563465925"/>
        <n v="0.2545078332840674"/>
        <n v="-8.6279733587059937"/>
        <n v="0.40087704782392852"/>
        <n v="-0.11410620186461289"/>
        <n v="0.69402651571577534"/>
        <n v="-0.14776490066225165"/>
        <n v="-4.8009352037408153"/>
        <n v="-1.4401223776223777"/>
        <n v="0.72162525184687709"/>
        <n v="0.56402485225034094"/>
        <n v="0.93542526837324524"/>
        <n v="0.60308150223233825"/>
        <n v="0.39962526766595291"/>
        <n v="0.4542719138490775"/>
        <n v="-1.5061511423550087"/>
        <n v="-0.45235223160434257"/>
        <n v="0.84045022046878626"/>
        <n v="0.80160801184850838"/>
        <n v="-0.28264162375037866"/>
        <n v="0.48882861017917051"/>
        <n v="-0.55091819699499167"/>
        <n v="0.90026478375992935"/>
        <n v="0.46386527141922823"/>
        <n v="-1.7074235807860263"/>
        <n v="-4.4636498516320477"/>
        <n v="0.5362731152204836"/>
        <n v="0.4976296610769122"/>
        <n v="0.91855819865625565"/>
        <n v="-0.46250364750510653"/>
        <n v="0.17128874388254486"/>
        <n v="-5.0758459743290546E-2"/>
        <n v="0.50155710798754316"/>
        <n v="0.76825633383010428"/>
        <n v="0.5153939393939394"/>
        <n v="0.36001882099885729"/>
        <n v="-6.4692874692874689"/>
        <n v="0.64673157162726014"/>
        <n v="0.54932182490752157"/>
        <n v="0.80217302173021732"/>
        <n v="0.30268789590823492"/>
        <n v="0.22773494245167059"/>
        <n v="-8.9627560521415273"/>
        <n v="0.89678916248783769"/>
        <n v="0.36955892986261751"/>
        <n v="0.15657946114798907"/>
        <n v="0.89636638909916733"/>
        <n v="8.5784716516023013E-2"/>
        <n v="-0.37700267022696932"/>
        <n v="0.82400253995131756"/>
        <n v="-0.45256797583081571"/>
        <n v="0.76198749131341215"/>
        <n v="0.91639444671294401"/>
        <n v="6.59643435980551E-2"/>
        <n v="-0.31637248934875228"/>
        <n v="-6.5940285835573792E-2"/>
        <n v="0.89391646489104115"/>
        <n v="0.77342763324071739"/>
        <n v="0.46002720265981561"/>
        <n v="-0.35373998219056102"/>
        <n v="-0.33105433609211948"/>
        <n v="-8.3257467994310108"/>
        <n v="-1.3077862595419847"/>
        <n v="3.1204644412191583E-2"/>
        <n v="-2.6436597110754416"/>
        <n v="-1.4987240247903755"/>
        <n v="-0.10013336296954879"/>
        <n v="-2.7960676726108824"/>
        <n v="-0.11651117379041007"/>
        <n v="-4.0347457627118644"/>
        <n v="-0.12006007697362245"/>
        <n v="-0.78312191684284704"/>
        <n v="-6.7626841243862517"/>
        <n v="0.46172526660331537"/>
        <n v="0.50752442764424788"/>
        <n v="-0.14436008676789588"/>
        <n v="0.39069163730762096"/>
        <n v="0.16963226571767498"/>
        <n v="0.74715499278730568"/>
        <n v="0.13399062550509133"/>
        <n v="0.3706341132587318"/>
        <n v="0.96"/>
        <n v="-0.5893812070282658"/>
        <n v="0.44316436251920122"/>
        <n v="0.51584524642607221"/>
        <n v="0.58165771995268856"/>
        <n v="0.66178915862986365"/>
        <n v="0.43114954413008744"/>
        <n v="-2.617336152219873"/>
        <n v="0.73840797594556096"/>
        <n v="-3.2853773584905661"/>
        <n v="-4.7592592592592595"/>
        <n v="-2.0666963094708759"/>
        <n v="0.60022542049592509"/>
        <n v="-0.40822543792840821"/>
        <n v="0.77186794582392781"/>
        <n v="0.79862414008755467"/>
        <n v="-1.7476875642343268"/>
        <n v="0.53881418092909539"/>
        <n v="3.4371643394199784E-2"/>
        <n v="0.3816916488222698"/>
        <n v="0.84843492586490943"/>
        <n v="-3.21760391198044"/>
        <n v="-2.0038216560509556"/>
        <n v="-0.55639418968954713"/>
        <n v="-2.7978723404255321"/>
        <n v="0.60875817933414822"/>
        <n v="5.1323608860075635E-2"/>
        <n v="0.69193173002327391"/>
        <n v="-1.2076184937481826"/>
        <n v="0.47689331518234579"/>
        <n v="0.77366682397357245"/>
        <n v="-0.48284377436963866"/>
        <n v="-0.37679105652653128"/>
        <n v="0.25261396905060646"/>
        <n v="-7.16723259762309"/>
        <n v="0.75847113038763891"/>
        <n v="-2.8541666666666665"/>
        <n v="0.36709134096307494"/>
        <n v="0.37395898629891644"/>
        <n v="-1.6506456937566753E-2"/>
        <n v="0.7350575209756941"/>
        <n v="-1.1503496503496504"/>
        <n v="-0.54696373962429012"/>
        <n v="0.4193046185781007"/>
        <n v="0.84620951691695312"/>
        <n v="-2.0514285714285716"/>
        <n v="0.5876236551375551"/>
        <n v="0.87220642015440875"/>
        <n v="-0.44171093094772157"/>
        <n v="-1.1156462585034013"/>
        <n v="0.4820197503260667"/>
        <n v="-0.59176182707993474"/>
        <n v="-0.52383373585865001"/>
        <n v="0.52768304914744235"/>
        <n v="0.56518942101501068"/>
        <n v="0.67291531997414356"/>
        <n v="-1.0556947388706881"/>
        <n v="-0.94346049046321523"/>
        <n v="-0.37776300481967756"/>
        <n v="0.38215286114445779"/>
        <n v="0.34449848582178583"/>
        <n v="0.71879823027060397"/>
        <n v="0.47121879588839943"/>
        <n v="0.85887595939589012"/>
        <n v="0.25176402124099806"/>
        <n v="-1.7501883002761738"/>
        <n v="-0.51010036844111295"/>
        <n v="0.49689894199197371"/>
        <n v="-0.65309683047397504"/>
        <n v="-0.72189892802450228"/>
        <n v="7.8053725291434367E-2"/>
        <n v="0.53388693172286528"/>
        <n v="0.31224049161268891"/>
        <n v="-0.86231750138606544"/>
        <n v="-11.789590254706534"/>
        <n v="0.52383040935672509"/>
        <n v="0.53525444512568976"/>
        <n v="-0.10381246780010304"/>
        <n v="-1.1203088140681965"/>
        <n v="-0.11820418204182041"/>
        <n v="-14.340715502555366"/>
        <n v="0.57596387166352114"/>
        <n v="0.33736040609137058"/>
        <n v="-0.513299556681444"/>
        <n v="-0.36231155778894475"/>
        <n v="0.78724540901502504"/>
        <n v="0.56419716646989371"/>
        <n v="-0.53550248437249559"/>
        <n v="-8.1919128430756341E-2"/>
        <n v="0.75634254047969518"/>
        <n v="0.5761937853668222"/>
        <n v="0.48967677630642176"/>
        <n v="-0.46102126113029257"/>
        <n v="0.43007730147575546"/>
        <n v="0.8133552680774695"/>
        <n v="0.84674922600619196"/>
        <n v="0.72599259635624591"/>
        <n v="0.163373805589482"/>
        <n v="0.32098682890954067"/>
        <n v="0.37246489859594384"/>
        <n v="0.79982803095442823"/>
        <n v="0.48590276522682091"/>
        <n v="-3.4834761321909427"/>
        <n v="-3.2532467532467533"/>
        <n v="0.50180995475113122"/>
        <n v="-0.11150397777497159"/>
        <n v="0.39771833202202989"/>
        <n v="-0.62004707728520991"/>
        <n v="0.71896583908904232"/>
        <n v="-10.13430420711974"/>
        <n v="-5.6211745244003311"/>
        <n v="0.82228247473502591"/>
        <n v="0.20004675810473815"/>
        <n v="0.90489275627814669"/>
        <n v="-1.5808"/>
        <n v="0.75073005490012845"/>
        <n v="0.79536721923372489"/>
        <n v="-1.4595552690944247"/>
        <n v="0.58201817312290771"/>
        <n v="-5.5202998126171146"/>
        <n v="0.6732371469213575"/>
        <n v="0.60679669737944242"/>
        <n v="0.94339933993399339"/>
        <n v="0.25884522300334217"/>
        <n v="0.32150137063330286"/>
        <n v="0.4594348222424795"/>
        <n v="0.10296172115115954"/>
        <n v="-0.85114089098152845"/>
        <n v="0.1932871728670344"/>
        <n v="0.45595210325791152"/>
        <n v="0.6565795878630537"/>
        <n v="0.21202223766504516"/>
        <n v="-0.72519841269841268"/>
        <n v="-1.2469607502605071"/>
        <n v="-6.5789473684210523E-3"/>
        <n v="0.490350783665636"/>
        <n v="0.93240670220868238"/>
        <n v="0.74710397766922543"/>
        <n v="0.29116586538461536"/>
        <n v="0.93244370308590496"/>
        <n v="0.72207668492498212"/>
        <n v="0.91765105804368152"/>
        <n v="-1.4896198436236183"/>
        <n v="0.83970625474803751"/>
        <n v="0.91619494684522984"/>
        <n v="0.60344827586206895"/>
        <n v="-1.1082701463586668"/>
        <n v="0.95125148986889152"/>
        <n v="-3.7718446601941746"/>
        <n v="0.48994847231293998"/>
        <n v="0.43996256434253628"/>
        <n v="0.46329333754341651"/>
        <n v="0.8359745260663507"/>
        <n v="0.92531844355260862"/>
        <n v="0.39383037354562156"/>
        <n v="0.9641685144124168"/>
        <n v="0.42149371456741436"/>
        <n v="0.8911181795938341"/>
        <n v="-16.288786482334871"/>
        <n v="0.19325997248968363"/>
        <n v="0.95816426472645866"/>
        <n v="0.27111660486196953"/>
        <n v="0.17409382626773931"/>
        <n v="0.12767624020887727"/>
        <n v="0.15275336848271823"/>
        <n v="0.71557219467772948"/>
        <n v="-4.8096040438079193"/>
        <n v="0.87968003555160534"/>
        <n v="0.48087110064743965"/>
        <n v="0.81527433140336369"/>
        <n v="0.89178025609252376"/>
        <n v="0.42096530920060332"/>
        <n v="0.12687619205572601"/>
        <n v="0.1024390243902439"/>
        <n v="-3.650710152551289E-2"/>
        <n v="-2.4104089219330853"/>
        <n v="-0.5390625"/>
        <n v="0.17400029730935038"/>
        <n v="-0.47532792004996877"/>
        <n v="0.37657227180099784"/>
        <n v="0.948561047901329"/>
        <n v="-0.2189419795221843"/>
        <n v="-0.64519906323185017"/>
        <n v="0.28920741989881954"/>
        <n v="-3.375594294770206"/>
        <n v="-2.2381670183901115"/>
        <n v="-1.3127885503231764"/>
        <n v="0.84830724145908842"/>
        <n v="0.65844467283316199"/>
        <n v="0.40795178952009997"/>
        <n v="0.83784165548414435"/>
        <n v="0.8668776045686063"/>
        <n v="0.11563135659521202"/>
        <n v="0.2577365557834656"/>
        <n v="-1.320350535540409"/>
        <n v="0.6481848839515969"/>
        <n v="0.70555894929749541"/>
        <n v="0.40053583389149366"/>
        <n v="0.84001679613688851"/>
        <n v="0.67627270688495178"/>
        <n v="0.34349143933808468"/>
        <n v="0.74571018217552343"/>
        <n v="-1.7536527353041114"/>
        <n v="0.87981739038114448"/>
        <n v="0.80961645358532519"/>
        <n v="0.65848917487767278"/>
        <n v="0.84278558733236386"/>
        <n v="0.93990579827838228"/>
        <n v="-3.0729166666666665"/>
        <n v="4.7795515013302925E-2"/>
        <n v="0.21720415414047553"/>
        <n v="0.76670748775367392"/>
        <n v="0.23824041811846691"/>
        <n v="-0.48431001890359165"/>
        <n v="-1.6806640625"/>
        <n v="0.49537366548042705"/>
        <n v="-0.32291105121293801"/>
        <n v="0.33805031446540879"/>
        <n v="-0.46580876851713304"/>
        <n v="0.25196320394884453"/>
        <n v="-1.4768364474020987"/>
        <n v="-2.1273046532045652"/>
        <n v="-2.5818452380952381"/>
        <n v="-0.18975024326954265"/>
        <n v="-1.1285537700865267"/>
        <n v="-3.6106750392464679E-2"/>
        <n v="0.32254561251086011"/>
        <n v="0.66930757542869546"/>
        <n v="0.53087001602413042"/>
        <n v="-1.4430005906674541"/>
        <n v="-0.71321321321321318"/>
        <n v="0.67677243197439041"/>
        <n v="-1.6798650168728908"/>
        <n v="0.69224062772449868"/>
        <n v="0.59554169342262175"/>
        <n v="0.69548872180451127"/>
        <n v="0.53194388777555113"/>
        <n v="-2.6556634304207121"/>
        <n v="-0.21577417009934577"/>
        <n v="0.63397129186602874"/>
        <n v="-1.1990821678321679"/>
        <n v="-0.41196130167106421"/>
        <n v="-4.0621468926553677"/>
        <n v="-0.10525114155251142"/>
        <n v="-5.2297514750581087E-2"/>
        <n v="0.45587193653491997"/>
        <n v="-2.1648478395883242E-2"/>
        <n v="0.9"/>
        <n v="-0.46757990867579907"/>
        <n v="0.78309215536938315"/>
        <n v="0.15328881943457878"/>
        <n v="0.48113537117903932"/>
        <n v="0.31099324975891995"/>
        <n v="0.67584196891191706"/>
        <n v="0.79204699502937193"/>
        <n v="0.15747663551401869"/>
        <n v="6.9487750556792877E-2"/>
        <n v="-0.31908931698774079"/>
        <n v="-0.92666043030869971"/>
        <n v="-0.16903423607562595"/>
        <n v="-2.92599171107164"/>
        <n v="-0.98651614926309183"/>
        <n v="-1.5464635473340587"/>
        <n v="-3.4816842105263159"/>
        <n v="0.17477019835510402"/>
        <n v="-1.1533538146441373"/>
        <n v="0.13770397938734613"/>
        <n v="0.39056859205776173"/>
        <n v="-5.4082920671909895E-2"/>
        <n v="0.21374598070739551"/>
        <n v="-0.18615560640732265"/>
        <n v="0.33102503065714489"/>
        <n v="0.85798916723087337"/>
        <n v="-1.5851868837422609"/>
        <n v="0.59028884117198865"/>
        <n v="-0.41158613711105491"/>
        <n v="0.70051508462104484"/>
        <n v="0.28633498040552052"/>
        <n v="-0.20672067206720673"/>
        <n v="-0.78478824546240278"/>
        <n v="0.46605213598969175"/>
        <n v="0.27216748768472904"/>
        <n v="0.17004297114794353"/>
        <n v="0.80268413484582202"/>
        <n v="0.72176993818784863"/>
        <n v="0.23952535965557073"/>
        <n v="0.83176749495126878"/>
        <n v="0.34675739480627693"/>
        <n v="-0.2806518855410271"/>
        <n v="5.5332302936630599E-2"/>
        <n v="0.49309049677556516"/>
        <n v="8.7085375584178726E-2"/>
        <n v="0.74527227158806109"/>
        <n v="0.50626092020966806"/>
        <n v="0.88210134821013486"/>
        <n v="-4.7509462528387587"/>
        <n v="-0.47738317757009346"/>
        <n v="-4.2915407854984897"/>
        <n v="0.17856711368853451"/>
        <n v="0.55972970798809429"/>
        <n v="0.89277662548471459"/>
        <n v="-2.8174342105263159"/>
        <n v="-4.6409807355516634E-2"/>
        <n v="-1.3477075588599752"/>
        <n v="0.47520153026369721"/>
        <n v="0.40659851301115241"/>
        <n v="0.72098327420172326"/>
        <n v="0.38617564554412714"/>
        <n v="-0.10911854103343466"/>
        <n v="-1.5896476457748674"/>
        <n v="-0.21397328289395909"/>
        <n v="0.76134969325153379"/>
        <n v="0.85359801488833742"/>
        <n v="-1.5891891891891892"/>
        <n v="-0.34823430493273544"/>
        <n v="-7.052742616033755"/>
        <n v="-0.19594830597275584"/>
        <n v="0.91874482377841171"/>
        <n v="0.74172929690243727"/>
        <n v="0.38407630912984231"/>
        <n v="-6.5131578947368425"/>
        <n v="-0.72857903139968072"/>
        <n v="0.34600053149083176"/>
        <n v="-0.23366666666666666"/>
        <n v="0.31208053691275167"/>
        <n v="-0.10403967351999173"/>
        <n v="0.24332746240346836"/>
        <n v="-1.3341392649903288"/>
        <n v="-8.3001531393568154E-2"/>
        <n v="-11.157676348547717"/>
        <n v="0.46343975283213185"/>
        <n v="-11.271764705882353"/>
        <n v="0.86076273355515742"/>
        <n v="-1.1602141680395388"/>
        <n v="0.61312628897246146"/>
        <n v="-9.1703539823008856E-2"/>
        <n v="0.57028298249672293"/>
        <n v="-0.99560397553516822"/>
        <n v="-1.3546473302570863"/>
        <n v="-2.4369038884812912"/>
        <n v="0.28185829223981312"/>
        <n v="0.2573936130983111"/>
        <n v="6.1016949152542375E-2"/>
        <n v="0.15735709628341665"/>
        <n v="-0.17966303861637095"/>
        <n v="0.78214731585518105"/>
        <n v="-2.8530318602261047"/>
        <n v="-4.5252225519287835E-2"/>
        <n v="-3.3439197659841202"/>
        <n v="0.30723356486353748"/>
        <n v="0.2201992442459636"/>
        <n v="0.77650869416979207"/>
        <n v="-2.6765799256505577E-2"/>
        <n v="0.31881236310537842"/>
        <n v="0.70710219571699651"/>
        <n v="-3.2584615384615385"/>
        <n v="-1.8636991982305777"/>
        <n v="6.7367517700064369E-2"/>
        <n v="-0.73513870541611626"/>
        <n v="0.45266484700474069"/>
        <n v="-1.3650922359618893"/>
        <n v="0.87129442091695819"/>
        <n v="0.6178699366216589"/>
        <n v="0.7774130006565988"/>
        <n v="-0.57156428119062697"/>
        <n v="0.48490127758420443"/>
        <n v="0.6743207712532866"/>
        <n v="-0.65754456439869446"/>
        <n v="-1.2918118466898956"/>
        <n v="0.92500765228037951"/>
        <n v="-9.7665369649805447E-2"/>
        <n v="0.70930945664172695"/>
        <n v="0.24970388715408637"/>
        <n v="-2.3390989541432021"/>
        <n v="0.10671211326691138"/>
        <n v="-0.58259212198221089"/>
        <n v="0.27659742516388913"/>
        <n v="-1.1028095733610821"/>
        <n v="0.38929760706265004"/>
        <n v="0.30928533775133671"/>
        <n v="0.2288135593220339"/>
        <n v="0.10293698317650414"/>
        <n v="-6.2321307011572502"/>
        <n v="0.70200603968938735"/>
        <n v="-1.1471119133574008"/>
        <n v="0.13172614827070039"/>
        <n v="-5.426066627703098"/>
        <n v="-6.1632373113854593"/>
        <n v="1.9230769230769232E-2"/>
        <n v="0.76537554732233071"/>
        <n v="5.9158751696065132E-2"/>
        <n v="-2.2937062937062938"/>
        <n v="0.36982631189948262"/>
        <n v="-5.4361313868613141"/>
        <n v="-0.68814559763895722"/>
        <n v="-1.9940928270042193"/>
        <n v="-8.9552238805970144E-2"/>
        <n v="-1.6230248306997743"/>
        <n v="0.57181756296800546"/>
        <n v="0.77073732718894006"/>
        <n v="0.84995359389501912"/>
        <n v="-0.64272151898734176"/>
        <n v="0.67705516495402918"/>
        <n v="0.30039414414414417"/>
        <n v="0.39004046576926255"/>
        <n v="0.66860833227808025"/>
        <n v="-0.39935760171306212"/>
        <n v="-0.72152353575278472"/>
        <n v="0.72706087969705802"/>
        <n v="0.44144885778966864"/>
        <n v="-0.83744348540896019"/>
        <n v="-14.829581993569132"/>
        <n v="-0.1163173037402384"/>
        <n v="0.4279983955074208"/>
        <n v="-0.34681807428436245"/>
        <n v="0.88806913996627324"/>
        <n v="0.69106145251396645"/>
        <n v="-0.20282186948853614"/>
        <n v="0.30513371858621152"/>
        <n v="0.36331989739831438"/>
        <n v="-6.9580078125"/>
        <n v="-0.22048230504227997"/>
        <n v="-9.281941791212496E-2"/>
        <n v="0.1776544641378168"/>
        <n v="-3.1168378896047361E-2"/>
        <n v="-12.493827160493828"/>
        <n v="-1.0586989765909893E-3"/>
        <n v="-2.2646744930629668"/>
        <n v="0.49008628602900678"/>
        <n v="-1.050835490703695"/>
        <n v="0.97452121825698135"/>
        <n v="0.41898132193810739"/>
        <n v="0.87620106408322085"/>
        <n v="2.2565047202394658E-2"/>
        <n v="6.6626287098728046E-2"/>
        <n v="0.49124570662645556"/>
        <n v="0.50856751199451677"/>
        <n v="0.85154232912080441"/>
        <n v="-0.4571372005543457"/>
        <n v="-1.4507974721637076"/>
        <n v="-2.9383429672447014E-2"/>
        <n v="0.27019976147883124"/>
        <n v="0.77946831633506097"/>
        <n v="-4.2606516290726815E-2"/>
        <n v="0.54358339894275109"/>
        <n v="0.11285909712722299"/>
        <n v="0.62973697558147956"/>
        <n v="-2.8029814665592263"/>
        <n v="5.402881536819637E-2"/>
        <n v="0.26488241660926892"/>
        <n v="0.76747219025700042"/>
        <n v="0.91388581952117864"/>
        <n v="-0.94450373532550691"/>
        <n v="0.94912621359223304"/>
        <n v="0.72755905511811025"/>
        <n v="4.6703806870937788E-2"/>
        <n v="-5.2775873886223443E-2"/>
        <n v="0.36507823613086771"/>
        <n v="-3.7527173913043477"/>
        <n v="0.19873198847262247"/>
        <n v="0.41953748006379588"/>
        <n v="0.41050357320924047"/>
        <n v="-8.5759745425616554E-2"/>
        <n v="0.65931348303491943"/>
        <n v="0.73391292442497258"/>
        <n v="0.92623111634294686"/>
        <n v="-0.12689187552972514"/>
        <n v="0.26322909206652345"/>
        <n v="0.1467878486055777"/>
        <n v="0.26047311827956987"/>
        <n v="0.24307359307359308"/>
        <n v="0.77580724934642831"/>
        <n v="-1.7249626307922272"/>
        <n v="0.48487832325221553"/>
        <n v="0.75779713402641191"/>
        <n v="-1.697566628041715"/>
        <n v="-6.3919821826280625"/>
        <n v="-1.12689575734306"/>
        <n v="0.89135210705012979"/>
        <n v="0.58657243816254412"/>
        <n v="0.21316138820405842"/>
        <n v="0.23551676193418816"/>
        <n v="0.36204458212674256"/>
        <n v="-0.61775362318840576"/>
        <n v="0.21260488872674208"/>
        <n v="0.79058327477160928"/>
        <n v="-0.51492146596858634"/>
        <n v="0.32879999999999998"/>
        <n v="-0.46402462485571372"/>
        <n v="0.43899397214716274"/>
        <n v="0.53779940119760483"/>
        <n v="0.21878744308650852"/>
        <n v="-4.1797480620155039"/>
        <n v="0.40007867820613691"/>
        <n v="0.24401709401709401"/>
        <n v="-0.70661787130222631"/>
        <n v="-0.50661774341501764"/>
        <n v="0.69339898189101223"/>
        <n v="0.21003540892995942"/>
        <n v="-8.1843393148450243"/>
        <n v="0.14110305958132044"/>
        <n v="0.11101053324555629"/>
        <n v="-0.14255939974989579"/>
        <n v="0.56309427880741336"/>
        <n v="-4.0483755252639128E-2"/>
        <n v="0.57758300527371309"/>
        <n v="-9.1419437340153458"/>
        <n v="-3.7602783048703352"/>
        <n v="-0.23329532497149372"/>
        <n v="0.25347530316474415"/>
        <n v="0.78627172756296559"/>
        <n v="0.91446652150244967"/>
        <n v="-1.1458213256484149"/>
        <n v="0.91263713937423807"/>
        <n v="-0.3122244488977956"/>
        <n v="0.36721634260398722"/>
        <n v="-0.11402902557014513"/>
        <n v="0.59676806083650191"/>
        <n v="-0.10423671822461332"/>
        <n v="0.14645522388059701"/>
        <n v="-9.5053003533568905"/>
        <n v="0.64658715719964965"/>
        <n v="0.39172384219554029"/>
        <n v="0.67229317046085513"/>
        <n v="0.14748945322193729"/>
        <n v="-8.6174812030075181"/>
        <n v="0.5141358204605071"/>
        <n v="0.66617631606598715"/>
        <n v="0.5766213200892536"/>
        <n v="-1.8206235011990408"/>
        <n v="0.41442832149840486"/>
        <n v="-0.59323882224645585"/>
        <n v="0.92229905569187298"/>
        <n v="-5.9394171779141107"/>
        <n v="-5.8332585479673335E-2"/>
        <n v="0.75813681543558764"/>
        <n v="0.57125855400178516"/>
        <n v="-0.49625360230547549"/>
        <n v="0.82839335180055407"/>
        <n v="0.84988997170701042"/>
        <n v="0.44871366521884398"/>
        <n v="0.72657304887928709"/>
        <n v="-0.45426642111724985"/>
        <n v="0.32590957731407172"/>
        <n v="0.26738725307491612"/>
        <n v="0.14088356973995272"/>
        <n v="-1.2605581625092614"/>
        <n v="0.4192522494570276"/>
        <n v="0.96065418345579523"/>
        <n v="-0.35423400129282484"/>
        <n v="0.50254487007768556"/>
        <n v="0.8550666932112283"/>
        <n v="0.41285347043701798"/>
        <n v="-0.53344091805630267"/>
        <n v="0.86593438568414927"/>
        <n v="0.90656193748977254"/>
        <n v="0.46856003039513677"/>
        <n v="0.49051111887297705"/>
        <n v="-2.5023584905660377"/>
        <n v="0.44565606006435465"/>
        <n v="2.7494456762749446E-3"/>
        <n v="0.73253333333333337"/>
        <n v="-0.58729636333717294"/>
        <n v="-0.34069936862554639"/>
        <n v="-3.971830985915493"/>
        <n v="-0.66003062787136291"/>
        <n v="-3.399103139013453"/>
        <n v="0.44981587401081252"/>
        <n v="-2.3168162309793212"/>
        <n v="-7.291163689039111E-2"/>
        <n v="-1.3624000000000001"/>
        <n v="0.52130614457015112"/>
        <n v="0.92481203007518797"/>
        <n v="-1.8929765886287626"/>
        <n v="0.57327491785323115"/>
        <n v="0.68965044551062371"/>
        <n v="0.78766165676336941"/>
        <n v="-0.27883486023020909"/>
        <n v="0.55327908089995215"/>
        <n v="0.86002170206169581"/>
        <n v="-0.16880646695197338"/>
        <n v="-0.76509330406147091"/>
        <n v="0.45337670384138784"/>
        <n v="-2.4539272356341382"/>
        <n v="-3.1082603254067585"/>
        <n v="0.20401937914947066"/>
        <n v="-0.12395802687064823"/>
        <n v="0.6955591770217967"/>
        <n v="0.16666666666666666"/>
        <n v="7.8613406013116435E-2"/>
        <n v="0.71512320234496651"/>
        <n v="0.20519855595667871"/>
        <n v="8.3013950636210337E-2"/>
        <n v="-0.50501516211803121"/>
        <n v="0.97897857431612989"/>
        <n v="-3.4152542372881354"/>
        <n v="0.49288675717421349"/>
        <n v="-2.0646233382570163"/>
        <n v="-0.15890875462392109"/>
        <n v="-7.3377777777777782"/>
        <n v="0.48872082409701395"/>
        <n v="0.71112561647809691"/>
        <n v="-0.25452870739944733"/>
        <n v="-6.8876183669823121E-2"/>
        <n v="0.55795445591363957"/>
        <n v="-4.359483156437471"/>
        <n v="8.4743167725637294E-2"/>
        <n v="0.91527987897125562"/>
        <n v="0.34888438133874239"/>
        <n v="-2.9225139905294877"/>
        <n v="0.27572162210023021"/>
        <n v="-4.7952586206896554E-2"/>
        <n v="-2.0053191489361701"/>
        <n v="-0.28012769353551475"/>
        <n v="0.24481265860576204"/>
        <n v="-10.45602294455067"/>
        <n v="-7.7298900715407431E-2"/>
        <n v="0.52888363851151798"/>
        <n v="-2.0929152148664345"/>
        <n v="0.33897637795275593"/>
        <n v="9.7536750099324596E-2"/>
        <n v="-3.6789520426287745"/>
        <n v="-0.11962743766372368"/>
        <n v="-3.2060451255853555"/>
        <n v="-1.1664544875875238"/>
        <n v="-2.8661904761904764"/>
        <n v="0.26431171409662474"/>
        <n v="0.79565427998062421"/>
        <n v="-0.20583435332517339"/>
        <n v="0.47735219972350978"/>
        <n v="1.767852989067225E-2"/>
        <n v="-6.8345259391771016"/>
        <n v="-2.8063725490196076"/>
        <n v="9.3640460691036556E-2"/>
        <n v="0.59490364932589823"/>
        <n v="-0.29944400317712472"/>
        <n v="0.3754973628203942"/>
        <n v="0.81642643459341857"/>
        <n v="0.15982853643600733"/>
        <n v="0.39682294879703889"/>
        <n v="-0.37304807574080906"/>
        <n v="-1.5586311021640664"/>
        <n v="-0.17057977958792525"/>
        <n v="0.72190960246868763"/>
        <n v="-1.0342472436335253E-2"/>
        <n v="-2.4856486796785302"/>
        <n v="-4.5945595854922283"/>
        <n v="0.46294113568605699"/>
        <n v="-0.67724326168543159"/>
        <n v="0.40735935841490739"/>
        <n v="0.72431720504644392"/>
        <n v="-2.1637848222862632"/>
        <n v="0.40970821567836491"/>
        <n v="5.4756637168141595E-2"/>
        <n v="-0.57005722724755403"/>
        <n v="0.94017002044549658"/>
        <n v="4.6698113207547166E-2"/>
        <n v="0.87304745063365752"/>
        <n v="0.34362114207172312"/>
        <n v="0.76498321308664907"/>
        <n v="0.71610330421572355"/>
        <n v="0.17110201296485841"/>
        <n v="0.18042867182009839"/>
        <n v="0.78320696433586068"/>
        <n v="-0.77688457454876381"/>
        <n v="1.9156024430871738E-2"/>
        <n v="-8.336666666666666"/>
        <n v="-0.67137068604163752"/>
        <n v="0.74807843137254904"/>
        <n v="-1.2244812408300147"/>
        <n v="-2.666214382632293"/>
        <n v="0.89697126585555265"/>
        <n v="0.56645569620253167"/>
        <n v="0.78856243441762852"/>
        <n v="0.85149171270718227"/>
        <n v="0.43703703703703706"/>
        <n v="0.74988589685075313"/>
        <n v="-1.8977646285338594"/>
        <n v="0.7446470313230481"/>
        <n v="-1.4398625429553265"/>
        <n v="-1.4593301435406698"/>
        <n v="9.7429519071310117E-2"/>
        <n v="0.11351598173515982"/>
        <n v="0.85682503229510554"/>
        <n v="0.72049138804457957"/>
        <n v="0.58614550457230719"/>
        <n v="0.87023909647963471"/>
        <n v="0.78042284001997675"/>
        <n v="-1.482998944033791"/>
        <n v="-0.63749999999999996"/>
        <n v="0.71281198003327784"/>
        <n v="-2.1649369490012275E-2"/>
        <n v="0.26798006171374317"/>
        <n v="-0.97815663292488009"/>
        <n v="0.97887995639732939"/>
        <n v="0.4544107965766952"/>
        <n v="0.21239669421487603"/>
        <n v="0.66021528759378056"/>
        <n v="-3.7661141804788212"/>
        <n v="0.69334323646829454"/>
        <n v="-1.6246913580246913"/>
        <n v="0.37196246019775431"/>
        <n v="0.52114597544338337"/>
        <n v="0.75590778097982714"/>
        <n v="0.84639705882352945"/>
        <n v="0.631503369048934"/>
        <n v="-0.81919431279620858"/>
        <n v="0.22171856523452896"/>
        <n v="0.62540099154272377"/>
        <n v="-0.35143420188307423"/>
        <n v="0.15804046858359957"/>
        <n v="-0.12474693916899643"/>
        <n v="0.69017784963621664"/>
        <n v="1.8062397372742199E-2"/>
        <n v="0.83639635008353685"/>
        <n v="-1.4536390827517447"/>
        <n v="-5.0398839738941263E-2"/>
        <n v="-0.47262903455140054"/>
        <n v="-1.2224985651425291"/>
        <n v="-7.2904318374259098"/>
        <n v="0.75280149413020281"/>
        <n v="-0.22969314079422382"/>
        <n v="0.10821550688476111"/>
        <n v="0.74676907170814566"/>
        <n v="0.93333333333333335"/>
        <n v="-0.71235606731620904"/>
        <n v="-1.9135093761959432E-2"/>
        <n v="0.67758879439719855"/>
        <n v="-2.8129614438063988"/>
        <n v="-7.1707317073170733"/>
        <n v="0.28783174762143215"/>
        <n v="0.86046730732994159"/>
        <n v="-6.1627657290100925E-2"/>
        <n v="0.14867140033672499"/>
        <n v="0.31494839640439465"/>
        <n v="-0.77198942997357489"/>
        <n v="0.62204258675078861"/>
        <n v="0.55025254373764731"/>
        <n v="0.57070116287070805"/>
        <n v="-0.13389284668683518"/>
        <n v="6.0723693331484821E-2"/>
        <n v="0.55937964733375822"/>
        <n v="0.26791197543500511"/>
        <n v="0.90236879989530161"/>
        <n v="0.95541958041958042"/>
        <n v="0.63050741282104827"/>
        <n v="0.49030674846625766"/>
        <n v="1.8710550045085664E-2"/>
        <n v="0.50678087080656675"/>
        <n v="-3.2292063492063492"/>
        <n v="0.6469378427787934"/>
        <n v="0.4095796676441838"/>
        <n v="0.35517317449812486"/>
        <n v="-0.48718609143593045"/>
        <n v="-0.16891990114842273"/>
        <n v="0.49086284853051998"/>
        <n v="0.77612562534741525"/>
        <n v="0.70752755250571842"/>
        <n v="-0.81094720496894412"/>
        <n v="0.57473944048272074"/>
        <n v="0.33646222546249888"/>
        <n v="0.12578229198727814"/>
        <n v="0.14504776269482153"/>
        <n v="-0.22497100889060689"/>
        <n v="-5.2718539865513927"/>
        <n v="-2.6636602780909433"/>
        <n v="0.75863322428207924"/>
        <n v="0.78448275862068961"/>
        <n v="-0.23456303018346814"/>
        <n v="-1.8964241676942046"/>
        <n v="0.38412546771753842"/>
        <n v="0.62803096698802219"/>
        <n v="-0.6312490444886103"/>
        <n v="0.13899643209595383"/>
        <n v="0.34158300256829327"/>
        <n v="0.14839873703202525"/>
        <n v="0.96375879549065602"/>
        <n v="0.19362318840579709"/>
        <n v="-1.0679611650485437"/>
        <n v="0.88068090573309776"/>
        <n v="0.35516826923076922"/>
        <n v="0.19581010305794896"/>
        <n v="0.79764121663563003"/>
        <n v="0.34452488687782806"/>
        <n v="-4.6721649484536085"/>
        <n v="0.4416303917688959"/>
        <n v="0.66740469106759848"/>
        <n v="-1.6067073170731707"/>
        <n v="-0.36735905044510386"/>
        <n v="0.68119266055045868"/>
        <n v="0.91188085298431687"/>
        <n v="0.36459343399362792"/>
        <n v="0.13176782649399282"/>
        <n v="0.44662614929094591"/>
        <n v="0.33436556475961909"/>
        <n v="0.56929041565233074"/>
        <n v="-0.22609007715772475"/>
        <n v="0.93620770676691734"/>
        <n v="-4.186013986013986"/>
        <n v="0.49193996664813783"/>
        <n v="0.86684192479140476"/>
        <n v="-6.0429711479435237"/>
        <n v="-4.4252563410685379"/>
        <n v="-3.4427782162588794"/>
        <n v="0.79453924914675766"/>
        <n v="0.35395775549391933"/>
        <n v="-1.9221041982802225"/>
        <n v="0.59644859813084117"/>
        <n v="0.29850555626516795"/>
        <n v="0.80437721818489094"/>
        <n v="-3.4323144104803491"/>
        <n v="0.6381158422657095"/>
        <n v="-1.9386281588447654"/>
        <n v="0.25564731600680107"/>
        <n v="0.56581933726736267"/>
        <n v="0.56350160256410253"/>
        <n v="0.44555229716520039"/>
        <n v="-0.71317528177225031"/>
        <n v="-12.347290640394089"/>
        <n v="-0.41690057615600534"/>
        <n v="0.33458542014468556"/>
        <n v="-0.59498023035929171"/>
        <n v="0.65801526717557257"/>
        <n v="0.81202525853390684"/>
        <n v="-0.45225446124506197"/>
        <n v="0.33518053511126505"/>
        <n v="0.39057180270624181"/>
        <n v="-0.6018957345971564"/>
        <n v="5.1769781351112855E-2"/>
        <n v="0.10848379542192339"/>
        <n v="3.0811578760433316E-2"/>
        <n v="0.11052333270357076"/>
        <n v="0.59816448993999294"/>
        <n v="-0.32324026740070783"/>
        <n v="-4.5865834633385338E-2"/>
        <n v="0.35486649440137813"/>
        <n v="-0.70683792973177184"/>
        <n v="-3.5766816143497757"/>
        <n v="-0.85003455425017282"/>
        <n v="-0.93815768172251901"/>
        <n v="-4.5622209279751504E-2"/>
        <n v="0.73348641408342896"/>
        <n v="9.2084136159280669E-2"/>
        <n v="0.58642122878316993"/>
        <n v="-1.7361719060883407"/>
        <n v="-1.1927567309983322"/>
        <n v="-1.915151515151515"/>
        <n v="0.39216494845360822"/>
        <n v="-1.6000683060109289"/>
        <n v="0.6324038636777839"/>
        <n v="0.39261345174916062"/>
        <n v="0.22767812406052712"/>
        <n v="0.88668280871670702"/>
        <n v="0.28523985239852401"/>
        <n v="-0.78838295388207824"/>
        <n v="0.17502986857825567"/>
        <n v="-0.12593163711128244"/>
        <n v="-1.0580393765381459"/>
        <n v="9.4994994994994988E-2"/>
        <n v="-0.13058867362146051"/>
        <n v="0.19409564520438152"/>
        <n v="-0.3860364031513176"/>
        <n v="0.72035705821944862"/>
        <n v="-1.0016250253910217"/>
        <n v="0.52575342465753427"/>
        <n v="-0.3264586160108548"/>
        <n v="0.91349380014587889"/>
        <n v="0.5386460754179474"/>
        <n v="0.35119528813950801"/>
        <n v="5.8297706956859695E-3"/>
        <n v="0.29805097451274365"/>
        <n v="-0.73605328892589506"/>
        <n v="0.24352087456413157"/>
        <n v="0.93091837919424125"/>
        <n v="-0.4395904436860068"/>
        <n v="0.74022596843615496"/>
        <n v="0.92434769183263854"/>
        <n v="0.37970598780925063"/>
        <n v="3.4844668345927789E-2"/>
        <n v="0.92631081719414265"/>
        <n v="4.5570205875549386E-2"/>
        <n v="0.17155808236017209"/>
        <n v="0.91304935767410411"/>
        <n v="0.58699855002416623"/>
        <n v="0.88297637447560173"/>
        <n v="0.12593556784900747"/>
        <n v="-0.76903082064611961"/>
        <n v="0.90282030620467368"/>
        <n v="0.52857491260873102"/>
        <n v="0.85028184892897407"/>
        <n v="-0.5762844305528424"/>
        <n v="0.34756633280618521"/>
        <n v="0.42397620365246264"/>
        <n v="0.24029506685108346"/>
        <n v="-0.29640677966101697"/>
        <n v="-1.3867924528301887E-2"/>
        <n v="0.7111244019138756"/>
        <n v="0.31211105792245092"/>
        <n v="0.39705134722928315"/>
        <n v="0.81369969040247681"/>
        <n v="-1.3361726291879614"/>
        <n v="0.73445585215605746"/>
        <n v="0.72581493165089384"/>
        <n v="-0.4320294966335364"/>
        <n v="0.18167797655768045"/>
        <n v="0.18105726872246697"/>
        <n v="0.84060913705583762"/>
        <n v="0.41446174419715348"/>
        <n v="0.39375387476751394"/>
        <n v="0.90251870586995464"/>
        <n v="0.46433378196500674"/>
        <n v="9.6714743589743593E-2"/>
        <n v="-0.19293855991103698"/>
        <n v="-0.90161104718066742"/>
        <n v="0.21973094170403587"/>
        <n v="0.55762760742093631"/>
        <n v="-0.10862619808306709"/>
        <n v="0.43490726637398081"/>
        <n v="0.61211594660769286"/>
        <n v="-4.1120507399577164"/>
        <n v="-0.12882425572780903"/>
        <n v="8.0021244578206599E-2"/>
        <n v="0.67819952972791397"/>
        <n v="-6.3729821580288872"/>
        <n v="-2.1355371900826445"/>
        <n v="6.5948743634694044E-3"/>
        <n v="0.22958309537407195"/>
        <n v="-0.214227309893704"/>
        <n v="-0.44457313037723362"/>
        <n v="-0.80564263322884011"/>
        <n v="0.43869328493647913"/>
        <n v="-0.15297261189044756"/>
        <n v="0.80775554946560701"/>
        <n v="-1.2020157756354075"/>
        <n v="-1.1299345367982543"/>
        <n v="0.68783930510314872"/>
        <n v="-1.7258450891668884"/>
        <n v="-0.34947117533144645"/>
        <n v="0.31686780802694359"/>
        <n v="0.37450784117450786"/>
        <n v="-0.19780219780219779"/>
        <n v="-3.430373605046094"/>
        <n v="-7.3457612072791834E-2"/>
        <n v="0.74582810842095104"/>
        <n v="0.52914204198084369"/>
        <n v="0.26690470877036376"/>
        <n v="0.91403982787951565"/>
        <n v="0.83613717243610486"/>
        <n v="0.22110792741165233"/>
        <n v="-1.9715869715869716"/>
        <n v="-0.2877227722772277"/>
        <n v="0.9600431189363996"/>
        <n v="5.9043270727404791E-2"/>
        <n v="0.69363636363636361"/>
        <n v="7.2682584269662925E-2"/>
        <n v="0.33747779751332146"/>
        <n v="-0.44444444444444442"/>
        <n v="0.78909882283114052"/>
        <n v="-2.9031620553359683"/>
        <n v="-0.28152836380684482"/>
        <n v="-14.854666666666667"/>
        <n v="0.92848769050410318"/>
        <n v="-6.7006920415224913"/>
        <n v="-0.85233232128070657"/>
        <n v="0.7861090833246428"/>
        <n v="-0.3933104177683765"/>
        <n v="0.609596108490566"/>
        <n v="0.32488505102612986"/>
        <n v="0.42894243254941566"/>
        <n v="-5.6307782328847278"/>
        <n v="0.90164514417123653"/>
        <n v="0.82011856243052983"/>
        <n v="0.94168083376450584"/>
        <n v="-1.6844660194174756"/>
        <n v="0.78928854102541557"/>
        <n v="0.75561035758323059"/>
        <n v="0.7615962684633325"/>
        <n v="0.58001391546355885"/>
        <n v="0.42299095263437997"/>
        <n v="0.25262812089356113"/>
        <n v="0.41614081700431749"/>
        <n v="-2.4428571428571431"/>
        <n v="-0.27347262628934144"/>
        <n v="-0.15009596928982727"/>
        <n v="-11.169082125603865"/>
        <n v="0.63061411549037583"/>
        <n v="3.5532159894719528E-2"/>
        <n v="0.30985617597292725"/>
        <n v="0.64549992658934074"/>
        <n v="2.8516588977241568E-2"/>
        <n v="-9.4838709677419359"/>
        <n v="0.82397572078907433"/>
        <n v="0.46399775643272806"/>
        <n v="-7.0983606557377046"/>
        <n v="0.92696867061812027"/>
        <n v="0.64239520958083829"/>
        <n v="-0.91055860510171138"/>
        <n v="-0.86801242236024845"/>
        <n v="0.28811948404616428"/>
        <n v="-7.1463454338271198E-2"/>
        <n v="0.9394946808510638"/>
        <n v="0.70820895522388061"/>
        <n v="-0.61471560271351544"/>
        <n v="0.48458149779735682"/>
        <n v="-1.4027122641509433"/>
        <n v="0.25858310626702996"/>
        <n v="5.3453216085367058E-2"/>
        <n v="-4.2432748538011698"/>
        <n v="9.8638403218319667E-2"/>
        <n v="0.90095909179878642"/>
        <n v="0.51187544681865116"/>
        <n v="0.59792634966035041"/>
        <n v="-10.992424242424242"/>
        <n v="0.71249453273071872"/>
        <n v="-4.3357567746199601"/>
        <n v="2.773389503247323E-2"/>
        <n v="0.74703225128689987"/>
        <n v="0.70208555335667533"/>
        <n v="-2.8565768621236134"/>
        <n v="-0.17363737486095662"/>
        <n v="-0.14481779460482727"/>
        <n v="-0.13460263332386094"/>
        <n v="0.56098520616934211"/>
        <n v="0.6692137399128758"/>
        <n v="0.33237958989031952"/>
        <n v="-2.7214662593723966E-2"/>
        <n v="-5.5701754385964914"/>
        <n v="-0.21826445407462214"/>
        <n v="-0.71499409681227866"/>
        <n v="-1.8009205983889529"/>
        <n v="0.40254019528668966"/>
        <n v="-8.7116001834021087E-2"/>
        <n v="0.10847880299251871"/>
        <n v="0.91365995695657676"/>
        <n v="0.47854863491313082"/>
        <n v="0.28149375975039004"/>
        <n v="0.58526740665993948"/>
        <n v="-1.0364634385414624"/>
        <n v="0.81998208776992731"/>
        <n v="0.3717181390152422"/>
        <n v="4.1836734693877553E-2"/>
        <n v="0.8556738890929122"/>
        <n v="0.8057900134101128"/>
        <n v="-4.252609603340292"/>
        <n v="0.12169770463404071"/>
        <n v="3.0486329542705057E-2"/>
        <n v="0.88116045845272206"/>
        <n v="0.65079716563330381"/>
        <n v="0.37973568281938325"/>
        <n v="-4.9445020746887964"/>
        <n v="0.12669126691266913"/>
        <n v="0.48798106862622992"/>
        <n v="8.6851628468033779E-2"/>
        <n v="0.6521370812475934"/>
        <n v="0.96767058022800745"/>
        <n v="0.15093811257350881"/>
        <n v="-6.7090047393364927"/>
        <n v="0.667403559190892"/>
        <n v="-0.31943771206980126"/>
        <n v="0.67675524934383202"/>
        <n v="0.37207792207792206"/>
        <n v="0.1224105461393597"/>
        <n v="0.71145374449339205"/>
        <n v="0.1096755030816069"/>
        <n v="-2.2545037667867671"/>
        <n v="-3.3163668275559455"/>
        <n v="0.38769545520970333"/>
        <n v="-11.387826086956522"/>
        <n v="0.69146290924160791"/>
        <n v="-8.9818468823993691E-2"/>
        <n v="-0.61058124887529241"/>
        <n v="0.19207393222879027"/>
        <n v="-2.3004563004563003"/>
        <n v="0.5951726245035136"/>
        <n v="-1.9272266473569877"/>
        <n v="-1.9238401716277822"/>
        <n v="0.96567357512953367"/>
        <n v="-5.5538116591928253"/>
        <n v="-0.85634328358208955"/>
        <n v="-0.99197860962566842"/>
        <n v="-0.34880450070323488"/>
        <n v="0.76908191786712532"/>
        <n v="0.23181240288176297"/>
        <n v="0.83169034502754424"/>
        <n v="-0.19452942235018894"/>
        <n v="0.6475974535623964"/>
        <n v="0.6447309915518008"/>
        <n v="0.52990175138829565"/>
        <n v="0.82960656665723187"/>
        <n v="0.20373473785013169"/>
        <n v="-0.67090216010165182"/>
        <n v="0.53117056856187295"/>
        <n v="0.26985283403759291"/>
        <n v="3.5022613939464223E-2"/>
        <n v="0.28124283421233665"/>
        <n v="0.64346764346764351"/>
        <n v="0.79186095803306489"/>
        <n v="-1.7184210526315788"/>
        <n v="0.45161753102359947"/>
        <n v="0.43360315029534019"/>
        <n v="0.17597765363128492"/>
        <n v="0.68692781029566263"/>
        <n v="-2.0362142422398053"/>
        <n v="-0.51819011605163645"/>
        <n v="-4.8321167883211675"/>
        <n v="0.62947189097103917"/>
        <n v="0.91338646714378657"/>
        <n v="-8.1749802058590657E-2"/>
        <n v="-0.35597406606977461"/>
      </sharedItems>
    </cacheField>
    <cacheField name="Year" numFmtId="0">
      <sharedItems containsSemiMixedTypes="0" containsString="0" containsNumber="1" containsInteger="1" minValue="2022" maxValue="2024" count="3">
        <n v="2024"/>
        <n v="2022"/>
        <n v="2023"/>
      </sharedItems>
    </cacheField>
    <cacheField name="Field1" numFmtId="0" formula="Profit/Revenue" databaseField="0"/>
    <cacheField name="Profit Margin" numFmtId="0" formula="Profit/Revenue" databaseField="0"/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6063.042843171293" createdVersion="8" refreshedVersion="8" minRefreshableVersion="3" recordCount="2001" xr:uid="{B66A6072-9F42-4537-BE23-7A252472B3AD}">
  <cacheSource type="worksheet">
    <worksheetSource ref="A1:J1048576" sheet="sa_retail_sales"/>
  </cacheSource>
  <cacheFields count="13">
    <cacheField name="Order Date" numFmtId="0">
      <sharedItems containsNonDate="0" containsDate="1" containsString="0" containsBlank="1" minDate="2022-01-01T00:00:00" maxDate="2025-01-01T00:00:00" count="896">
        <d v="2024-05-10T00:00:00"/>
        <d v="2024-12-31T00:00:00"/>
        <d v="2024-11-10T00:00:00"/>
        <d v="2022-05-02T00:00:00"/>
        <d v="2023-04-12T00:00:00"/>
        <d v="2022-11-27T00:00:00"/>
        <d v="2022-03-29T00:00:00"/>
        <d v="2024-05-21T00:00:00"/>
        <d v="2022-05-11T00:00:00"/>
        <d v="2024-02-09T00:00:00"/>
        <d v="2022-12-10T00:00:00"/>
        <d v="2024-03-16T00:00:00"/>
        <d v="2023-01-21T00:00:00"/>
        <d v="2024-08-13T00:00:00"/>
        <d v="2022-10-04T00:00:00"/>
        <d v="2023-04-05T00:00:00"/>
        <d v="2022-01-22T00:00:00"/>
        <d v="2022-09-10T00:00:00"/>
        <d v="2024-01-18T00:00:00"/>
        <d v="2024-05-06T00:00:00"/>
        <d v="2023-04-20T00:00:00"/>
        <d v="2024-12-18T00:00:00"/>
        <d v="2023-05-26T00:00:00"/>
        <d v="2023-12-01T00:00:00"/>
        <d v="2024-09-02T00:00:00"/>
        <d v="2022-07-09T00:00:00"/>
        <d v="2024-08-15T00:00:00"/>
        <d v="2023-11-18T00:00:00"/>
        <d v="2023-07-17T00:00:00"/>
        <d v="2024-04-11T00:00:00"/>
        <d v="2023-10-09T00:00:00"/>
        <d v="2022-01-21T00:00:00"/>
        <d v="2024-04-20T00:00:00"/>
        <d v="2022-06-16T00:00:00"/>
        <d v="2023-01-23T00:00:00"/>
        <d v="2023-08-24T00:00:00"/>
        <d v="2022-11-12T00:00:00"/>
        <d v="2022-01-14T00:00:00"/>
        <d v="2022-08-30T00:00:00"/>
        <d v="2024-02-16T00:00:00"/>
        <d v="2023-07-19T00:00:00"/>
        <d v="2024-06-16T00:00:00"/>
        <d v="2022-04-02T00:00:00"/>
        <d v="2023-05-24T00:00:00"/>
        <d v="2024-02-15T00:00:00"/>
        <d v="2022-02-04T00:00:00"/>
        <d v="2022-07-25T00:00:00"/>
        <d v="2024-10-22T00:00:00"/>
        <d v="2024-10-18T00:00:00"/>
        <d v="2023-07-20T00:00:00"/>
        <d v="2023-12-04T00:00:00"/>
        <d v="2023-02-06T00:00:00"/>
        <d v="2023-12-31T00:00:00"/>
        <d v="2022-06-11T00:00:00"/>
        <d v="2022-07-21T00:00:00"/>
        <d v="2024-09-22T00:00:00"/>
        <d v="2022-09-27T00:00:00"/>
        <d v="2024-03-26T00:00:00"/>
        <d v="2023-04-01T00:00:00"/>
        <d v="2024-10-13T00:00:00"/>
        <d v="2022-10-23T00:00:00"/>
        <d v="2023-12-21T00:00:00"/>
        <d v="2022-12-04T00:00:00"/>
        <d v="2024-05-28T00:00:00"/>
        <d v="2024-12-12T00:00:00"/>
        <d v="2024-03-02T00:00:00"/>
        <d v="2022-08-05T00:00:00"/>
        <d v="2024-02-03T00:00:00"/>
        <d v="2022-07-07T00:00:00"/>
        <d v="2023-01-15T00:00:00"/>
        <d v="2023-05-08T00:00:00"/>
        <d v="2024-11-30T00:00:00"/>
        <d v="2022-01-15T00:00:00"/>
        <d v="2022-03-06T00:00:00"/>
        <d v="2023-06-05T00:00:00"/>
        <d v="2023-10-10T00:00:00"/>
        <d v="2024-12-22T00:00:00"/>
        <d v="2023-08-16T00:00:00"/>
        <d v="2023-01-27T00:00:00"/>
        <d v="2023-02-23T00:00:00"/>
        <d v="2022-10-16T00:00:00"/>
        <d v="2023-01-14T00:00:00"/>
        <d v="2022-08-19T00:00:00"/>
        <d v="2024-10-14T00:00:00"/>
        <d v="2022-02-10T00:00:00"/>
        <d v="2024-11-17T00:00:00"/>
        <d v="2022-05-15T00:00:00"/>
        <d v="2022-07-20T00:00:00"/>
        <d v="2024-02-19T00:00:00"/>
        <d v="2024-07-18T00:00:00"/>
        <d v="2024-11-22T00:00:00"/>
        <d v="2024-12-07T00:00:00"/>
        <d v="2023-05-18T00:00:00"/>
        <d v="2023-02-11T00:00:00"/>
        <d v="2024-03-15T00:00:00"/>
        <d v="2022-04-09T00:00:00"/>
        <d v="2023-11-15T00:00:00"/>
        <d v="2023-12-27T00:00:00"/>
        <d v="2024-08-18T00:00:00"/>
        <d v="2023-09-05T00:00:00"/>
        <d v="2023-10-05T00:00:00"/>
        <d v="2024-10-25T00:00:00"/>
        <d v="2024-02-06T00:00:00"/>
        <d v="2023-02-02T00:00:00"/>
        <d v="2024-05-20T00:00:00"/>
        <d v="2024-03-05T00:00:00"/>
        <d v="2023-01-28T00:00:00"/>
        <d v="2022-07-26T00:00:00"/>
        <d v="2024-11-04T00:00:00"/>
        <d v="2024-06-10T00:00:00"/>
        <d v="2024-05-13T00:00:00"/>
        <d v="2024-01-13T00:00:00"/>
        <d v="2023-07-18T00:00:00"/>
        <d v="2024-10-17T00:00:00"/>
        <d v="2022-04-06T00:00:00"/>
        <d v="2023-04-30T00:00:00"/>
        <d v="2024-01-19T00:00:00"/>
        <d v="2023-06-25T00:00:00"/>
        <d v="2024-11-25T00:00:00"/>
        <d v="2023-06-09T00:00:00"/>
        <d v="2023-08-01T00:00:00"/>
        <d v="2023-11-13T00:00:00"/>
        <d v="2023-07-11T00:00:00"/>
        <d v="2024-10-09T00:00:00"/>
        <d v="2023-10-08T00:00:00"/>
        <d v="2024-03-06T00:00:00"/>
        <d v="2023-09-25T00:00:00"/>
        <d v="2023-09-20T00:00:00"/>
        <d v="2024-08-30T00:00:00"/>
        <d v="2023-12-11T00:00:00"/>
        <d v="2023-10-11T00:00:00"/>
        <d v="2022-11-14T00:00:00"/>
        <d v="2023-10-26T00:00:00"/>
        <d v="2023-03-18T00:00:00"/>
        <d v="2024-08-09T00:00:00"/>
        <d v="2023-11-30T00:00:00"/>
        <d v="2022-04-23T00:00:00"/>
        <d v="2022-01-02T00:00:00"/>
        <d v="2023-10-04T00:00:00"/>
        <d v="2022-08-08T00:00:00"/>
        <d v="2024-05-04T00:00:00"/>
        <d v="2023-01-20T00:00:00"/>
        <d v="2022-09-04T00:00:00"/>
        <d v="2024-04-15T00:00:00"/>
        <d v="2022-07-22T00:00:00"/>
        <d v="2022-05-03T00:00:00"/>
        <d v="2023-02-05T00:00:00"/>
        <d v="2022-10-21T00:00:00"/>
        <d v="2022-10-07T00:00:00"/>
        <d v="2024-06-02T00:00:00"/>
        <d v="2022-07-17T00:00:00"/>
        <d v="2024-09-08T00:00:00"/>
        <d v="2024-01-22T00:00:00"/>
        <d v="2022-05-24T00:00:00"/>
        <d v="2023-09-01T00:00:00"/>
        <d v="2022-07-06T00:00:00"/>
        <d v="2023-04-09T00:00:00"/>
        <d v="2023-10-22T00:00:00"/>
        <d v="2024-08-12T00:00:00"/>
        <d v="2023-02-07T00:00:00"/>
        <d v="2022-05-27T00:00:00"/>
        <d v="2023-05-04T00:00:00"/>
        <d v="2024-07-17T00:00:00"/>
        <d v="2023-07-05T00:00:00"/>
        <d v="2023-10-03T00:00:00"/>
        <d v="2023-04-18T00:00:00"/>
        <d v="2022-05-31T00:00:00"/>
        <d v="2022-09-20T00:00:00"/>
        <d v="2022-12-12T00:00:00"/>
        <d v="2023-09-16T00:00:00"/>
        <d v="2024-05-30T00:00:00"/>
        <d v="2024-06-15T00:00:00"/>
        <d v="2022-09-11T00:00:00"/>
        <d v="2023-03-29T00:00:00"/>
        <d v="2024-11-26T00:00:00"/>
        <d v="2024-10-11T00:00:00"/>
        <d v="2022-01-09T00:00:00"/>
        <d v="2022-07-27T00:00:00"/>
        <d v="2023-02-08T00:00:00"/>
        <d v="2022-06-01T00:00:00"/>
        <d v="2022-02-23T00:00:00"/>
        <d v="2023-08-10T00:00:00"/>
        <d v="2022-04-14T00:00:00"/>
        <d v="2023-05-25T00:00:00"/>
        <d v="2022-06-02T00:00:00"/>
        <d v="2024-07-02T00:00:00"/>
        <d v="2024-05-27T00:00:00"/>
        <d v="2024-04-01T00:00:00"/>
        <d v="2024-08-14T00:00:00"/>
        <d v="2022-06-10T00:00:00"/>
        <d v="2024-03-11T00:00:00"/>
        <d v="2023-10-02T00:00:00"/>
        <d v="2023-11-19T00:00:00"/>
        <d v="2023-04-15T00:00:00"/>
        <d v="2024-11-11T00:00:00"/>
        <d v="2024-01-20T00:00:00"/>
        <d v="2022-02-07T00:00:00"/>
        <d v="2022-08-18T00:00:00"/>
        <d v="2023-03-14T00:00:00"/>
        <d v="2022-01-27T00:00:00"/>
        <d v="2022-08-14T00:00:00"/>
        <d v="2024-03-08T00:00:00"/>
        <d v="2022-10-11T00:00:00"/>
        <d v="2024-08-17T00:00:00"/>
        <d v="2024-10-16T00:00:00"/>
        <d v="2023-10-21T00:00:00"/>
        <d v="2023-07-01T00:00:00"/>
        <d v="2024-12-08T00:00:00"/>
        <d v="2022-01-17T00:00:00"/>
        <d v="2022-06-07T00:00:00"/>
        <d v="2023-04-22T00:00:00"/>
        <d v="2024-12-05T00:00:00"/>
        <d v="2023-06-02T00:00:00"/>
        <d v="2023-05-12T00:00:00"/>
        <d v="2022-10-29T00:00:00"/>
        <d v="2022-06-30T00:00:00"/>
        <d v="2023-08-30T00:00:00"/>
        <d v="2024-09-19T00:00:00"/>
        <d v="2022-07-10T00:00:00"/>
        <d v="2024-09-07T00:00:00"/>
        <d v="2024-07-16T00:00:00"/>
        <d v="2022-05-08T00:00:00"/>
        <d v="2022-01-18T00:00:00"/>
        <d v="2023-07-24T00:00:00"/>
        <d v="2023-11-17T00:00:00"/>
        <d v="2023-09-18T00:00:00"/>
        <d v="2024-05-03T00:00:00"/>
        <d v="2024-08-19T00:00:00"/>
        <d v="2022-06-04T00:00:00"/>
        <d v="2023-05-05T00:00:00"/>
        <d v="2024-02-24T00:00:00"/>
        <d v="2022-09-03T00:00:00"/>
        <d v="2024-11-28T00:00:00"/>
        <d v="2024-01-29T00:00:00"/>
        <d v="2023-06-22T00:00:00"/>
        <d v="2024-07-09T00:00:00"/>
        <d v="2023-02-12T00:00:00"/>
        <d v="2024-04-07T00:00:00"/>
        <d v="2024-06-21T00:00:00"/>
        <d v="2022-02-05T00:00:00"/>
        <d v="2023-11-16T00:00:00"/>
        <d v="2022-01-20T00:00:00"/>
        <d v="2022-11-17T00:00:00"/>
        <d v="2023-05-27T00:00:00"/>
        <d v="2023-02-04T00:00:00"/>
        <d v="2023-10-16T00:00:00"/>
        <d v="2024-08-29T00:00:00"/>
        <d v="2023-04-16T00:00:00"/>
        <d v="2024-04-13T00:00:00"/>
        <d v="2023-12-28T00:00:00"/>
        <d v="2022-02-20T00:00:00"/>
        <d v="2023-07-29T00:00:00"/>
        <d v="2022-05-30T00:00:00"/>
        <d v="2022-11-10T00:00:00"/>
        <d v="2022-11-01T00:00:00"/>
        <d v="2024-04-17T00:00:00"/>
        <d v="2024-12-13T00:00:00"/>
        <d v="2024-09-29T00:00:00"/>
        <d v="2023-03-20T00:00:00"/>
        <d v="2022-09-21T00:00:00"/>
        <d v="2024-09-30T00:00:00"/>
        <d v="2022-01-05T00:00:00"/>
        <d v="2024-02-13T00:00:00"/>
        <d v="2024-05-26T00:00:00"/>
        <d v="2024-09-18T00:00:00"/>
        <d v="2022-02-16T00:00:00"/>
        <d v="2024-05-16T00:00:00"/>
        <d v="2024-04-02T00:00:00"/>
        <d v="2024-07-24T00:00:00"/>
        <d v="2023-10-18T00:00:00"/>
        <d v="2022-09-26T00:00:00"/>
        <d v="2023-01-05T00:00:00"/>
        <d v="2023-09-28T00:00:00"/>
        <d v="2023-10-19T00:00:00"/>
        <d v="2022-04-30T00:00:00"/>
        <d v="2024-04-10T00:00:00"/>
        <d v="2024-12-17T00:00:00"/>
        <d v="2024-01-11T00:00:00"/>
        <d v="2022-04-27T00:00:00"/>
        <d v="2024-03-01T00:00:00"/>
        <d v="2023-09-26T00:00:00"/>
        <d v="2023-05-28T00:00:00"/>
        <d v="2024-03-12T00:00:00"/>
        <d v="2023-07-14T00:00:00"/>
        <d v="2023-05-03T00:00:00"/>
        <d v="2023-12-05T00:00:00"/>
        <d v="2023-08-04T00:00:00"/>
        <d v="2024-02-29T00:00:00"/>
        <d v="2022-06-03T00:00:00"/>
        <d v="2024-09-23T00:00:00"/>
        <d v="2023-11-28T00:00:00"/>
        <d v="2024-12-28T00:00:00"/>
        <d v="2024-12-06T00:00:00"/>
        <d v="2024-10-05T00:00:00"/>
        <d v="2022-04-04T00:00:00"/>
        <d v="2024-10-08T00:00:00"/>
        <d v="2024-06-30T00:00:00"/>
        <d v="2022-08-06T00:00:00"/>
        <d v="2023-04-19T00:00:00"/>
        <d v="2023-03-08T00:00:00"/>
        <d v="2022-12-07T00:00:00"/>
        <d v="2022-12-23T00:00:00"/>
        <d v="2022-01-23T00:00:00"/>
        <d v="2023-06-06T00:00:00"/>
        <d v="2024-02-01T00:00:00"/>
        <d v="2024-02-08T00:00:00"/>
        <d v="2024-10-12T00:00:00"/>
        <d v="2023-05-31T00:00:00"/>
        <d v="2024-11-05T00:00:00"/>
        <d v="2022-12-02T00:00:00"/>
        <d v="2022-09-15T00:00:00"/>
        <d v="2024-06-14T00:00:00"/>
        <d v="2022-06-09T00:00:00"/>
        <d v="2024-05-01T00:00:00"/>
        <d v="2023-11-21T00:00:00"/>
        <d v="2023-11-22T00:00:00"/>
        <d v="2024-12-02T00:00:00"/>
        <d v="2022-10-12T00:00:00"/>
        <d v="2023-02-01T00:00:00"/>
        <d v="2022-01-12T00:00:00"/>
        <d v="2023-05-14T00:00:00"/>
        <d v="2024-01-24T00:00:00"/>
        <d v="2024-04-28T00:00:00"/>
        <d v="2022-03-31T00:00:00"/>
        <d v="2023-08-28T00:00:00"/>
        <d v="2024-08-27T00:00:00"/>
        <d v="2023-02-22T00:00:00"/>
        <d v="2022-04-25T00:00:00"/>
        <d v="2023-09-09T00:00:00"/>
        <d v="2024-04-05T00:00:00"/>
        <d v="2023-02-17T00:00:00"/>
        <d v="2023-12-30T00:00:00"/>
        <d v="2024-01-31T00:00:00"/>
        <d v="2023-11-07T00:00:00"/>
        <d v="2023-04-02T00:00:00"/>
        <d v="2024-07-08T00:00:00"/>
        <d v="2022-07-11T00:00:00"/>
        <d v="2024-01-09T00:00:00"/>
        <d v="2024-09-04T00:00:00"/>
        <d v="2023-10-25T00:00:00"/>
        <d v="2022-02-06T00:00:00"/>
        <d v="2022-10-06T00:00:00"/>
        <d v="2024-05-22T00:00:00"/>
        <d v="2022-03-03T00:00:00"/>
        <d v="2023-08-19T00:00:00"/>
        <d v="2024-11-08T00:00:00"/>
        <d v="2022-06-26T00:00:00"/>
        <d v="2023-01-31T00:00:00"/>
        <d v="2023-03-21T00:00:00"/>
        <d v="2022-03-17T00:00:00"/>
        <d v="2022-09-22T00:00:00"/>
        <d v="2023-03-31T00:00:00"/>
        <d v="2023-12-19T00:00:00"/>
        <d v="2024-01-05T00:00:00"/>
        <d v="2024-04-30T00:00:00"/>
        <d v="2024-06-03T00:00:00"/>
        <d v="2024-11-14T00:00:00"/>
        <d v="2024-08-05T00:00:00"/>
        <d v="2024-06-09T00:00:00"/>
        <d v="2023-07-23T00:00:00"/>
        <d v="2022-04-19T00:00:00"/>
        <d v="2024-12-01T00:00:00"/>
        <d v="2024-07-23T00:00:00"/>
        <d v="2024-01-03T00:00:00"/>
        <d v="2022-08-23T00:00:00"/>
        <d v="2023-10-20T00:00:00"/>
        <d v="2024-01-21T00:00:00"/>
        <d v="2023-08-11T00:00:00"/>
        <d v="2024-10-29T00:00:00"/>
        <d v="2024-08-11T00:00:00"/>
        <d v="2023-05-07T00:00:00"/>
        <d v="2024-07-01T00:00:00"/>
        <d v="2022-06-19T00:00:00"/>
        <d v="2024-08-03T00:00:00"/>
        <d v="2022-01-29T00:00:00"/>
        <d v="2022-12-05T00:00:00"/>
        <d v="2023-05-15T00:00:00"/>
        <d v="2024-12-29T00:00:00"/>
        <d v="2024-05-25T00:00:00"/>
        <d v="2022-04-01T00:00:00"/>
        <d v="2023-12-15T00:00:00"/>
        <d v="2022-02-08T00:00:00"/>
        <d v="2022-06-22T00:00:00"/>
        <d v="2023-10-15T00:00:00"/>
        <d v="2023-04-21T00:00:00"/>
        <d v="2024-04-08T00:00:00"/>
        <d v="2024-06-13T00:00:00"/>
        <d v="2024-10-21T00:00:00"/>
        <d v="2023-01-22T00:00:00"/>
        <d v="2022-12-14T00:00:00"/>
        <d v="2023-05-20T00:00:00"/>
        <d v="2024-04-03T00:00:00"/>
        <d v="2024-07-22T00:00:00"/>
        <d v="2022-05-14T00:00:00"/>
        <d v="2022-02-27T00:00:00"/>
        <d v="2023-11-03T00:00:00"/>
        <d v="2024-03-25T00:00:00"/>
        <d v="2022-03-21T00:00:00"/>
        <d v="2024-06-04T00:00:00"/>
        <d v="2024-08-28T00:00:00"/>
        <d v="2024-11-01T00:00:00"/>
        <d v="2024-01-06T00:00:00"/>
        <d v="2024-02-23T00:00:00"/>
        <d v="2024-08-25T00:00:00"/>
        <d v="2022-12-24T00:00:00"/>
        <d v="2023-10-30T00:00:00"/>
        <d v="2023-01-08T00:00:00"/>
        <d v="2024-10-28T00:00:00"/>
        <d v="2023-11-29T00:00:00"/>
        <d v="2023-06-24T00:00:00"/>
        <d v="2024-01-02T00:00:00"/>
        <d v="2024-05-18T00:00:00"/>
        <d v="2024-01-10T00:00:00"/>
        <d v="2023-05-17T00:00:00"/>
        <d v="2024-08-16T00:00:00"/>
        <d v="2023-04-06T00:00:00"/>
        <d v="2024-07-13T00:00:00"/>
        <d v="2024-06-27T00:00:00"/>
        <d v="2023-01-25T00:00:00"/>
        <d v="2024-06-01T00:00:00"/>
        <d v="2022-09-13T00:00:00"/>
        <d v="2023-12-10T00:00:00"/>
        <d v="2023-03-26T00:00:00"/>
        <d v="2022-01-10T00:00:00"/>
        <d v="2023-01-09T00:00:00"/>
        <d v="2024-12-24T00:00:00"/>
        <d v="2022-05-26T00:00:00"/>
        <d v="2022-08-12T00:00:00"/>
        <d v="2024-05-02T00:00:00"/>
        <d v="2022-03-04T00:00:00"/>
        <d v="2024-04-06T00:00:00"/>
        <d v="2023-11-20T00:00:00"/>
        <d v="2022-04-15T00:00:00"/>
        <d v="2023-02-09T00:00:00"/>
        <d v="2024-02-10T00:00:00"/>
        <d v="2024-11-12T00:00:00"/>
        <d v="2023-11-08T00:00:00"/>
        <d v="2022-03-24T00:00:00"/>
        <d v="2022-01-01T00:00:00"/>
        <d v="2023-12-18T00:00:00"/>
        <d v="2023-03-25T00:00:00"/>
        <d v="2022-02-03T00:00:00"/>
        <d v="2022-04-05T00:00:00"/>
        <d v="2022-09-07T00:00:00"/>
        <d v="2023-11-05T00:00:00"/>
        <d v="2022-04-28T00:00:00"/>
        <d v="2022-09-25T00:00:00"/>
        <d v="2022-08-24T00:00:00"/>
        <d v="2023-01-24T00:00:00"/>
        <d v="2024-09-16T00:00:00"/>
        <d v="2024-02-02T00:00:00"/>
        <d v="2024-07-07T00:00:00"/>
        <d v="2022-03-16T00:00:00"/>
        <d v="2023-03-11T00:00:00"/>
        <d v="2022-04-13T00:00:00"/>
        <d v="2024-01-08T00:00:00"/>
        <d v="2022-04-08T00:00:00"/>
        <d v="2024-05-08T00:00:00"/>
        <d v="2023-03-23T00:00:00"/>
        <d v="2022-09-06T00:00:00"/>
        <d v="2022-06-15T00:00:00"/>
        <d v="2024-09-10T00:00:00"/>
        <d v="2023-06-26T00:00:00"/>
        <d v="2022-03-22T00:00:00"/>
        <d v="2022-05-13T00:00:00"/>
        <d v="2024-03-07T00:00:00"/>
        <d v="2024-06-18T00:00:00"/>
        <d v="2022-05-18T00:00:00"/>
        <d v="2022-07-03T00:00:00"/>
        <d v="2022-03-10T00:00:00"/>
        <d v="2023-06-30T00:00:00"/>
        <d v="2022-02-22T00:00:00"/>
        <d v="2022-07-24T00:00:00"/>
        <d v="2022-05-06T00:00:00"/>
        <d v="2022-02-12T00:00:00"/>
        <d v="2022-04-21T00:00:00"/>
        <d v="2024-04-27T00:00:00"/>
        <d v="2022-12-26T00:00:00"/>
        <d v="2022-10-08T00:00:00"/>
        <d v="2023-10-29T00:00:00"/>
        <d v="2022-04-03T00:00:00"/>
        <d v="2022-03-02T00:00:00"/>
        <d v="2024-12-10T00:00:00"/>
        <d v="2023-08-27T00:00:00"/>
        <d v="2023-06-18T00:00:00"/>
        <d v="2023-10-07T00:00:00"/>
        <d v="2022-08-21T00:00:00"/>
        <d v="2023-06-08T00:00:00"/>
        <d v="2024-03-04T00:00:00"/>
        <d v="2022-08-02T00:00:00"/>
        <d v="2022-08-27T00:00:00"/>
        <d v="2024-12-15T00:00:00"/>
        <d v="2022-12-16T00:00:00"/>
        <d v="2022-04-17T00:00:00"/>
        <d v="2022-02-17T00:00:00"/>
        <d v="2022-12-03T00:00:00"/>
        <d v="2024-11-15T00:00:00"/>
        <d v="2024-03-14T00:00:00"/>
        <d v="2022-01-08T00:00:00"/>
        <d v="2023-09-17T00:00:00"/>
        <d v="2023-12-20T00:00:00"/>
        <d v="2022-10-30T00:00:00"/>
        <d v="2023-10-01T00:00:00"/>
        <d v="2022-02-25T00:00:00"/>
        <d v="2023-06-10T00:00:00"/>
        <d v="2022-01-28T00:00:00"/>
        <d v="2022-03-19T00:00:00"/>
        <d v="2022-12-31T00:00:00"/>
        <d v="2023-10-28T00:00:00"/>
        <d v="2024-10-27T00:00:00"/>
        <d v="2024-10-23T00:00:00"/>
        <d v="2022-12-29T00:00:00"/>
        <d v="2022-03-27T00:00:00"/>
        <d v="2024-03-22T00:00:00"/>
        <d v="2023-06-21T00:00:00"/>
        <d v="2022-05-25T00:00:00"/>
        <d v="2022-01-25T00:00:00"/>
        <d v="2022-03-08T00:00:00"/>
        <d v="2022-08-16T00:00:00"/>
        <d v="2023-09-15T00:00:00"/>
        <d v="2023-08-18T00:00:00"/>
        <d v="2023-03-01T00:00:00"/>
        <d v="2023-11-23T00:00:00"/>
        <d v="2022-11-11T00:00:00"/>
        <d v="2023-10-24T00:00:00"/>
        <d v="2024-04-22T00:00:00"/>
        <d v="2024-06-17T00:00:00"/>
        <d v="2022-08-31T00:00:00"/>
        <d v="2023-06-27T00:00:00"/>
        <d v="2024-11-29T00:00:00"/>
        <d v="2022-08-17T00:00:00"/>
        <d v="2023-07-02T00:00:00"/>
        <d v="2022-01-06T00:00:00"/>
        <d v="2023-04-13T00:00:00"/>
        <d v="2022-01-04T00:00:00"/>
        <d v="2023-05-19T00:00:00"/>
        <d v="2024-08-04T00:00:00"/>
        <d v="2023-07-28T00:00:00"/>
        <d v="2022-07-13T00:00:00"/>
        <d v="2024-04-26T00:00:00"/>
        <d v="2023-12-16T00:00:00"/>
        <d v="2022-11-22T00:00:00"/>
        <d v="2023-12-25T00:00:00"/>
        <d v="2022-08-13T00:00:00"/>
        <d v="2023-06-16T00:00:00"/>
        <d v="2022-05-20T00:00:00"/>
        <d v="2023-07-13T00:00:00"/>
        <d v="2022-11-16T00:00:00"/>
        <d v="2022-05-19T00:00:00"/>
        <d v="2024-04-24T00:00:00"/>
        <d v="2022-09-16T00:00:00"/>
        <d v="2024-06-20T00:00:00"/>
        <d v="2022-09-18T00:00:00"/>
        <d v="2022-06-21T00:00:00"/>
        <d v="2022-01-13T00:00:00"/>
        <d v="2022-11-25T00:00:00"/>
        <d v="2024-06-29T00:00:00"/>
        <d v="2022-11-30T00:00:00"/>
        <d v="2023-01-11T00:00:00"/>
        <d v="2024-07-06T00:00:00"/>
        <d v="2023-12-26T00:00:00"/>
        <d v="2022-05-12T00:00:00"/>
        <d v="2022-03-30T00:00:00"/>
        <d v="2023-09-08T00:00:00"/>
        <d v="2024-03-10T00:00:00"/>
        <d v="2023-02-26T00:00:00"/>
        <d v="2022-05-23T00:00:00"/>
        <d v="2023-10-27T00:00:00"/>
        <d v="2024-10-03T00:00:00"/>
        <d v="2024-03-31T00:00:00"/>
        <d v="2023-08-02T00:00:00"/>
        <d v="2023-01-26T00:00:00"/>
        <d v="2023-07-08T00:00:00"/>
        <d v="2023-04-23T00:00:00"/>
        <d v="2024-07-11T00:00:00"/>
        <d v="2023-02-24T00:00:00"/>
        <d v="2022-06-06T00:00:00"/>
        <d v="2023-07-04T00:00:00"/>
        <d v="2024-08-08T00:00:00"/>
        <d v="2022-07-15T00:00:00"/>
        <d v="2023-08-21T00:00:00"/>
        <d v="2023-06-01T00:00:00"/>
        <d v="2024-05-14T00:00:00"/>
        <d v="2022-08-04T00:00:00"/>
        <d v="2022-11-20T00:00:00"/>
        <d v="2024-04-23T00:00:00"/>
        <d v="2022-05-10T00:00:00"/>
        <d v="2023-09-19T00:00:00"/>
        <d v="2024-01-25T00:00:00"/>
        <d v="2022-01-11T00:00:00"/>
        <d v="2023-12-13T00:00:00"/>
        <d v="2022-05-21T00:00:00"/>
        <d v="2024-09-11T00:00:00"/>
        <d v="2023-11-14T00:00:00"/>
        <d v="2022-12-22T00:00:00"/>
        <d v="2024-10-04T00:00:00"/>
        <d v="2024-06-06T00:00:00"/>
        <d v="2022-05-07T00:00:00"/>
        <d v="2024-10-10T00:00:00"/>
        <d v="2024-11-18T00:00:00"/>
        <d v="2024-02-18T00:00:00"/>
        <d v="2024-03-24T00:00:00"/>
        <d v="2024-09-09T00:00:00"/>
        <d v="2024-04-04T00:00:00"/>
        <d v="2023-07-21T00:00:00"/>
        <d v="2023-01-06T00:00:00"/>
        <d v="2023-10-23T00:00:00"/>
        <d v="2024-08-26T00:00:00"/>
        <d v="2022-11-09T00:00:00"/>
        <d v="2024-07-25T00:00:00"/>
        <d v="2022-09-01T00:00:00"/>
        <d v="2022-12-13T00:00:00"/>
        <d v="2024-07-27T00:00:00"/>
        <d v="2022-06-05T00:00:00"/>
        <d v="2024-08-24T00:00:00"/>
        <d v="2022-05-28T00:00:00"/>
        <d v="2022-12-08T00:00:00"/>
        <d v="2023-07-15T00:00:00"/>
        <d v="2022-11-23T00:00:00"/>
        <d v="2022-08-03T00:00:00"/>
        <d v="2023-12-24T00:00:00"/>
        <d v="2022-02-01T00:00:00"/>
        <d v="2023-11-01T00:00:00"/>
        <d v="2023-03-05T00:00:00"/>
        <d v="2022-10-13T00:00:00"/>
        <d v="2023-08-13T00:00:00"/>
        <d v="2024-10-06T00:00:00"/>
        <d v="2024-09-14T00:00:00"/>
        <d v="2022-04-24T00:00:00"/>
        <d v="2022-02-24T00:00:00"/>
        <d v="2024-02-17T00:00:00"/>
        <d v="2022-03-28T00:00:00"/>
        <d v="2024-04-12T00:00:00"/>
        <d v="2023-03-19T00:00:00"/>
        <d v="2022-11-24T00:00:00"/>
        <d v="2023-05-06T00:00:00"/>
        <d v="2023-03-28T00:00:00"/>
        <d v="2022-06-14T00:00:00"/>
        <d v="2022-07-01T00:00:00"/>
        <d v="2023-04-14T00:00:00"/>
        <d v="2024-06-28T00:00:00"/>
        <d v="2024-08-01T00:00:00"/>
        <d v="2022-01-07T00:00:00"/>
        <d v="2022-11-26T00:00:00"/>
        <d v="2024-02-14T00:00:00"/>
        <d v="2024-07-03T00:00:00"/>
        <d v="2022-03-23T00:00:00"/>
        <d v="2023-05-29T00:00:00"/>
        <d v="2024-01-16T00:00:00"/>
        <d v="2024-10-19T00:00:00"/>
        <d v="2023-12-08T00:00:00"/>
        <d v="2024-06-23T00:00:00"/>
        <d v="2024-07-28T00:00:00"/>
        <d v="2023-09-24T00:00:00"/>
        <d v="2022-02-28T00:00:00"/>
        <d v="2023-12-22T00:00:00"/>
        <d v="2023-07-06T00:00:00"/>
        <d v="2022-08-25T00:00:00"/>
        <d v="2023-05-09T00:00:00"/>
        <d v="2023-09-02T00:00:00"/>
        <d v="2022-02-11T00:00:00"/>
        <d v="2024-11-06T00:00:00"/>
        <d v="2024-09-24T00:00:00"/>
        <d v="2024-01-01T00:00:00"/>
        <d v="2022-06-17T00:00:00"/>
        <d v="2024-06-24T00:00:00"/>
        <d v="2024-07-10T00:00:00"/>
        <d v="2023-12-03T00:00:00"/>
        <d v="2024-03-29T00:00:00"/>
        <d v="2023-11-24T00:00:00"/>
        <d v="2022-05-29T00:00:00"/>
        <d v="2024-03-17T00:00:00"/>
        <d v="2024-01-14T00:00:00"/>
        <d v="2024-01-28T00:00:00"/>
        <d v="2023-02-10T00:00:00"/>
        <d v="2023-04-27T00:00:00"/>
        <d v="2022-03-14T00:00:00"/>
        <d v="2023-12-14T00:00:00"/>
        <d v="2022-04-18T00:00:00"/>
        <d v="2022-04-12T00:00:00"/>
        <d v="2024-05-15T00:00:00"/>
        <d v="2022-10-02T00:00:00"/>
        <d v="2024-12-03T00:00:00"/>
        <d v="2024-03-27T00:00:00"/>
        <d v="2023-04-11T00:00:00"/>
        <d v="2023-12-12T00:00:00"/>
        <d v="2022-12-01T00:00:00"/>
        <d v="2023-09-21T00:00:00"/>
        <d v="2022-05-17T00:00:00"/>
        <d v="2023-08-17T00:00:00"/>
        <d v="2023-01-07T00:00:00"/>
        <d v="2024-09-21T00:00:00"/>
        <d v="2023-09-07T00:00:00"/>
        <d v="2023-09-12T00:00:00"/>
        <d v="2024-09-12T00:00:00"/>
        <d v="2022-07-02T00:00:00"/>
        <d v="2022-12-30T00:00:00"/>
        <d v="2023-12-23T00:00:00"/>
        <d v="2022-01-16T00:00:00"/>
        <d v="2024-06-12T00:00:00"/>
        <d v="2022-11-07T00:00:00"/>
        <d v="2023-02-18T00:00:00"/>
        <d v="2022-09-08T00:00:00"/>
        <d v="2022-09-02T00:00:00"/>
        <d v="2022-09-29T00:00:00"/>
        <d v="2023-01-12T00:00:00"/>
        <d v="2022-09-23T00:00:00"/>
        <d v="2024-07-14T00:00:00"/>
        <d v="2022-12-06T00:00:00"/>
        <d v="2023-07-31T00:00:00"/>
        <d v="2022-01-03T00:00:00"/>
        <d v="2022-10-20T00:00:00"/>
        <d v="2023-12-06T00:00:00"/>
        <d v="2024-08-06T00:00:00"/>
        <d v="2023-08-08T00:00:00"/>
        <d v="2023-02-03T00:00:00"/>
        <d v="2024-08-21T00:00:00"/>
        <d v="2024-12-21T00:00:00"/>
        <d v="2024-02-11T00:00:00"/>
        <d v="2024-01-23T00:00:00"/>
        <d v="2023-05-21T00:00:00"/>
        <d v="2024-11-09T00:00:00"/>
        <d v="2024-04-29T00:00:00"/>
        <d v="2024-02-20T00:00:00"/>
        <d v="2024-06-11T00:00:00"/>
        <d v="2023-08-03T00:00:00"/>
        <d v="2023-09-27T00:00:00"/>
        <d v="2022-02-09T00:00:00"/>
        <d v="2024-09-01T00:00:00"/>
        <d v="2023-03-30T00:00:00"/>
        <d v="2022-12-15T00:00:00"/>
        <d v="2022-12-19T00:00:00"/>
        <d v="2023-07-25T00:00:00"/>
        <d v="2024-11-20T00:00:00"/>
        <d v="2023-06-19T00:00:00"/>
        <d v="2023-03-02T00:00:00"/>
        <d v="2023-08-12T00:00:00"/>
        <d v="2022-10-22T00:00:00"/>
        <d v="2023-03-24T00:00:00"/>
        <d v="2024-05-05T00:00:00"/>
        <d v="2023-11-06T00:00:00"/>
        <d v="2023-08-09T00:00:00"/>
        <d v="2024-09-20T00:00:00"/>
        <d v="2023-07-26T00:00:00"/>
        <d v="2024-09-15T00:00:00"/>
        <d v="2022-10-05T00:00:00"/>
        <d v="2024-07-04T00:00:00"/>
        <d v="2023-04-29T00:00:00"/>
        <d v="2022-07-29T00:00:00"/>
        <d v="2022-11-02T00:00:00"/>
        <d v="2023-12-17T00:00:00"/>
        <d v="2023-01-16T00:00:00"/>
        <d v="2024-06-25T00:00:00"/>
        <d v="2022-03-20T00:00:00"/>
        <d v="2023-04-04T00:00:00"/>
        <d v="2024-06-05T00:00:00"/>
        <d v="2024-08-31T00:00:00"/>
        <d v="2022-03-25T00:00:00"/>
        <d v="2024-03-03T00:00:00"/>
        <d v="2024-12-19T00:00:00"/>
        <d v="2023-03-06T00:00:00"/>
        <d v="2023-06-04T00:00:00"/>
        <d v="2023-08-14T00:00:00"/>
        <d v="2024-11-16T00:00:00"/>
        <d v="2022-07-18T00:00:00"/>
        <d v="2023-01-13T00:00:00"/>
        <d v="2023-06-11T00:00:00"/>
        <d v="2024-01-04T00:00:00"/>
        <d v="2023-05-16T00:00:00"/>
        <d v="2023-08-07T00:00:00"/>
        <d v="2023-01-30T00:00:00"/>
        <d v="2024-12-23T00:00:00"/>
        <d v="2022-03-13T00:00:00"/>
        <d v="2022-10-01T00:00:00"/>
        <d v="2024-06-07T00:00:00"/>
        <d v="2023-08-15T00:00:00"/>
        <d v="2023-11-04T00:00:00"/>
        <d v="2022-04-26T00:00:00"/>
        <d v="2022-04-16T00:00:00"/>
        <d v="2023-03-04T00:00:00"/>
        <d v="2022-11-13T00:00:00"/>
        <d v="2022-08-11T00:00:00"/>
        <d v="2023-07-07T00:00:00"/>
        <d v="2023-01-18T00:00:00"/>
        <d v="2023-02-14T00:00:00"/>
        <d v="2023-05-30T00:00:00"/>
        <d v="2024-03-19T00:00:00"/>
        <d v="2024-05-23T00:00:00"/>
        <d v="2022-11-05T00:00:00"/>
        <d v="2023-11-26T00:00:00"/>
        <d v="2022-10-15T00:00:00"/>
        <d v="2022-11-03T00:00:00"/>
        <d v="2023-07-03T00:00:00"/>
        <d v="2022-11-08T00:00:00"/>
        <d v="2024-07-12T00:00:00"/>
        <d v="2024-05-11T00:00:00"/>
        <d v="2022-06-08T00:00:00"/>
        <d v="2022-01-24T00:00:00"/>
        <d v="2023-08-31T00:00:00"/>
        <d v="2024-07-20T00:00:00"/>
        <d v="2022-07-05T00:00:00"/>
        <d v="2023-09-29T00:00:00"/>
        <d v="2023-06-14T00:00:00"/>
        <d v="2022-04-10T00:00:00"/>
        <d v="2023-01-10T00:00:00"/>
        <d v="2024-04-16T00:00:00"/>
        <d v="2024-10-01T00:00:00"/>
        <d v="2022-03-07T00:00:00"/>
        <d v="2022-10-28T00:00:00"/>
        <d v="2022-10-14T00:00:00"/>
        <d v="2024-10-30T00:00:00"/>
        <d v="2023-09-22T00:00:00"/>
        <d v="2023-07-30T00:00:00"/>
        <d v="2022-10-09T00:00:00"/>
        <d v="2022-04-29T00:00:00"/>
        <d v="2024-11-24T00:00:00"/>
        <d v="2022-10-03T00:00:00"/>
        <d v="2023-05-10T00:00:00"/>
        <d v="2023-03-03T00:00:00"/>
        <d v="2023-01-19T00:00:00"/>
        <d v="2022-11-04T00:00:00"/>
        <d v="2022-05-09T00:00:00"/>
        <d v="2023-10-31T00:00:00"/>
        <d v="2024-09-13T00:00:00"/>
        <d v="2022-12-11T00:00:00"/>
        <d v="2022-12-27T00:00:00"/>
        <d v="2022-01-19T00:00:00"/>
        <d v="2024-09-27T00:00:00"/>
        <d v="2024-07-05T00:00:00"/>
        <d v="2022-10-18T00:00:00"/>
        <d v="2024-04-21T00:00:00"/>
        <d v="2024-07-30T00:00:00"/>
        <d v="2022-03-26T00:00:00"/>
        <d v="2022-10-31T00:00:00"/>
        <d v="2024-02-22T00:00:00"/>
        <d v="2022-12-09T00:00:00"/>
        <d v="2023-05-13T00:00:00"/>
        <d v="2023-09-11T00:00:00"/>
        <d v="2024-02-28T00:00:00"/>
        <d v="2024-02-26T00:00:00"/>
        <d v="2023-10-06T00:00:00"/>
        <d v="2022-10-25T00:00:00"/>
        <d v="2022-02-19T00:00:00"/>
        <d v="2023-06-15T00:00:00"/>
        <d v="2023-04-28T00:00:00"/>
        <d v="2023-09-23T00:00:00"/>
        <d v="2023-10-12T00:00:00"/>
        <d v="2023-03-17T00:00:00"/>
        <d v="2024-09-25T00:00:00"/>
        <d v="2023-09-13T00:00:00"/>
        <d v="2024-10-02T00:00:00"/>
        <d v="2023-12-09T00:00:00"/>
        <d v="2023-09-06T00:00:00"/>
        <d v="2022-12-20T00:00:00"/>
        <d v="2023-09-10T00:00:00"/>
        <d v="2023-03-22T00:00:00"/>
        <d v="2024-09-06T00:00:00"/>
        <d v="2023-04-26T00:00:00"/>
        <d v="2024-04-14T00:00:00"/>
        <d v="2022-09-19T00:00:00"/>
        <d v="2023-11-09T00:00:00"/>
        <d v="2024-12-26T00:00:00"/>
        <d v="2024-07-19T00:00:00"/>
        <d v="2022-06-13T00:00:00"/>
        <d v="2022-08-26T00:00:00"/>
        <d v="2024-04-25T00:00:00"/>
        <d v="2024-10-07T00:00:00"/>
        <d v="2023-01-17T00:00:00"/>
        <d v="2022-04-11T00:00:00"/>
        <d v="2024-03-30T00:00:00"/>
        <d v="2022-05-04T00:00:00"/>
        <d v="2024-02-07T00:00:00"/>
        <d v="2023-06-03T00:00:00"/>
        <d v="2024-01-12T00:00:00"/>
        <d v="2024-06-19T00:00:00"/>
        <d v="2024-11-02T00:00:00"/>
        <d v="2022-08-01T00:00:00"/>
        <d v="2023-04-10T00:00:00"/>
        <d v="2022-08-20T00:00:00"/>
        <d v="2022-07-19T00:00:00"/>
        <d v="2024-08-02T00:00:00"/>
        <d v="2023-01-01T00:00:00"/>
        <d v="2023-03-12T00:00:00"/>
        <d v="2024-02-12T00:00:00"/>
        <d v="2023-01-03T00:00:00"/>
        <d v="2023-04-08T00:00:00"/>
        <d v="2024-08-20T00:00:00"/>
        <d v="2022-06-18T00:00:00"/>
        <d v="2023-10-14T00:00:00"/>
        <d v="2022-12-17T00:00:00"/>
        <d v="2023-06-07T00:00:00"/>
        <d v="2022-09-30T00:00:00"/>
        <d v="2024-07-31T00:00:00"/>
        <d v="2024-05-09T00:00:00"/>
        <d v="2022-10-10T00:00:00"/>
        <m/>
      </sharedItems>
      <fieldGroup par="12"/>
    </cacheField>
    <cacheField name="Region" numFmtId="0">
      <sharedItems containsBlank="1" count="5">
        <s v="Western Cape"/>
        <s v="KwaZulu-Natal"/>
        <s v="Eastern Cape"/>
        <s v="Gauteng"/>
        <m/>
      </sharedItems>
    </cacheField>
    <cacheField name="Product Category" numFmtId="0">
      <sharedItems containsBlank="1" count="5">
        <s v="Groceries"/>
        <s v="Clothing"/>
        <s v="Homeware"/>
        <s v="Electronics"/>
        <m/>
      </sharedItems>
    </cacheField>
    <cacheField name="Sales Rep" numFmtId="0">
      <sharedItems containsBlank="1" count="5">
        <s v="L. Dlamini"/>
        <s v="T. Van Wyk"/>
        <s v="S. Naidoo"/>
        <s v="A. Mokoena"/>
        <m/>
      </sharedItems>
    </cacheField>
    <cacheField name="Revenue" numFmtId="0">
      <sharedItems containsString="0" containsBlank="1" containsNumber="1" containsInteger="1" minValue="504" maxValue="14992"/>
    </cacheField>
    <cacheField name="Cost" numFmtId="0">
      <sharedItems containsString="0" containsBlank="1" containsNumber="1" containsInteger="1" minValue="302" maxValue="11990"/>
    </cacheField>
    <cacheField name="Discount %" numFmtId="0">
      <sharedItems containsString="0" containsBlank="1" containsNumber="1" containsInteger="1" minValue="0" maxValue="20"/>
    </cacheField>
    <cacheField name="Profit" numFmtId="0">
      <sharedItems containsString="0" containsBlank="1" containsNumber="1" containsInteger="1" minValue="-11141" maxValue="14530"/>
    </cacheField>
    <cacheField name="Profit Margin =Profit / Revenue" numFmtId="9">
      <sharedItems containsString="0" containsBlank="1" containsNumber="1" minValue="-16.288786482334871" maxValue="0.97897857431612989"/>
    </cacheField>
    <cacheField name="Year" numFmtId="0">
      <sharedItems containsString="0" containsBlank="1" containsNumber="1" containsInteger="1" minValue="2022" maxValue="2024"/>
    </cacheField>
    <cacheField name="Months (Order Date)" numFmtId="0" databaseField="0">
      <fieldGroup base="0">
        <rangePr groupBy="months" startDate="2022-01-01T00:00:00" endDate="2025-01-01T00:00:00"/>
        <groupItems count="14">
          <s v="&lt;2022/01/01"/>
          <s v="Jan"/>
          <s v="Feb"/>
          <s v="Mar"/>
          <s v="Apr"/>
          <s v="May"/>
          <s v="Jun"/>
          <s v="Jul"/>
          <s v="Aug"/>
          <s v="Sept"/>
          <s v="Oct"/>
          <s v="Nov"/>
          <s v="Dec"/>
          <s v="&gt;2025/01/01"/>
        </groupItems>
      </fieldGroup>
    </cacheField>
    <cacheField name="Quarters (Order Date)" numFmtId="0" databaseField="0">
      <fieldGroup base="0">
        <rangePr groupBy="quarters" startDate="2022-01-01T00:00:00" endDate="2025-01-01T00:00:00"/>
        <groupItems count="6">
          <s v="&lt;2022/01/01"/>
          <s v="Qtr1"/>
          <s v="Qtr2"/>
          <s v="Qtr3"/>
          <s v="Qtr4"/>
          <s v="&gt;2025/01/01"/>
        </groupItems>
      </fieldGroup>
    </cacheField>
    <cacheField name="Years (Order Date)" numFmtId="0" databaseField="0">
      <fieldGroup base="0">
        <rangePr groupBy="years" startDate="2022-01-01T00:00:00" endDate="2025-01-01T00:00:00"/>
        <groupItems count="6">
          <s v="&lt;2022/01/01"/>
          <s v="2022"/>
          <s v="2023"/>
          <s v="2024"/>
          <s v="2025"/>
          <s v="&gt;2025/01/01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000">
  <r>
    <d v="2024-05-10T00:00:00"/>
    <x v="0"/>
    <x v="0"/>
    <x v="0"/>
    <x v="0"/>
    <n v="1240"/>
    <n v="15"/>
    <x v="0"/>
    <x v="0"/>
    <x v="0"/>
  </r>
  <r>
    <d v="2024-12-31T00:00:00"/>
    <x v="1"/>
    <x v="0"/>
    <x v="1"/>
    <x v="1"/>
    <n v="640"/>
    <n v="20"/>
    <x v="1"/>
    <x v="1"/>
    <x v="0"/>
  </r>
  <r>
    <d v="2024-11-10T00:00:00"/>
    <x v="1"/>
    <x v="1"/>
    <x v="1"/>
    <x v="2"/>
    <n v="11400"/>
    <n v="10"/>
    <x v="2"/>
    <x v="2"/>
    <x v="0"/>
  </r>
  <r>
    <d v="2022-05-02T00:00:00"/>
    <x v="1"/>
    <x v="2"/>
    <x v="2"/>
    <x v="3"/>
    <n v="7722"/>
    <n v="10"/>
    <x v="3"/>
    <x v="3"/>
    <x v="1"/>
  </r>
  <r>
    <d v="2023-04-12T00:00:00"/>
    <x v="1"/>
    <x v="3"/>
    <x v="1"/>
    <x v="4"/>
    <n v="4433"/>
    <n v="0"/>
    <x v="4"/>
    <x v="4"/>
    <x v="2"/>
  </r>
  <r>
    <d v="2022-11-27T00:00:00"/>
    <x v="2"/>
    <x v="3"/>
    <x v="1"/>
    <x v="5"/>
    <n v="959"/>
    <n v="10"/>
    <x v="5"/>
    <x v="5"/>
    <x v="1"/>
  </r>
  <r>
    <d v="2022-03-29T00:00:00"/>
    <x v="2"/>
    <x v="1"/>
    <x v="1"/>
    <x v="6"/>
    <n v="10525"/>
    <n v="5"/>
    <x v="6"/>
    <x v="6"/>
    <x v="1"/>
  </r>
  <r>
    <d v="2024-05-21T00:00:00"/>
    <x v="3"/>
    <x v="2"/>
    <x v="0"/>
    <x v="7"/>
    <n v="10052"/>
    <n v="10"/>
    <x v="7"/>
    <x v="7"/>
    <x v="0"/>
  </r>
  <r>
    <d v="2022-05-11T00:00:00"/>
    <x v="0"/>
    <x v="0"/>
    <x v="1"/>
    <x v="8"/>
    <n v="3757"/>
    <n v="0"/>
    <x v="8"/>
    <x v="8"/>
    <x v="1"/>
  </r>
  <r>
    <d v="2024-02-09T00:00:00"/>
    <x v="1"/>
    <x v="1"/>
    <x v="3"/>
    <x v="9"/>
    <n v="10148"/>
    <n v="0"/>
    <x v="9"/>
    <x v="9"/>
    <x v="0"/>
  </r>
  <r>
    <d v="2022-12-10T00:00:00"/>
    <x v="3"/>
    <x v="2"/>
    <x v="0"/>
    <x v="10"/>
    <n v="3275"/>
    <n v="5"/>
    <x v="10"/>
    <x v="10"/>
    <x v="1"/>
  </r>
  <r>
    <d v="2024-03-16T00:00:00"/>
    <x v="3"/>
    <x v="0"/>
    <x v="1"/>
    <x v="11"/>
    <n v="9541"/>
    <n v="0"/>
    <x v="11"/>
    <x v="11"/>
    <x v="0"/>
  </r>
  <r>
    <d v="2023-01-21T00:00:00"/>
    <x v="3"/>
    <x v="1"/>
    <x v="1"/>
    <x v="12"/>
    <n v="753"/>
    <n v="15"/>
    <x v="12"/>
    <x v="12"/>
    <x v="2"/>
  </r>
  <r>
    <d v="2024-08-13T00:00:00"/>
    <x v="2"/>
    <x v="2"/>
    <x v="3"/>
    <x v="13"/>
    <n v="10196"/>
    <n v="20"/>
    <x v="13"/>
    <x v="13"/>
    <x v="0"/>
  </r>
  <r>
    <d v="2022-10-04T00:00:00"/>
    <x v="1"/>
    <x v="3"/>
    <x v="0"/>
    <x v="14"/>
    <n v="8484"/>
    <n v="10"/>
    <x v="14"/>
    <x v="14"/>
    <x v="1"/>
  </r>
  <r>
    <d v="2023-04-05T00:00:00"/>
    <x v="1"/>
    <x v="3"/>
    <x v="2"/>
    <x v="15"/>
    <n v="5742"/>
    <n v="15"/>
    <x v="15"/>
    <x v="15"/>
    <x v="2"/>
  </r>
  <r>
    <d v="2022-01-22T00:00:00"/>
    <x v="0"/>
    <x v="2"/>
    <x v="2"/>
    <x v="16"/>
    <n v="11276"/>
    <n v="10"/>
    <x v="16"/>
    <x v="16"/>
    <x v="1"/>
  </r>
  <r>
    <d v="2022-09-10T00:00:00"/>
    <x v="1"/>
    <x v="3"/>
    <x v="0"/>
    <x v="17"/>
    <n v="1118"/>
    <n v="15"/>
    <x v="17"/>
    <x v="17"/>
    <x v="1"/>
  </r>
  <r>
    <d v="2024-01-18T00:00:00"/>
    <x v="1"/>
    <x v="2"/>
    <x v="1"/>
    <x v="18"/>
    <n v="5168"/>
    <n v="10"/>
    <x v="18"/>
    <x v="18"/>
    <x v="0"/>
  </r>
  <r>
    <d v="2024-05-06T00:00:00"/>
    <x v="3"/>
    <x v="0"/>
    <x v="1"/>
    <x v="19"/>
    <n v="312"/>
    <n v="5"/>
    <x v="19"/>
    <x v="19"/>
    <x v="0"/>
  </r>
  <r>
    <d v="2023-04-20T00:00:00"/>
    <x v="0"/>
    <x v="2"/>
    <x v="2"/>
    <x v="20"/>
    <n v="8027"/>
    <n v="0"/>
    <x v="20"/>
    <x v="20"/>
    <x v="2"/>
  </r>
  <r>
    <d v="2024-12-18T00:00:00"/>
    <x v="1"/>
    <x v="0"/>
    <x v="2"/>
    <x v="21"/>
    <n v="1220"/>
    <n v="0"/>
    <x v="21"/>
    <x v="21"/>
    <x v="0"/>
  </r>
  <r>
    <d v="2023-05-26T00:00:00"/>
    <x v="2"/>
    <x v="1"/>
    <x v="2"/>
    <x v="22"/>
    <n v="5220"/>
    <n v="5"/>
    <x v="22"/>
    <x v="22"/>
    <x v="2"/>
  </r>
  <r>
    <d v="2023-12-01T00:00:00"/>
    <x v="1"/>
    <x v="2"/>
    <x v="3"/>
    <x v="23"/>
    <n v="2718"/>
    <n v="15"/>
    <x v="23"/>
    <x v="23"/>
    <x v="2"/>
  </r>
  <r>
    <d v="2024-09-02T00:00:00"/>
    <x v="3"/>
    <x v="1"/>
    <x v="2"/>
    <x v="24"/>
    <n v="9806"/>
    <n v="20"/>
    <x v="24"/>
    <x v="24"/>
    <x v="0"/>
  </r>
  <r>
    <d v="2022-07-09T00:00:00"/>
    <x v="2"/>
    <x v="3"/>
    <x v="3"/>
    <x v="25"/>
    <n v="6775"/>
    <n v="15"/>
    <x v="25"/>
    <x v="25"/>
    <x v="1"/>
  </r>
  <r>
    <d v="2024-08-15T00:00:00"/>
    <x v="3"/>
    <x v="0"/>
    <x v="0"/>
    <x v="26"/>
    <n v="2317"/>
    <n v="0"/>
    <x v="26"/>
    <x v="26"/>
    <x v="0"/>
  </r>
  <r>
    <d v="2023-11-18T00:00:00"/>
    <x v="1"/>
    <x v="2"/>
    <x v="1"/>
    <x v="27"/>
    <n v="8257"/>
    <n v="20"/>
    <x v="27"/>
    <x v="27"/>
    <x v="2"/>
  </r>
  <r>
    <d v="2024-08-15T00:00:00"/>
    <x v="2"/>
    <x v="1"/>
    <x v="2"/>
    <x v="28"/>
    <n v="9720"/>
    <n v="10"/>
    <x v="28"/>
    <x v="28"/>
    <x v="0"/>
  </r>
  <r>
    <d v="2023-07-17T00:00:00"/>
    <x v="0"/>
    <x v="0"/>
    <x v="1"/>
    <x v="29"/>
    <n v="5092"/>
    <n v="20"/>
    <x v="29"/>
    <x v="29"/>
    <x v="2"/>
  </r>
  <r>
    <d v="2024-04-11T00:00:00"/>
    <x v="0"/>
    <x v="0"/>
    <x v="1"/>
    <x v="30"/>
    <n v="7130"/>
    <n v="15"/>
    <x v="30"/>
    <x v="30"/>
    <x v="0"/>
  </r>
  <r>
    <d v="2023-10-09T00:00:00"/>
    <x v="2"/>
    <x v="3"/>
    <x v="2"/>
    <x v="31"/>
    <n v="2734"/>
    <n v="5"/>
    <x v="31"/>
    <x v="31"/>
    <x v="2"/>
  </r>
  <r>
    <d v="2022-01-21T00:00:00"/>
    <x v="2"/>
    <x v="3"/>
    <x v="2"/>
    <x v="32"/>
    <n v="3168"/>
    <n v="10"/>
    <x v="32"/>
    <x v="32"/>
    <x v="1"/>
  </r>
  <r>
    <d v="2024-04-20T00:00:00"/>
    <x v="3"/>
    <x v="0"/>
    <x v="0"/>
    <x v="33"/>
    <n v="11007"/>
    <n v="15"/>
    <x v="33"/>
    <x v="33"/>
    <x v="0"/>
  </r>
  <r>
    <d v="2022-06-16T00:00:00"/>
    <x v="2"/>
    <x v="0"/>
    <x v="3"/>
    <x v="34"/>
    <n v="1738"/>
    <n v="10"/>
    <x v="34"/>
    <x v="34"/>
    <x v="1"/>
  </r>
  <r>
    <d v="2023-01-23T00:00:00"/>
    <x v="3"/>
    <x v="2"/>
    <x v="3"/>
    <x v="35"/>
    <n v="3843"/>
    <n v="20"/>
    <x v="35"/>
    <x v="35"/>
    <x v="2"/>
  </r>
  <r>
    <d v="2023-08-24T00:00:00"/>
    <x v="1"/>
    <x v="0"/>
    <x v="1"/>
    <x v="36"/>
    <n v="11667"/>
    <n v="0"/>
    <x v="36"/>
    <x v="36"/>
    <x v="2"/>
  </r>
  <r>
    <d v="2022-11-12T00:00:00"/>
    <x v="3"/>
    <x v="2"/>
    <x v="2"/>
    <x v="37"/>
    <n v="2081"/>
    <n v="15"/>
    <x v="37"/>
    <x v="37"/>
    <x v="1"/>
  </r>
  <r>
    <d v="2022-01-14T00:00:00"/>
    <x v="2"/>
    <x v="0"/>
    <x v="0"/>
    <x v="38"/>
    <n v="6643"/>
    <n v="5"/>
    <x v="38"/>
    <x v="38"/>
    <x v="1"/>
  </r>
  <r>
    <d v="2022-08-30T00:00:00"/>
    <x v="2"/>
    <x v="3"/>
    <x v="0"/>
    <x v="39"/>
    <n v="2563"/>
    <n v="20"/>
    <x v="39"/>
    <x v="39"/>
    <x v="1"/>
  </r>
  <r>
    <d v="2024-02-16T00:00:00"/>
    <x v="1"/>
    <x v="2"/>
    <x v="0"/>
    <x v="40"/>
    <n v="10461"/>
    <n v="15"/>
    <x v="40"/>
    <x v="40"/>
    <x v="0"/>
  </r>
  <r>
    <d v="2023-07-19T00:00:00"/>
    <x v="2"/>
    <x v="1"/>
    <x v="0"/>
    <x v="41"/>
    <n v="511"/>
    <n v="5"/>
    <x v="41"/>
    <x v="41"/>
    <x v="2"/>
  </r>
  <r>
    <d v="2024-06-16T00:00:00"/>
    <x v="2"/>
    <x v="3"/>
    <x v="0"/>
    <x v="42"/>
    <n v="8999"/>
    <n v="15"/>
    <x v="42"/>
    <x v="42"/>
    <x v="0"/>
  </r>
  <r>
    <d v="2022-04-02T00:00:00"/>
    <x v="0"/>
    <x v="2"/>
    <x v="3"/>
    <x v="43"/>
    <n v="6459"/>
    <n v="20"/>
    <x v="43"/>
    <x v="43"/>
    <x v="1"/>
  </r>
  <r>
    <d v="2024-08-13T00:00:00"/>
    <x v="0"/>
    <x v="2"/>
    <x v="3"/>
    <x v="44"/>
    <n v="7327"/>
    <n v="15"/>
    <x v="44"/>
    <x v="44"/>
    <x v="0"/>
  </r>
  <r>
    <d v="2023-05-24T00:00:00"/>
    <x v="1"/>
    <x v="1"/>
    <x v="3"/>
    <x v="45"/>
    <n v="631"/>
    <n v="10"/>
    <x v="45"/>
    <x v="45"/>
    <x v="2"/>
  </r>
  <r>
    <d v="2024-02-15T00:00:00"/>
    <x v="3"/>
    <x v="2"/>
    <x v="2"/>
    <x v="46"/>
    <n v="7160"/>
    <n v="20"/>
    <x v="46"/>
    <x v="46"/>
    <x v="0"/>
  </r>
  <r>
    <d v="2022-02-04T00:00:00"/>
    <x v="0"/>
    <x v="0"/>
    <x v="1"/>
    <x v="47"/>
    <n v="8344"/>
    <n v="15"/>
    <x v="47"/>
    <x v="47"/>
    <x v="1"/>
  </r>
  <r>
    <d v="2022-07-25T00:00:00"/>
    <x v="3"/>
    <x v="1"/>
    <x v="0"/>
    <x v="48"/>
    <n v="8469"/>
    <n v="0"/>
    <x v="48"/>
    <x v="48"/>
    <x v="1"/>
  </r>
  <r>
    <d v="2024-10-22T00:00:00"/>
    <x v="2"/>
    <x v="3"/>
    <x v="2"/>
    <x v="49"/>
    <n v="9042"/>
    <n v="15"/>
    <x v="49"/>
    <x v="49"/>
    <x v="0"/>
  </r>
  <r>
    <d v="2024-10-18T00:00:00"/>
    <x v="0"/>
    <x v="3"/>
    <x v="0"/>
    <x v="50"/>
    <n v="6020"/>
    <n v="10"/>
    <x v="50"/>
    <x v="50"/>
    <x v="0"/>
  </r>
  <r>
    <d v="2023-07-20T00:00:00"/>
    <x v="1"/>
    <x v="0"/>
    <x v="3"/>
    <x v="51"/>
    <n v="9433"/>
    <n v="5"/>
    <x v="51"/>
    <x v="51"/>
    <x v="2"/>
  </r>
  <r>
    <d v="2023-12-04T00:00:00"/>
    <x v="1"/>
    <x v="3"/>
    <x v="2"/>
    <x v="52"/>
    <n v="1027"/>
    <n v="5"/>
    <x v="52"/>
    <x v="52"/>
    <x v="2"/>
  </r>
  <r>
    <d v="2023-02-06T00:00:00"/>
    <x v="1"/>
    <x v="2"/>
    <x v="3"/>
    <x v="53"/>
    <n v="5275"/>
    <n v="5"/>
    <x v="53"/>
    <x v="53"/>
    <x v="2"/>
  </r>
  <r>
    <d v="2023-12-31T00:00:00"/>
    <x v="0"/>
    <x v="2"/>
    <x v="0"/>
    <x v="54"/>
    <n v="11354"/>
    <n v="0"/>
    <x v="54"/>
    <x v="54"/>
    <x v="2"/>
  </r>
  <r>
    <d v="2022-06-11T00:00:00"/>
    <x v="3"/>
    <x v="0"/>
    <x v="0"/>
    <x v="55"/>
    <n v="3543"/>
    <n v="10"/>
    <x v="55"/>
    <x v="55"/>
    <x v="1"/>
  </r>
  <r>
    <d v="2022-07-21T00:00:00"/>
    <x v="2"/>
    <x v="3"/>
    <x v="1"/>
    <x v="56"/>
    <n v="948"/>
    <n v="20"/>
    <x v="56"/>
    <x v="56"/>
    <x v="1"/>
  </r>
  <r>
    <d v="2024-09-22T00:00:00"/>
    <x v="3"/>
    <x v="3"/>
    <x v="0"/>
    <x v="57"/>
    <n v="5395"/>
    <n v="5"/>
    <x v="57"/>
    <x v="57"/>
    <x v="0"/>
  </r>
  <r>
    <d v="2022-09-27T00:00:00"/>
    <x v="3"/>
    <x v="0"/>
    <x v="3"/>
    <x v="58"/>
    <n v="6914"/>
    <n v="10"/>
    <x v="58"/>
    <x v="58"/>
    <x v="1"/>
  </r>
  <r>
    <d v="2024-03-26T00:00:00"/>
    <x v="2"/>
    <x v="1"/>
    <x v="0"/>
    <x v="59"/>
    <n v="11229"/>
    <n v="15"/>
    <x v="59"/>
    <x v="59"/>
    <x v="0"/>
  </r>
  <r>
    <d v="2023-04-01T00:00:00"/>
    <x v="2"/>
    <x v="3"/>
    <x v="1"/>
    <x v="60"/>
    <n v="11239"/>
    <n v="0"/>
    <x v="60"/>
    <x v="60"/>
    <x v="2"/>
  </r>
  <r>
    <d v="2024-10-13T00:00:00"/>
    <x v="0"/>
    <x v="1"/>
    <x v="1"/>
    <x v="61"/>
    <n v="7435"/>
    <n v="10"/>
    <x v="61"/>
    <x v="61"/>
    <x v="0"/>
  </r>
  <r>
    <d v="2022-10-23T00:00:00"/>
    <x v="0"/>
    <x v="3"/>
    <x v="3"/>
    <x v="62"/>
    <n v="1309"/>
    <n v="10"/>
    <x v="62"/>
    <x v="62"/>
    <x v="1"/>
  </r>
  <r>
    <d v="2023-12-21T00:00:00"/>
    <x v="0"/>
    <x v="3"/>
    <x v="2"/>
    <x v="63"/>
    <n v="1850"/>
    <n v="20"/>
    <x v="63"/>
    <x v="63"/>
    <x v="2"/>
  </r>
  <r>
    <d v="2022-12-04T00:00:00"/>
    <x v="0"/>
    <x v="3"/>
    <x v="0"/>
    <x v="64"/>
    <n v="9295"/>
    <n v="10"/>
    <x v="64"/>
    <x v="64"/>
    <x v="1"/>
  </r>
  <r>
    <d v="2024-05-28T00:00:00"/>
    <x v="0"/>
    <x v="3"/>
    <x v="1"/>
    <x v="65"/>
    <n v="7792"/>
    <n v="20"/>
    <x v="65"/>
    <x v="65"/>
    <x v="0"/>
  </r>
  <r>
    <d v="2024-12-12T00:00:00"/>
    <x v="2"/>
    <x v="2"/>
    <x v="0"/>
    <x v="66"/>
    <n v="3701"/>
    <n v="0"/>
    <x v="66"/>
    <x v="66"/>
    <x v="0"/>
  </r>
  <r>
    <d v="2024-03-02T00:00:00"/>
    <x v="3"/>
    <x v="1"/>
    <x v="0"/>
    <x v="67"/>
    <n v="7747"/>
    <n v="0"/>
    <x v="67"/>
    <x v="67"/>
    <x v="0"/>
  </r>
  <r>
    <d v="2022-08-05T00:00:00"/>
    <x v="0"/>
    <x v="1"/>
    <x v="2"/>
    <x v="68"/>
    <n v="5724"/>
    <n v="15"/>
    <x v="68"/>
    <x v="68"/>
    <x v="1"/>
  </r>
  <r>
    <d v="2024-02-03T00:00:00"/>
    <x v="0"/>
    <x v="3"/>
    <x v="1"/>
    <x v="69"/>
    <n v="4541"/>
    <n v="20"/>
    <x v="69"/>
    <x v="69"/>
    <x v="0"/>
  </r>
  <r>
    <d v="2022-07-07T00:00:00"/>
    <x v="3"/>
    <x v="3"/>
    <x v="0"/>
    <x v="70"/>
    <n v="3461"/>
    <n v="20"/>
    <x v="70"/>
    <x v="70"/>
    <x v="1"/>
  </r>
  <r>
    <d v="2023-01-15T00:00:00"/>
    <x v="0"/>
    <x v="1"/>
    <x v="1"/>
    <x v="71"/>
    <n v="4455"/>
    <n v="5"/>
    <x v="71"/>
    <x v="71"/>
    <x v="2"/>
  </r>
  <r>
    <d v="2023-05-08T00:00:00"/>
    <x v="3"/>
    <x v="2"/>
    <x v="3"/>
    <x v="72"/>
    <n v="7778"/>
    <n v="5"/>
    <x v="72"/>
    <x v="72"/>
    <x v="2"/>
  </r>
  <r>
    <d v="2024-11-30T00:00:00"/>
    <x v="3"/>
    <x v="0"/>
    <x v="3"/>
    <x v="73"/>
    <n v="9019"/>
    <n v="15"/>
    <x v="73"/>
    <x v="73"/>
    <x v="0"/>
  </r>
  <r>
    <d v="2022-01-15T00:00:00"/>
    <x v="2"/>
    <x v="0"/>
    <x v="0"/>
    <x v="74"/>
    <n v="11790"/>
    <n v="0"/>
    <x v="74"/>
    <x v="74"/>
    <x v="1"/>
  </r>
  <r>
    <d v="2022-03-06T00:00:00"/>
    <x v="1"/>
    <x v="1"/>
    <x v="1"/>
    <x v="75"/>
    <n v="9515"/>
    <n v="5"/>
    <x v="75"/>
    <x v="75"/>
    <x v="1"/>
  </r>
  <r>
    <d v="2023-06-05T00:00:00"/>
    <x v="2"/>
    <x v="3"/>
    <x v="0"/>
    <x v="76"/>
    <n v="6917"/>
    <n v="10"/>
    <x v="76"/>
    <x v="76"/>
    <x v="2"/>
  </r>
  <r>
    <d v="2023-10-10T00:00:00"/>
    <x v="1"/>
    <x v="3"/>
    <x v="1"/>
    <x v="77"/>
    <n v="5960"/>
    <n v="0"/>
    <x v="77"/>
    <x v="77"/>
    <x v="2"/>
  </r>
  <r>
    <d v="2024-12-22T00:00:00"/>
    <x v="1"/>
    <x v="2"/>
    <x v="1"/>
    <x v="78"/>
    <n v="8924"/>
    <n v="10"/>
    <x v="78"/>
    <x v="78"/>
    <x v="0"/>
  </r>
  <r>
    <d v="2023-08-16T00:00:00"/>
    <x v="1"/>
    <x v="0"/>
    <x v="2"/>
    <x v="79"/>
    <n v="1476"/>
    <n v="20"/>
    <x v="79"/>
    <x v="79"/>
    <x v="2"/>
  </r>
  <r>
    <d v="2023-01-27T00:00:00"/>
    <x v="0"/>
    <x v="2"/>
    <x v="2"/>
    <x v="80"/>
    <n v="8256"/>
    <n v="0"/>
    <x v="80"/>
    <x v="80"/>
    <x v="2"/>
  </r>
  <r>
    <d v="2023-02-23T00:00:00"/>
    <x v="2"/>
    <x v="0"/>
    <x v="2"/>
    <x v="81"/>
    <n v="8892"/>
    <n v="15"/>
    <x v="81"/>
    <x v="81"/>
    <x v="2"/>
  </r>
  <r>
    <d v="2022-10-16T00:00:00"/>
    <x v="1"/>
    <x v="1"/>
    <x v="0"/>
    <x v="82"/>
    <n v="10596"/>
    <n v="20"/>
    <x v="82"/>
    <x v="82"/>
    <x v="1"/>
  </r>
  <r>
    <d v="2023-01-14T00:00:00"/>
    <x v="3"/>
    <x v="0"/>
    <x v="2"/>
    <x v="83"/>
    <n v="11542"/>
    <n v="20"/>
    <x v="83"/>
    <x v="83"/>
    <x v="2"/>
  </r>
  <r>
    <d v="2022-08-19T00:00:00"/>
    <x v="0"/>
    <x v="2"/>
    <x v="2"/>
    <x v="84"/>
    <n v="2533"/>
    <n v="10"/>
    <x v="84"/>
    <x v="84"/>
    <x v="1"/>
  </r>
  <r>
    <d v="2024-10-14T00:00:00"/>
    <x v="2"/>
    <x v="2"/>
    <x v="3"/>
    <x v="85"/>
    <n v="10937"/>
    <n v="20"/>
    <x v="85"/>
    <x v="85"/>
    <x v="0"/>
  </r>
  <r>
    <d v="2022-02-10T00:00:00"/>
    <x v="1"/>
    <x v="2"/>
    <x v="1"/>
    <x v="86"/>
    <n v="5000"/>
    <n v="5"/>
    <x v="86"/>
    <x v="86"/>
    <x v="1"/>
  </r>
  <r>
    <d v="2024-11-17T00:00:00"/>
    <x v="3"/>
    <x v="1"/>
    <x v="1"/>
    <x v="87"/>
    <n v="11327"/>
    <n v="0"/>
    <x v="87"/>
    <x v="87"/>
    <x v="0"/>
  </r>
  <r>
    <d v="2022-05-15T00:00:00"/>
    <x v="2"/>
    <x v="0"/>
    <x v="2"/>
    <x v="88"/>
    <n v="6206"/>
    <n v="5"/>
    <x v="88"/>
    <x v="88"/>
    <x v="1"/>
  </r>
  <r>
    <d v="2022-07-20T00:00:00"/>
    <x v="2"/>
    <x v="0"/>
    <x v="1"/>
    <x v="89"/>
    <n v="8160"/>
    <n v="10"/>
    <x v="89"/>
    <x v="89"/>
    <x v="1"/>
  </r>
  <r>
    <d v="2024-02-19T00:00:00"/>
    <x v="0"/>
    <x v="2"/>
    <x v="3"/>
    <x v="90"/>
    <n v="7826"/>
    <n v="10"/>
    <x v="90"/>
    <x v="90"/>
    <x v="0"/>
  </r>
  <r>
    <d v="2024-07-18T00:00:00"/>
    <x v="2"/>
    <x v="0"/>
    <x v="3"/>
    <x v="91"/>
    <n v="5859"/>
    <n v="0"/>
    <x v="91"/>
    <x v="91"/>
    <x v="0"/>
  </r>
  <r>
    <d v="2024-11-22T00:00:00"/>
    <x v="0"/>
    <x v="3"/>
    <x v="2"/>
    <x v="92"/>
    <n v="7032"/>
    <n v="20"/>
    <x v="92"/>
    <x v="92"/>
    <x v="0"/>
  </r>
  <r>
    <d v="2024-12-07T00:00:00"/>
    <x v="1"/>
    <x v="3"/>
    <x v="3"/>
    <x v="93"/>
    <n v="2813"/>
    <n v="15"/>
    <x v="93"/>
    <x v="93"/>
    <x v="0"/>
  </r>
  <r>
    <d v="2023-05-18T00:00:00"/>
    <x v="0"/>
    <x v="3"/>
    <x v="1"/>
    <x v="94"/>
    <n v="8130"/>
    <n v="10"/>
    <x v="94"/>
    <x v="94"/>
    <x v="2"/>
  </r>
  <r>
    <d v="2023-02-11T00:00:00"/>
    <x v="3"/>
    <x v="0"/>
    <x v="0"/>
    <x v="95"/>
    <n v="10265"/>
    <n v="0"/>
    <x v="95"/>
    <x v="95"/>
    <x v="2"/>
  </r>
  <r>
    <d v="2024-03-15T00:00:00"/>
    <x v="0"/>
    <x v="1"/>
    <x v="1"/>
    <x v="96"/>
    <n v="7244"/>
    <n v="15"/>
    <x v="96"/>
    <x v="96"/>
    <x v="0"/>
  </r>
  <r>
    <d v="2022-04-09T00:00:00"/>
    <x v="3"/>
    <x v="1"/>
    <x v="0"/>
    <x v="97"/>
    <n v="8210"/>
    <n v="20"/>
    <x v="97"/>
    <x v="97"/>
    <x v="1"/>
  </r>
  <r>
    <d v="2023-11-15T00:00:00"/>
    <x v="0"/>
    <x v="1"/>
    <x v="2"/>
    <x v="98"/>
    <n v="5949"/>
    <n v="10"/>
    <x v="98"/>
    <x v="98"/>
    <x v="2"/>
  </r>
  <r>
    <d v="2023-12-27T00:00:00"/>
    <x v="2"/>
    <x v="1"/>
    <x v="0"/>
    <x v="99"/>
    <n v="1396"/>
    <n v="0"/>
    <x v="99"/>
    <x v="99"/>
    <x v="2"/>
  </r>
  <r>
    <d v="2024-08-18T00:00:00"/>
    <x v="1"/>
    <x v="3"/>
    <x v="3"/>
    <x v="100"/>
    <n v="9420"/>
    <n v="0"/>
    <x v="100"/>
    <x v="100"/>
    <x v="0"/>
  </r>
  <r>
    <d v="2023-09-05T00:00:00"/>
    <x v="3"/>
    <x v="3"/>
    <x v="1"/>
    <x v="101"/>
    <n v="2251"/>
    <n v="0"/>
    <x v="101"/>
    <x v="101"/>
    <x v="2"/>
  </r>
  <r>
    <d v="2023-10-05T00:00:00"/>
    <x v="0"/>
    <x v="2"/>
    <x v="0"/>
    <x v="102"/>
    <n v="10465"/>
    <n v="10"/>
    <x v="102"/>
    <x v="102"/>
    <x v="2"/>
  </r>
  <r>
    <d v="2024-10-25T00:00:00"/>
    <x v="0"/>
    <x v="0"/>
    <x v="1"/>
    <x v="103"/>
    <n v="10046"/>
    <n v="15"/>
    <x v="103"/>
    <x v="103"/>
    <x v="0"/>
  </r>
  <r>
    <d v="2023-05-18T00:00:00"/>
    <x v="0"/>
    <x v="0"/>
    <x v="2"/>
    <x v="104"/>
    <n v="11270"/>
    <n v="0"/>
    <x v="104"/>
    <x v="104"/>
    <x v="2"/>
  </r>
  <r>
    <d v="2024-02-06T00:00:00"/>
    <x v="2"/>
    <x v="1"/>
    <x v="2"/>
    <x v="105"/>
    <n v="9486"/>
    <n v="20"/>
    <x v="105"/>
    <x v="105"/>
    <x v="0"/>
  </r>
  <r>
    <d v="2023-02-02T00:00:00"/>
    <x v="2"/>
    <x v="3"/>
    <x v="3"/>
    <x v="106"/>
    <n v="8099"/>
    <n v="0"/>
    <x v="106"/>
    <x v="106"/>
    <x v="2"/>
  </r>
  <r>
    <d v="2024-05-20T00:00:00"/>
    <x v="3"/>
    <x v="1"/>
    <x v="2"/>
    <x v="107"/>
    <n v="9104"/>
    <n v="15"/>
    <x v="107"/>
    <x v="107"/>
    <x v="0"/>
  </r>
  <r>
    <d v="2024-03-05T00:00:00"/>
    <x v="3"/>
    <x v="2"/>
    <x v="0"/>
    <x v="108"/>
    <n v="11085"/>
    <n v="10"/>
    <x v="108"/>
    <x v="108"/>
    <x v="0"/>
  </r>
  <r>
    <d v="2023-01-28T00:00:00"/>
    <x v="2"/>
    <x v="0"/>
    <x v="2"/>
    <x v="109"/>
    <n v="895"/>
    <n v="0"/>
    <x v="109"/>
    <x v="109"/>
    <x v="2"/>
  </r>
  <r>
    <d v="2022-07-26T00:00:00"/>
    <x v="3"/>
    <x v="0"/>
    <x v="3"/>
    <x v="110"/>
    <n v="8175"/>
    <n v="0"/>
    <x v="110"/>
    <x v="110"/>
    <x v="1"/>
  </r>
  <r>
    <d v="2024-11-04T00:00:00"/>
    <x v="1"/>
    <x v="1"/>
    <x v="1"/>
    <x v="111"/>
    <n v="9333"/>
    <n v="20"/>
    <x v="111"/>
    <x v="111"/>
    <x v="0"/>
  </r>
  <r>
    <d v="2024-06-10T00:00:00"/>
    <x v="1"/>
    <x v="2"/>
    <x v="1"/>
    <x v="112"/>
    <n v="4739"/>
    <n v="20"/>
    <x v="112"/>
    <x v="112"/>
    <x v="0"/>
  </r>
  <r>
    <d v="2024-05-13T00:00:00"/>
    <x v="2"/>
    <x v="0"/>
    <x v="2"/>
    <x v="113"/>
    <n v="6272"/>
    <n v="0"/>
    <x v="113"/>
    <x v="113"/>
    <x v="0"/>
  </r>
  <r>
    <d v="2024-01-13T00:00:00"/>
    <x v="3"/>
    <x v="2"/>
    <x v="0"/>
    <x v="114"/>
    <n v="1158"/>
    <n v="0"/>
    <x v="114"/>
    <x v="114"/>
    <x v="0"/>
  </r>
  <r>
    <d v="2023-07-18T00:00:00"/>
    <x v="0"/>
    <x v="2"/>
    <x v="3"/>
    <x v="115"/>
    <n v="5819"/>
    <n v="20"/>
    <x v="115"/>
    <x v="115"/>
    <x v="2"/>
  </r>
  <r>
    <d v="2024-10-17T00:00:00"/>
    <x v="1"/>
    <x v="1"/>
    <x v="0"/>
    <x v="116"/>
    <n v="7685"/>
    <n v="15"/>
    <x v="116"/>
    <x v="116"/>
    <x v="0"/>
  </r>
  <r>
    <d v="2022-04-06T00:00:00"/>
    <x v="2"/>
    <x v="3"/>
    <x v="3"/>
    <x v="117"/>
    <n v="8936"/>
    <n v="5"/>
    <x v="117"/>
    <x v="117"/>
    <x v="1"/>
  </r>
  <r>
    <d v="2023-04-30T00:00:00"/>
    <x v="3"/>
    <x v="1"/>
    <x v="2"/>
    <x v="118"/>
    <n v="10280"/>
    <n v="5"/>
    <x v="118"/>
    <x v="118"/>
    <x v="2"/>
  </r>
  <r>
    <d v="2022-08-19T00:00:00"/>
    <x v="2"/>
    <x v="3"/>
    <x v="3"/>
    <x v="119"/>
    <n v="4617"/>
    <n v="0"/>
    <x v="119"/>
    <x v="119"/>
    <x v="1"/>
  </r>
  <r>
    <d v="2024-01-19T00:00:00"/>
    <x v="0"/>
    <x v="2"/>
    <x v="3"/>
    <x v="120"/>
    <n v="3754"/>
    <n v="20"/>
    <x v="120"/>
    <x v="120"/>
    <x v="0"/>
  </r>
  <r>
    <d v="2023-06-25T00:00:00"/>
    <x v="1"/>
    <x v="3"/>
    <x v="2"/>
    <x v="121"/>
    <n v="1330"/>
    <n v="10"/>
    <x v="121"/>
    <x v="121"/>
    <x v="2"/>
  </r>
  <r>
    <d v="2024-11-25T00:00:00"/>
    <x v="2"/>
    <x v="2"/>
    <x v="0"/>
    <x v="122"/>
    <n v="9787"/>
    <n v="10"/>
    <x v="122"/>
    <x v="122"/>
    <x v="0"/>
  </r>
  <r>
    <d v="2023-06-09T00:00:00"/>
    <x v="2"/>
    <x v="0"/>
    <x v="2"/>
    <x v="123"/>
    <n v="8206"/>
    <n v="5"/>
    <x v="123"/>
    <x v="123"/>
    <x v="2"/>
  </r>
  <r>
    <d v="2023-08-01T00:00:00"/>
    <x v="2"/>
    <x v="0"/>
    <x v="3"/>
    <x v="124"/>
    <n v="10555"/>
    <n v="15"/>
    <x v="124"/>
    <x v="124"/>
    <x v="2"/>
  </r>
  <r>
    <d v="2023-11-13T00:00:00"/>
    <x v="0"/>
    <x v="0"/>
    <x v="2"/>
    <x v="125"/>
    <n v="1747"/>
    <n v="5"/>
    <x v="125"/>
    <x v="125"/>
    <x v="2"/>
  </r>
  <r>
    <d v="2023-07-11T00:00:00"/>
    <x v="2"/>
    <x v="1"/>
    <x v="3"/>
    <x v="126"/>
    <n v="10537"/>
    <n v="0"/>
    <x v="126"/>
    <x v="126"/>
    <x v="2"/>
  </r>
  <r>
    <d v="2024-10-09T00:00:00"/>
    <x v="0"/>
    <x v="1"/>
    <x v="2"/>
    <x v="127"/>
    <n v="3150"/>
    <n v="15"/>
    <x v="127"/>
    <x v="127"/>
    <x v="0"/>
  </r>
  <r>
    <d v="2023-10-08T00:00:00"/>
    <x v="0"/>
    <x v="2"/>
    <x v="1"/>
    <x v="128"/>
    <n v="10560"/>
    <n v="10"/>
    <x v="128"/>
    <x v="128"/>
    <x v="2"/>
  </r>
  <r>
    <d v="2024-03-06T00:00:00"/>
    <x v="0"/>
    <x v="0"/>
    <x v="1"/>
    <x v="129"/>
    <n v="8406"/>
    <n v="20"/>
    <x v="129"/>
    <x v="129"/>
    <x v="0"/>
  </r>
  <r>
    <d v="2024-11-17T00:00:00"/>
    <x v="1"/>
    <x v="1"/>
    <x v="2"/>
    <x v="130"/>
    <n v="10767"/>
    <n v="20"/>
    <x v="130"/>
    <x v="130"/>
    <x v="0"/>
  </r>
  <r>
    <d v="2022-07-09T00:00:00"/>
    <x v="1"/>
    <x v="0"/>
    <x v="0"/>
    <x v="131"/>
    <n v="7451"/>
    <n v="0"/>
    <x v="131"/>
    <x v="131"/>
    <x v="1"/>
  </r>
  <r>
    <d v="2023-09-25T00:00:00"/>
    <x v="2"/>
    <x v="1"/>
    <x v="3"/>
    <x v="132"/>
    <n v="10300"/>
    <n v="5"/>
    <x v="132"/>
    <x v="132"/>
    <x v="2"/>
  </r>
  <r>
    <d v="2023-09-20T00:00:00"/>
    <x v="2"/>
    <x v="3"/>
    <x v="1"/>
    <x v="133"/>
    <n v="9803"/>
    <n v="0"/>
    <x v="133"/>
    <x v="133"/>
    <x v="2"/>
  </r>
  <r>
    <d v="2024-08-30T00:00:00"/>
    <x v="1"/>
    <x v="3"/>
    <x v="0"/>
    <x v="134"/>
    <n v="7252"/>
    <n v="20"/>
    <x v="134"/>
    <x v="134"/>
    <x v="0"/>
  </r>
  <r>
    <d v="2023-12-11T00:00:00"/>
    <x v="3"/>
    <x v="0"/>
    <x v="3"/>
    <x v="135"/>
    <n v="4355"/>
    <n v="10"/>
    <x v="135"/>
    <x v="135"/>
    <x v="2"/>
  </r>
  <r>
    <d v="2023-10-11T00:00:00"/>
    <x v="1"/>
    <x v="2"/>
    <x v="1"/>
    <x v="130"/>
    <n v="5702"/>
    <n v="20"/>
    <x v="136"/>
    <x v="136"/>
    <x v="2"/>
  </r>
  <r>
    <d v="2022-11-14T00:00:00"/>
    <x v="0"/>
    <x v="1"/>
    <x v="1"/>
    <x v="136"/>
    <n v="10943"/>
    <n v="15"/>
    <x v="137"/>
    <x v="137"/>
    <x v="1"/>
  </r>
  <r>
    <d v="2023-11-15T00:00:00"/>
    <x v="1"/>
    <x v="1"/>
    <x v="2"/>
    <x v="137"/>
    <n v="9581"/>
    <n v="20"/>
    <x v="138"/>
    <x v="138"/>
    <x v="2"/>
  </r>
  <r>
    <d v="2023-10-26T00:00:00"/>
    <x v="0"/>
    <x v="3"/>
    <x v="3"/>
    <x v="138"/>
    <n v="1972"/>
    <n v="20"/>
    <x v="139"/>
    <x v="139"/>
    <x v="2"/>
  </r>
  <r>
    <d v="2023-03-18T00:00:00"/>
    <x v="2"/>
    <x v="3"/>
    <x v="0"/>
    <x v="139"/>
    <n v="4832"/>
    <n v="15"/>
    <x v="140"/>
    <x v="140"/>
    <x v="2"/>
  </r>
  <r>
    <d v="2023-07-18T00:00:00"/>
    <x v="3"/>
    <x v="2"/>
    <x v="0"/>
    <x v="140"/>
    <n v="5224"/>
    <n v="5"/>
    <x v="141"/>
    <x v="141"/>
    <x v="2"/>
  </r>
  <r>
    <d v="2024-08-09T00:00:00"/>
    <x v="2"/>
    <x v="2"/>
    <x v="0"/>
    <x v="141"/>
    <n v="10495"/>
    <n v="20"/>
    <x v="142"/>
    <x v="142"/>
    <x v="0"/>
  </r>
  <r>
    <d v="2023-11-30T00:00:00"/>
    <x v="0"/>
    <x v="2"/>
    <x v="3"/>
    <x v="142"/>
    <n v="6385"/>
    <n v="0"/>
    <x v="143"/>
    <x v="143"/>
    <x v="2"/>
  </r>
  <r>
    <d v="2022-04-23T00:00:00"/>
    <x v="0"/>
    <x v="0"/>
    <x v="0"/>
    <x v="143"/>
    <n v="8034"/>
    <n v="20"/>
    <x v="144"/>
    <x v="144"/>
    <x v="1"/>
  </r>
  <r>
    <d v="2022-01-02T00:00:00"/>
    <x v="0"/>
    <x v="3"/>
    <x v="0"/>
    <x v="144"/>
    <n v="5164"/>
    <n v="0"/>
    <x v="145"/>
    <x v="145"/>
    <x v="1"/>
  </r>
  <r>
    <d v="2023-10-04T00:00:00"/>
    <x v="3"/>
    <x v="0"/>
    <x v="0"/>
    <x v="145"/>
    <n v="9616"/>
    <n v="15"/>
    <x v="146"/>
    <x v="146"/>
    <x v="2"/>
  </r>
  <r>
    <d v="2022-08-08T00:00:00"/>
    <x v="1"/>
    <x v="3"/>
    <x v="2"/>
    <x v="146"/>
    <n v="1521"/>
    <n v="20"/>
    <x v="147"/>
    <x v="147"/>
    <x v="1"/>
  </r>
  <r>
    <d v="2024-05-04T00:00:00"/>
    <x v="2"/>
    <x v="3"/>
    <x v="2"/>
    <x v="147"/>
    <n v="3160"/>
    <n v="15"/>
    <x v="148"/>
    <x v="148"/>
    <x v="0"/>
  </r>
  <r>
    <d v="2023-01-20T00:00:00"/>
    <x v="2"/>
    <x v="1"/>
    <x v="3"/>
    <x v="148"/>
    <n v="10765"/>
    <n v="15"/>
    <x v="149"/>
    <x v="149"/>
    <x v="2"/>
  </r>
  <r>
    <d v="2024-12-12T00:00:00"/>
    <x v="1"/>
    <x v="3"/>
    <x v="3"/>
    <x v="149"/>
    <n v="11482"/>
    <n v="5"/>
    <x v="150"/>
    <x v="150"/>
    <x v="0"/>
  </r>
  <r>
    <d v="2023-12-31T00:00:00"/>
    <x v="2"/>
    <x v="3"/>
    <x v="0"/>
    <x v="150"/>
    <n v="11002"/>
    <n v="20"/>
    <x v="151"/>
    <x v="151"/>
    <x v="2"/>
  </r>
  <r>
    <d v="2022-09-04T00:00:00"/>
    <x v="3"/>
    <x v="0"/>
    <x v="2"/>
    <x v="151"/>
    <n v="8728"/>
    <n v="0"/>
    <x v="152"/>
    <x v="152"/>
    <x v="1"/>
  </r>
  <r>
    <d v="2024-04-15T00:00:00"/>
    <x v="2"/>
    <x v="3"/>
    <x v="1"/>
    <x v="152"/>
    <n v="9636"/>
    <n v="0"/>
    <x v="153"/>
    <x v="153"/>
    <x v="0"/>
  </r>
  <r>
    <d v="2022-07-22T00:00:00"/>
    <x v="0"/>
    <x v="0"/>
    <x v="1"/>
    <x v="153"/>
    <n v="3553"/>
    <n v="20"/>
    <x v="154"/>
    <x v="154"/>
    <x v="1"/>
  </r>
  <r>
    <d v="2022-05-03T00:00:00"/>
    <x v="1"/>
    <x v="2"/>
    <x v="0"/>
    <x v="154"/>
    <n v="4082"/>
    <n v="5"/>
    <x v="155"/>
    <x v="155"/>
    <x v="1"/>
  </r>
  <r>
    <d v="2023-02-05T00:00:00"/>
    <x v="3"/>
    <x v="3"/>
    <x v="0"/>
    <x v="155"/>
    <n v="7257"/>
    <n v="5"/>
    <x v="156"/>
    <x v="156"/>
    <x v="2"/>
  </r>
  <r>
    <d v="2024-02-06T00:00:00"/>
    <x v="1"/>
    <x v="3"/>
    <x v="2"/>
    <x v="156"/>
    <n v="1066"/>
    <n v="5"/>
    <x v="157"/>
    <x v="157"/>
    <x v="0"/>
  </r>
  <r>
    <d v="2022-10-21T00:00:00"/>
    <x v="3"/>
    <x v="0"/>
    <x v="2"/>
    <x v="157"/>
    <n v="2981"/>
    <n v="0"/>
    <x v="158"/>
    <x v="158"/>
    <x v="1"/>
  </r>
  <r>
    <d v="2022-10-07T00:00:00"/>
    <x v="0"/>
    <x v="2"/>
    <x v="2"/>
    <x v="158"/>
    <n v="8010"/>
    <n v="15"/>
    <x v="159"/>
    <x v="159"/>
    <x v="1"/>
  </r>
  <r>
    <d v="2024-06-02T00:00:00"/>
    <x v="1"/>
    <x v="1"/>
    <x v="3"/>
    <x v="159"/>
    <n v="7782"/>
    <n v="5"/>
    <x v="160"/>
    <x v="160"/>
    <x v="0"/>
  </r>
  <r>
    <d v="2022-07-17T00:00:00"/>
    <x v="2"/>
    <x v="2"/>
    <x v="3"/>
    <x v="160"/>
    <n v="5386"/>
    <n v="0"/>
    <x v="161"/>
    <x v="161"/>
    <x v="1"/>
  </r>
  <r>
    <d v="2024-09-08T00:00:00"/>
    <x v="3"/>
    <x v="0"/>
    <x v="0"/>
    <x v="158"/>
    <n v="8264"/>
    <n v="0"/>
    <x v="162"/>
    <x v="162"/>
    <x v="0"/>
  </r>
  <r>
    <d v="2024-01-22T00:00:00"/>
    <x v="1"/>
    <x v="2"/>
    <x v="3"/>
    <x v="161"/>
    <n v="2965"/>
    <n v="15"/>
    <x v="163"/>
    <x v="163"/>
    <x v="0"/>
  </r>
  <r>
    <d v="2022-05-24T00:00:00"/>
    <x v="2"/>
    <x v="0"/>
    <x v="2"/>
    <x v="162"/>
    <n v="10251"/>
    <n v="20"/>
    <x v="164"/>
    <x v="164"/>
    <x v="1"/>
  </r>
  <r>
    <d v="2023-09-01T00:00:00"/>
    <x v="1"/>
    <x v="0"/>
    <x v="2"/>
    <x v="163"/>
    <n v="11983"/>
    <n v="20"/>
    <x v="165"/>
    <x v="165"/>
    <x v="2"/>
  </r>
  <r>
    <d v="2022-07-06T00:00:00"/>
    <x v="1"/>
    <x v="1"/>
    <x v="3"/>
    <x v="164"/>
    <n v="11307"/>
    <n v="5"/>
    <x v="166"/>
    <x v="166"/>
    <x v="1"/>
  </r>
  <r>
    <d v="2023-04-09T00:00:00"/>
    <x v="1"/>
    <x v="3"/>
    <x v="1"/>
    <x v="165"/>
    <n v="3813"/>
    <n v="5"/>
    <x v="167"/>
    <x v="167"/>
    <x v="2"/>
  </r>
  <r>
    <d v="2023-10-22T00:00:00"/>
    <x v="3"/>
    <x v="0"/>
    <x v="0"/>
    <x v="166"/>
    <n v="795"/>
    <n v="15"/>
    <x v="168"/>
    <x v="168"/>
    <x v="2"/>
  </r>
  <r>
    <d v="2024-02-03T00:00:00"/>
    <x v="2"/>
    <x v="0"/>
    <x v="1"/>
    <x v="167"/>
    <n v="11672"/>
    <n v="5"/>
    <x v="169"/>
    <x v="169"/>
    <x v="0"/>
  </r>
  <r>
    <d v="2024-08-12T00:00:00"/>
    <x v="0"/>
    <x v="1"/>
    <x v="0"/>
    <x v="168"/>
    <n v="6122"/>
    <n v="15"/>
    <x v="170"/>
    <x v="170"/>
    <x v="0"/>
  </r>
  <r>
    <d v="2023-02-07T00:00:00"/>
    <x v="3"/>
    <x v="0"/>
    <x v="1"/>
    <x v="169"/>
    <n v="2372"/>
    <n v="0"/>
    <x v="171"/>
    <x v="171"/>
    <x v="2"/>
  </r>
  <r>
    <d v="2022-05-27T00:00:00"/>
    <x v="3"/>
    <x v="3"/>
    <x v="3"/>
    <x v="170"/>
    <n v="8095"/>
    <n v="5"/>
    <x v="172"/>
    <x v="172"/>
    <x v="1"/>
  </r>
  <r>
    <d v="2024-05-13T00:00:00"/>
    <x v="3"/>
    <x v="1"/>
    <x v="0"/>
    <x v="171"/>
    <n v="8829"/>
    <n v="0"/>
    <x v="173"/>
    <x v="173"/>
    <x v="0"/>
  </r>
  <r>
    <d v="2023-05-04T00:00:00"/>
    <x v="0"/>
    <x v="3"/>
    <x v="0"/>
    <x v="172"/>
    <n v="4249"/>
    <n v="10"/>
    <x v="174"/>
    <x v="174"/>
    <x v="2"/>
  </r>
  <r>
    <d v="2024-07-17T00:00:00"/>
    <x v="2"/>
    <x v="3"/>
    <x v="0"/>
    <x v="173"/>
    <n v="6333"/>
    <n v="15"/>
    <x v="175"/>
    <x v="175"/>
    <x v="0"/>
  </r>
  <r>
    <d v="2023-07-05T00:00:00"/>
    <x v="2"/>
    <x v="1"/>
    <x v="2"/>
    <x v="174"/>
    <n v="11600"/>
    <n v="10"/>
    <x v="176"/>
    <x v="176"/>
    <x v="2"/>
  </r>
  <r>
    <d v="2022-12-04T00:00:00"/>
    <x v="2"/>
    <x v="0"/>
    <x v="2"/>
    <x v="175"/>
    <n v="10309"/>
    <n v="5"/>
    <x v="177"/>
    <x v="177"/>
    <x v="1"/>
  </r>
  <r>
    <d v="2024-05-21T00:00:00"/>
    <x v="1"/>
    <x v="3"/>
    <x v="1"/>
    <x v="176"/>
    <n v="8628"/>
    <n v="0"/>
    <x v="178"/>
    <x v="178"/>
    <x v="0"/>
  </r>
  <r>
    <d v="2023-10-03T00:00:00"/>
    <x v="1"/>
    <x v="3"/>
    <x v="3"/>
    <x v="177"/>
    <n v="2855"/>
    <n v="5"/>
    <x v="179"/>
    <x v="179"/>
    <x v="2"/>
  </r>
  <r>
    <d v="2023-04-18T00:00:00"/>
    <x v="1"/>
    <x v="3"/>
    <x v="2"/>
    <x v="178"/>
    <n v="6670"/>
    <n v="10"/>
    <x v="180"/>
    <x v="180"/>
    <x v="2"/>
  </r>
  <r>
    <d v="2022-05-31T00:00:00"/>
    <x v="0"/>
    <x v="3"/>
    <x v="0"/>
    <x v="179"/>
    <n v="4715"/>
    <n v="5"/>
    <x v="181"/>
    <x v="181"/>
    <x v="1"/>
  </r>
  <r>
    <d v="2022-09-20T00:00:00"/>
    <x v="1"/>
    <x v="1"/>
    <x v="2"/>
    <x v="180"/>
    <n v="6259"/>
    <n v="20"/>
    <x v="182"/>
    <x v="182"/>
    <x v="1"/>
  </r>
  <r>
    <d v="2022-05-24T00:00:00"/>
    <x v="0"/>
    <x v="1"/>
    <x v="3"/>
    <x v="181"/>
    <n v="9407"/>
    <n v="10"/>
    <x v="183"/>
    <x v="183"/>
    <x v="1"/>
  </r>
  <r>
    <d v="2022-12-12T00:00:00"/>
    <x v="2"/>
    <x v="2"/>
    <x v="2"/>
    <x v="182"/>
    <n v="6293"/>
    <n v="5"/>
    <x v="184"/>
    <x v="184"/>
    <x v="1"/>
  </r>
  <r>
    <d v="2023-09-16T00:00:00"/>
    <x v="1"/>
    <x v="2"/>
    <x v="0"/>
    <x v="183"/>
    <n v="5321"/>
    <n v="0"/>
    <x v="185"/>
    <x v="185"/>
    <x v="2"/>
  </r>
  <r>
    <d v="2024-10-13T00:00:00"/>
    <x v="1"/>
    <x v="3"/>
    <x v="1"/>
    <x v="184"/>
    <n v="10592"/>
    <n v="5"/>
    <x v="186"/>
    <x v="186"/>
    <x v="0"/>
  </r>
  <r>
    <d v="2024-05-30T00:00:00"/>
    <x v="3"/>
    <x v="0"/>
    <x v="0"/>
    <x v="185"/>
    <n v="3207"/>
    <n v="0"/>
    <x v="187"/>
    <x v="187"/>
    <x v="0"/>
  </r>
  <r>
    <d v="2022-01-02T00:00:00"/>
    <x v="0"/>
    <x v="3"/>
    <x v="3"/>
    <x v="186"/>
    <n v="3214"/>
    <n v="20"/>
    <x v="188"/>
    <x v="188"/>
    <x v="1"/>
  </r>
  <r>
    <d v="2024-06-15T00:00:00"/>
    <x v="2"/>
    <x v="0"/>
    <x v="1"/>
    <x v="187"/>
    <n v="10474"/>
    <n v="5"/>
    <x v="189"/>
    <x v="189"/>
    <x v="0"/>
  </r>
  <r>
    <d v="2022-09-11T00:00:00"/>
    <x v="3"/>
    <x v="3"/>
    <x v="2"/>
    <x v="188"/>
    <n v="4170"/>
    <n v="20"/>
    <x v="190"/>
    <x v="190"/>
    <x v="1"/>
  </r>
  <r>
    <d v="2023-03-29T00:00:00"/>
    <x v="3"/>
    <x v="2"/>
    <x v="2"/>
    <x v="189"/>
    <n v="9490"/>
    <n v="10"/>
    <x v="191"/>
    <x v="191"/>
    <x v="2"/>
  </r>
  <r>
    <d v="2024-11-26T00:00:00"/>
    <x v="2"/>
    <x v="2"/>
    <x v="2"/>
    <x v="190"/>
    <n v="10639"/>
    <n v="0"/>
    <x v="192"/>
    <x v="192"/>
    <x v="0"/>
  </r>
  <r>
    <d v="2024-10-11T00:00:00"/>
    <x v="3"/>
    <x v="0"/>
    <x v="1"/>
    <x v="191"/>
    <n v="5385"/>
    <n v="10"/>
    <x v="193"/>
    <x v="193"/>
    <x v="0"/>
  </r>
  <r>
    <d v="2022-01-09T00:00:00"/>
    <x v="0"/>
    <x v="3"/>
    <x v="0"/>
    <x v="192"/>
    <n v="6846"/>
    <n v="0"/>
    <x v="194"/>
    <x v="194"/>
    <x v="1"/>
  </r>
  <r>
    <d v="2024-03-26T00:00:00"/>
    <x v="0"/>
    <x v="0"/>
    <x v="1"/>
    <x v="193"/>
    <n v="695"/>
    <n v="20"/>
    <x v="195"/>
    <x v="195"/>
    <x v="0"/>
  </r>
  <r>
    <d v="2022-07-27T00:00:00"/>
    <x v="1"/>
    <x v="2"/>
    <x v="1"/>
    <x v="194"/>
    <n v="1238"/>
    <n v="15"/>
    <x v="196"/>
    <x v="196"/>
    <x v="1"/>
  </r>
  <r>
    <d v="2023-02-08T00:00:00"/>
    <x v="3"/>
    <x v="3"/>
    <x v="3"/>
    <x v="195"/>
    <n v="10128"/>
    <n v="5"/>
    <x v="197"/>
    <x v="197"/>
    <x v="2"/>
  </r>
  <r>
    <d v="2022-06-01T00:00:00"/>
    <x v="1"/>
    <x v="3"/>
    <x v="1"/>
    <x v="196"/>
    <n v="11216"/>
    <n v="20"/>
    <x v="198"/>
    <x v="198"/>
    <x v="1"/>
  </r>
  <r>
    <d v="2022-02-23T00:00:00"/>
    <x v="3"/>
    <x v="0"/>
    <x v="2"/>
    <x v="197"/>
    <n v="2810"/>
    <n v="0"/>
    <x v="199"/>
    <x v="199"/>
    <x v="1"/>
  </r>
  <r>
    <d v="2023-09-20T00:00:00"/>
    <x v="0"/>
    <x v="1"/>
    <x v="0"/>
    <x v="198"/>
    <n v="4936"/>
    <n v="0"/>
    <x v="200"/>
    <x v="200"/>
    <x v="2"/>
  </r>
  <r>
    <d v="2023-08-10T00:00:00"/>
    <x v="0"/>
    <x v="0"/>
    <x v="0"/>
    <x v="199"/>
    <n v="1949"/>
    <n v="0"/>
    <x v="201"/>
    <x v="201"/>
    <x v="2"/>
  </r>
  <r>
    <d v="2022-04-14T00:00:00"/>
    <x v="0"/>
    <x v="2"/>
    <x v="0"/>
    <x v="200"/>
    <n v="3990"/>
    <n v="0"/>
    <x v="202"/>
    <x v="202"/>
    <x v="1"/>
  </r>
  <r>
    <d v="2022-09-11T00:00:00"/>
    <x v="3"/>
    <x v="2"/>
    <x v="2"/>
    <x v="201"/>
    <n v="3735"/>
    <n v="5"/>
    <x v="203"/>
    <x v="203"/>
    <x v="1"/>
  </r>
  <r>
    <d v="2023-05-25T00:00:00"/>
    <x v="0"/>
    <x v="2"/>
    <x v="2"/>
    <x v="202"/>
    <n v="3501"/>
    <n v="10"/>
    <x v="204"/>
    <x v="204"/>
    <x v="2"/>
  </r>
  <r>
    <d v="2022-04-09T00:00:00"/>
    <x v="3"/>
    <x v="2"/>
    <x v="2"/>
    <x v="203"/>
    <n v="4479"/>
    <n v="15"/>
    <x v="205"/>
    <x v="205"/>
    <x v="1"/>
  </r>
  <r>
    <d v="2022-06-02T00:00:00"/>
    <x v="1"/>
    <x v="2"/>
    <x v="2"/>
    <x v="204"/>
    <n v="10783"/>
    <n v="5"/>
    <x v="206"/>
    <x v="206"/>
    <x v="1"/>
  </r>
  <r>
    <d v="2024-07-02T00:00:00"/>
    <x v="3"/>
    <x v="1"/>
    <x v="2"/>
    <x v="205"/>
    <n v="8705"/>
    <n v="0"/>
    <x v="207"/>
    <x v="207"/>
    <x v="0"/>
  </r>
  <r>
    <d v="2024-05-27T00:00:00"/>
    <x v="1"/>
    <x v="3"/>
    <x v="1"/>
    <x v="206"/>
    <n v="3537"/>
    <n v="5"/>
    <x v="208"/>
    <x v="208"/>
    <x v="0"/>
  </r>
  <r>
    <d v="2022-12-04T00:00:00"/>
    <x v="3"/>
    <x v="0"/>
    <x v="2"/>
    <x v="207"/>
    <n v="4162"/>
    <n v="20"/>
    <x v="209"/>
    <x v="209"/>
    <x v="1"/>
  </r>
  <r>
    <d v="2024-04-01T00:00:00"/>
    <x v="1"/>
    <x v="0"/>
    <x v="2"/>
    <x v="208"/>
    <n v="358"/>
    <n v="0"/>
    <x v="210"/>
    <x v="210"/>
    <x v="0"/>
  </r>
  <r>
    <d v="2024-08-14T00:00:00"/>
    <x v="0"/>
    <x v="2"/>
    <x v="2"/>
    <x v="209"/>
    <n v="11422"/>
    <n v="15"/>
    <x v="211"/>
    <x v="211"/>
    <x v="0"/>
  </r>
  <r>
    <d v="2022-06-10T00:00:00"/>
    <x v="1"/>
    <x v="0"/>
    <x v="2"/>
    <x v="210"/>
    <n v="5238"/>
    <n v="0"/>
    <x v="212"/>
    <x v="212"/>
    <x v="1"/>
  </r>
  <r>
    <d v="2024-03-11T00:00:00"/>
    <x v="0"/>
    <x v="2"/>
    <x v="0"/>
    <x v="211"/>
    <n v="3271"/>
    <n v="15"/>
    <x v="213"/>
    <x v="213"/>
    <x v="0"/>
  </r>
  <r>
    <d v="2023-02-02T00:00:00"/>
    <x v="0"/>
    <x v="1"/>
    <x v="2"/>
    <x v="212"/>
    <n v="10019"/>
    <n v="15"/>
    <x v="214"/>
    <x v="214"/>
    <x v="2"/>
  </r>
  <r>
    <d v="2024-03-26T00:00:00"/>
    <x v="1"/>
    <x v="1"/>
    <x v="1"/>
    <x v="213"/>
    <n v="8614"/>
    <n v="10"/>
    <x v="215"/>
    <x v="215"/>
    <x v="0"/>
  </r>
  <r>
    <d v="2023-02-05T00:00:00"/>
    <x v="3"/>
    <x v="3"/>
    <x v="1"/>
    <x v="214"/>
    <n v="9928"/>
    <n v="10"/>
    <x v="216"/>
    <x v="216"/>
    <x v="2"/>
  </r>
  <r>
    <d v="2023-10-02T00:00:00"/>
    <x v="3"/>
    <x v="1"/>
    <x v="1"/>
    <x v="215"/>
    <n v="9654"/>
    <n v="5"/>
    <x v="217"/>
    <x v="217"/>
    <x v="2"/>
  </r>
  <r>
    <d v="2024-11-22T00:00:00"/>
    <x v="2"/>
    <x v="1"/>
    <x v="3"/>
    <x v="216"/>
    <n v="11792"/>
    <n v="5"/>
    <x v="218"/>
    <x v="218"/>
    <x v="0"/>
  </r>
  <r>
    <d v="2023-11-19T00:00:00"/>
    <x v="3"/>
    <x v="3"/>
    <x v="0"/>
    <x v="217"/>
    <n v="3645"/>
    <n v="15"/>
    <x v="219"/>
    <x v="219"/>
    <x v="2"/>
  </r>
  <r>
    <d v="2023-04-05T00:00:00"/>
    <x v="2"/>
    <x v="0"/>
    <x v="2"/>
    <x v="218"/>
    <n v="2786"/>
    <n v="0"/>
    <x v="220"/>
    <x v="220"/>
    <x v="2"/>
  </r>
  <r>
    <d v="2024-08-12T00:00:00"/>
    <x v="3"/>
    <x v="2"/>
    <x v="3"/>
    <x v="219"/>
    <n v="861"/>
    <n v="20"/>
    <x v="221"/>
    <x v="221"/>
    <x v="0"/>
  </r>
  <r>
    <d v="2023-04-15T00:00:00"/>
    <x v="3"/>
    <x v="2"/>
    <x v="2"/>
    <x v="220"/>
    <n v="4281"/>
    <n v="20"/>
    <x v="222"/>
    <x v="222"/>
    <x v="2"/>
  </r>
  <r>
    <d v="2024-11-11T00:00:00"/>
    <x v="0"/>
    <x v="0"/>
    <x v="3"/>
    <x v="221"/>
    <n v="6561"/>
    <n v="0"/>
    <x v="223"/>
    <x v="223"/>
    <x v="0"/>
  </r>
  <r>
    <d v="2024-01-20T00:00:00"/>
    <x v="2"/>
    <x v="3"/>
    <x v="3"/>
    <x v="222"/>
    <n v="2037"/>
    <n v="0"/>
    <x v="224"/>
    <x v="224"/>
    <x v="0"/>
  </r>
  <r>
    <d v="2022-02-07T00:00:00"/>
    <x v="3"/>
    <x v="0"/>
    <x v="1"/>
    <x v="223"/>
    <n v="9396"/>
    <n v="10"/>
    <x v="225"/>
    <x v="225"/>
    <x v="1"/>
  </r>
  <r>
    <d v="2022-08-18T00:00:00"/>
    <x v="2"/>
    <x v="1"/>
    <x v="1"/>
    <x v="224"/>
    <n v="3854"/>
    <n v="20"/>
    <x v="226"/>
    <x v="226"/>
    <x v="1"/>
  </r>
  <r>
    <d v="2023-07-17T00:00:00"/>
    <x v="0"/>
    <x v="3"/>
    <x v="3"/>
    <x v="225"/>
    <n v="10218"/>
    <n v="15"/>
    <x v="227"/>
    <x v="227"/>
    <x v="2"/>
  </r>
  <r>
    <d v="2023-03-14T00:00:00"/>
    <x v="0"/>
    <x v="3"/>
    <x v="1"/>
    <x v="226"/>
    <n v="11415"/>
    <n v="5"/>
    <x v="228"/>
    <x v="228"/>
    <x v="2"/>
  </r>
  <r>
    <d v="2022-01-27T00:00:00"/>
    <x v="2"/>
    <x v="3"/>
    <x v="3"/>
    <x v="227"/>
    <n v="9426"/>
    <n v="10"/>
    <x v="229"/>
    <x v="229"/>
    <x v="1"/>
  </r>
  <r>
    <d v="2022-08-14T00:00:00"/>
    <x v="0"/>
    <x v="2"/>
    <x v="0"/>
    <x v="228"/>
    <n v="7395"/>
    <n v="20"/>
    <x v="230"/>
    <x v="230"/>
    <x v="1"/>
  </r>
  <r>
    <d v="2024-03-08T00:00:00"/>
    <x v="1"/>
    <x v="0"/>
    <x v="1"/>
    <x v="229"/>
    <n v="8566"/>
    <n v="0"/>
    <x v="231"/>
    <x v="231"/>
    <x v="0"/>
  </r>
  <r>
    <d v="2022-10-11T00:00:00"/>
    <x v="1"/>
    <x v="3"/>
    <x v="1"/>
    <x v="230"/>
    <n v="594"/>
    <n v="20"/>
    <x v="232"/>
    <x v="232"/>
    <x v="1"/>
  </r>
  <r>
    <d v="2024-05-28T00:00:00"/>
    <x v="0"/>
    <x v="3"/>
    <x v="1"/>
    <x v="231"/>
    <n v="8512"/>
    <n v="15"/>
    <x v="233"/>
    <x v="233"/>
    <x v="0"/>
  </r>
  <r>
    <d v="2024-08-17T00:00:00"/>
    <x v="1"/>
    <x v="3"/>
    <x v="0"/>
    <x v="232"/>
    <n v="11734"/>
    <n v="10"/>
    <x v="234"/>
    <x v="234"/>
    <x v="0"/>
  </r>
  <r>
    <d v="2023-03-29T00:00:00"/>
    <x v="3"/>
    <x v="0"/>
    <x v="3"/>
    <x v="233"/>
    <n v="9530"/>
    <n v="0"/>
    <x v="235"/>
    <x v="235"/>
    <x v="2"/>
  </r>
  <r>
    <d v="2024-10-16T00:00:00"/>
    <x v="2"/>
    <x v="2"/>
    <x v="2"/>
    <x v="234"/>
    <n v="5630"/>
    <n v="15"/>
    <x v="236"/>
    <x v="236"/>
    <x v="0"/>
  </r>
  <r>
    <d v="2024-03-26T00:00:00"/>
    <x v="3"/>
    <x v="1"/>
    <x v="1"/>
    <x v="235"/>
    <n v="4955"/>
    <n v="5"/>
    <x v="237"/>
    <x v="237"/>
    <x v="0"/>
  </r>
  <r>
    <d v="2023-10-21T00:00:00"/>
    <x v="2"/>
    <x v="2"/>
    <x v="3"/>
    <x v="236"/>
    <n v="1409"/>
    <n v="10"/>
    <x v="238"/>
    <x v="238"/>
    <x v="2"/>
  </r>
  <r>
    <d v="2023-07-01T00:00:00"/>
    <x v="0"/>
    <x v="3"/>
    <x v="0"/>
    <x v="237"/>
    <n v="4071"/>
    <n v="15"/>
    <x v="239"/>
    <x v="239"/>
    <x v="2"/>
  </r>
  <r>
    <d v="2024-12-08T00:00:00"/>
    <x v="3"/>
    <x v="2"/>
    <x v="2"/>
    <x v="238"/>
    <n v="8863"/>
    <n v="15"/>
    <x v="240"/>
    <x v="240"/>
    <x v="0"/>
  </r>
  <r>
    <d v="2022-01-17T00:00:00"/>
    <x v="0"/>
    <x v="2"/>
    <x v="1"/>
    <x v="239"/>
    <n v="6423"/>
    <n v="0"/>
    <x v="241"/>
    <x v="241"/>
    <x v="1"/>
  </r>
  <r>
    <d v="2022-06-07T00:00:00"/>
    <x v="0"/>
    <x v="1"/>
    <x v="0"/>
    <x v="240"/>
    <n v="7947"/>
    <n v="5"/>
    <x v="242"/>
    <x v="242"/>
    <x v="1"/>
  </r>
  <r>
    <d v="2023-04-22T00:00:00"/>
    <x v="2"/>
    <x v="0"/>
    <x v="0"/>
    <x v="241"/>
    <n v="1474"/>
    <n v="15"/>
    <x v="243"/>
    <x v="243"/>
    <x v="2"/>
  </r>
  <r>
    <d v="2024-12-05T00:00:00"/>
    <x v="2"/>
    <x v="0"/>
    <x v="2"/>
    <x v="242"/>
    <n v="1464"/>
    <n v="10"/>
    <x v="244"/>
    <x v="244"/>
    <x v="0"/>
  </r>
  <r>
    <d v="2023-06-02T00:00:00"/>
    <x v="2"/>
    <x v="2"/>
    <x v="3"/>
    <x v="243"/>
    <n v="9584"/>
    <n v="15"/>
    <x v="245"/>
    <x v="245"/>
    <x v="2"/>
  </r>
  <r>
    <d v="2022-04-09T00:00:00"/>
    <x v="3"/>
    <x v="2"/>
    <x v="1"/>
    <x v="244"/>
    <n v="9775"/>
    <n v="20"/>
    <x v="246"/>
    <x v="246"/>
    <x v="1"/>
  </r>
  <r>
    <d v="2024-11-26T00:00:00"/>
    <x v="1"/>
    <x v="0"/>
    <x v="1"/>
    <x v="245"/>
    <n v="10503"/>
    <n v="10"/>
    <x v="247"/>
    <x v="247"/>
    <x v="0"/>
  </r>
  <r>
    <d v="2022-10-07T00:00:00"/>
    <x v="2"/>
    <x v="0"/>
    <x v="3"/>
    <x v="246"/>
    <n v="9337"/>
    <n v="10"/>
    <x v="248"/>
    <x v="248"/>
    <x v="1"/>
  </r>
  <r>
    <d v="2023-05-12T00:00:00"/>
    <x v="2"/>
    <x v="1"/>
    <x v="3"/>
    <x v="247"/>
    <n v="10483"/>
    <n v="15"/>
    <x v="249"/>
    <x v="249"/>
    <x v="2"/>
  </r>
  <r>
    <d v="2022-10-29T00:00:00"/>
    <x v="3"/>
    <x v="3"/>
    <x v="3"/>
    <x v="248"/>
    <n v="9012"/>
    <n v="0"/>
    <x v="250"/>
    <x v="250"/>
    <x v="1"/>
  </r>
  <r>
    <d v="2022-06-30T00:00:00"/>
    <x v="2"/>
    <x v="2"/>
    <x v="2"/>
    <x v="249"/>
    <n v="4766"/>
    <n v="10"/>
    <x v="251"/>
    <x v="251"/>
    <x v="1"/>
  </r>
  <r>
    <d v="2023-08-30T00:00:00"/>
    <x v="3"/>
    <x v="0"/>
    <x v="2"/>
    <x v="250"/>
    <n v="5838"/>
    <n v="20"/>
    <x v="252"/>
    <x v="252"/>
    <x v="2"/>
  </r>
  <r>
    <d v="2023-12-01T00:00:00"/>
    <x v="0"/>
    <x v="2"/>
    <x v="1"/>
    <x v="251"/>
    <n v="7411"/>
    <n v="0"/>
    <x v="253"/>
    <x v="253"/>
    <x v="2"/>
  </r>
  <r>
    <d v="2024-09-19T00:00:00"/>
    <x v="2"/>
    <x v="2"/>
    <x v="2"/>
    <x v="252"/>
    <n v="8734"/>
    <n v="0"/>
    <x v="254"/>
    <x v="254"/>
    <x v="0"/>
  </r>
  <r>
    <d v="2022-07-10T00:00:00"/>
    <x v="2"/>
    <x v="0"/>
    <x v="0"/>
    <x v="253"/>
    <n v="3100"/>
    <n v="0"/>
    <x v="255"/>
    <x v="255"/>
    <x v="1"/>
  </r>
  <r>
    <d v="2022-09-10T00:00:00"/>
    <x v="0"/>
    <x v="1"/>
    <x v="1"/>
    <x v="254"/>
    <n v="4907"/>
    <n v="10"/>
    <x v="256"/>
    <x v="256"/>
    <x v="1"/>
  </r>
  <r>
    <d v="2024-09-07T00:00:00"/>
    <x v="0"/>
    <x v="2"/>
    <x v="2"/>
    <x v="255"/>
    <n v="11388"/>
    <n v="0"/>
    <x v="257"/>
    <x v="257"/>
    <x v="0"/>
  </r>
  <r>
    <d v="2024-07-16T00:00:00"/>
    <x v="0"/>
    <x v="1"/>
    <x v="3"/>
    <x v="256"/>
    <n v="11094"/>
    <n v="15"/>
    <x v="258"/>
    <x v="258"/>
    <x v="0"/>
  </r>
  <r>
    <d v="2022-05-08T00:00:00"/>
    <x v="2"/>
    <x v="0"/>
    <x v="0"/>
    <x v="257"/>
    <n v="7562"/>
    <n v="0"/>
    <x v="259"/>
    <x v="259"/>
    <x v="1"/>
  </r>
  <r>
    <d v="2022-01-18T00:00:00"/>
    <x v="1"/>
    <x v="3"/>
    <x v="3"/>
    <x v="258"/>
    <n v="10765"/>
    <n v="20"/>
    <x v="260"/>
    <x v="260"/>
    <x v="1"/>
  </r>
  <r>
    <d v="2023-07-20T00:00:00"/>
    <x v="1"/>
    <x v="3"/>
    <x v="1"/>
    <x v="259"/>
    <n v="1841"/>
    <n v="5"/>
    <x v="261"/>
    <x v="261"/>
    <x v="2"/>
  </r>
  <r>
    <d v="2023-07-24T00:00:00"/>
    <x v="1"/>
    <x v="2"/>
    <x v="3"/>
    <x v="260"/>
    <n v="3065"/>
    <n v="20"/>
    <x v="251"/>
    <x v="262"/>
    <x v="2"/>
  </r>
  <r>
    <d v="2023-11-17T00:00:00"/>
    <x v="2"/>
    <x v="0"/>
    <x v="2"/>
    <x v="261"/>
    <n v="10606"/>
    <n v="10"/>
    <x v="262"/>
    <x v="263"/>
    <x v="2"/>
  </r>
  <r>
    <d v="2023-09-18T00:00:00"/>
    <x v="0"/>
    <x v="1"/>
    <x v="2"/>
    <x v="262"/>
    <n v="4791"/>
    <n v="0"/>
    <x v="263"/>
    <x v="264"/>
    <x v="2"/>
  </r>
  <r>
    <d v="2024-05-03T00:00:00"/>
    <x v="2"/>
    <x v="2"/>
    <x v="1"/>
    <x v="263"/>
    <n v="3383"/>
    <n v="0"/>
    <x v="264"/>
    <x v="265"/>
    <x v="0"/>
  </r>
  <r>
    <d v="2024-08-19T00:00:00"/>
    <x v="0"/>
    <x v="0"/>
    <x v="3"/>
    <x v="264"/>
    <n v="5656"/>
    <n v="15"/>
    <x v="265"/>
    <x v="266"/>
    <x v="0"/>
  </r>
  <r>
    <d v="2022-06-04T00:00:00"/>
    <x v="2"/>
    <x v="0"/>
    <x v="1"/>
    <x v="265"/>
    <n v="2157"/>
    <n v="0"/>
    <x v="266"/>
    <x v="267"/>
    <x v="1"/>
  </r>
  <r>
    <d v="2023-05-05T00:00:00"/>
    <x v="2"/>
    <x v="1"/>
    <x v="3"/>
    <x v="266"/>
    <n v="1069"/>
    <n v="20"/>
    <x v="267"/>
    <x v="268"/>
    <x v="2"/>
  </r>
  <r>
    <d v="2024-02-24T00:00:00"/>
    <x v="0"/>
    <x v="2"/>
    <x v="0"/>
    <x v="267"/>
    <n v="1722"/>
    <n v="10"/>
    <x v="268"/>
    <x v="269"/>
    <x v="0"/>
  </r>
  <r>
    <d v="2022-09-03T00:00:00"/>
    <x v="1"/>
    <x v="0"/>
    <x v="2"/>
    <x v="268"/>
    <n v="8898"/>
    <n v="5"/>
    <x v="269"/>
    <x v="270"/>
    <x v="1"/>
  </r>
  <r>
    <d v="2024-11-28T00:00:00"/>
    <x v="0"/>
    <x v="0"/>
    <x v="1"/>
    <x v="269"/>
    <n v="3272"/>
    <n v="0"/>
    <x v="270"/>
    <x v="271"/>
    <x v="0"/>
  </r>
  <r>
    <d v="2024-01-29T00:00:00"/>
    <x v="3"/>
    <x v="0"/>
    <x v="0"/>
    <x v="270"/>
    <n v="2172"/>
    <n v="5"/>
    <x v="271"/>
    <x v="272"/>
    <x v="0"/>
  </r>
  <r>
    <d v="2023-06-22T00:00:00"/>
    <x v="3"/>
    <x v="1"/>
    <x v="0"/>
    <x v="271"/>
    <n v="5899"/>
    <n v="0"/>
    <x v="272"/>
    <x v="273"/>
    <x v="2"/>
  </r>
  <r>
    <d v="2024-07-09T00:00:00"/>
    <x v="0"/>
    <x v="2"/>
    <x v="1"/>
    <x v="272"/>
    <n v="11186"/>
    <n v="10"/>
    <x v="273"/>
    <x v="274"/>
    <x v="0"/>
  </r>
  <r>
    <d v="2023-02-12T00:00:00"/>
    <x v="2"/>
    <x v="2"/>
    <x v="1"/>
    <x v="273"/>
    <n v="2569"/>
    <n v="20"/>
    <x v="274"/>
    <x v="275"/>
    <x v="2"/>
  </r>
  <r>
    <d v="2023-06-09T00:00:00"/>
    <x v="3"/>
    <x v="2"/>
    <x v="0"/>
    <x v="274"/>
    <n v="5575"/>
    <n v="10"/>
    <x v="275"/>
    <x v="276"/>
    <x v="2"/>
  </r>
  <r>
    <d v="2024-04-07T00:00:00"/>
    <x v="3"/>
    <x v="2"/>
    <x v="3"/>
    <x v="275"/>
    <n v="5049"/>
    <n v="5"/>
    <x v="276"/>
    <x v="277"/>
    <x v="0"/>
  </r>
  <r>
    <d v="2024-06-21T00:00:00"/>
    <x v="2"/>
    <x v="3"/>
    <x v="0"/>
    <x v="276"/>
    <n v="6871"/>
    <n v="0"/>
    <x v="277"/>
    <x v="278"/>
    <x v="0"/>
  </r>
  <r>
    <d v="2022-02-05T00:00:00"/>
    <x v="2"/>
    <x v="3"/>
    <x v="1"/>
    <x v="277"/>
    <n v="9673"/>
    <n v="5"/>
    <x v="278"/>
    <x v="279"/>
    <x v="1"/>
  </r>
  <r>
    <d v="2023-11-16T00:00:00"/>
    <x v="1"/>
    <x v="2"/>
    <x v="0"/>
    <x v="278"/>
    <n v="5372"/>
    <n v="20"/>
    <x v="279"/>
    <x v="280"/>
    <x v="2"/>
  </r>
  <r>
    <d v="2022-01-20T00:00:00"/>
    <x v="2"/>
    <x v="1"/>
    <x v="3"/>
    <x v="279"/>
    <n v="9931"/>
    <n v="10"/>
    <x v="280"/>
    <x v="281"/>
    <x v="1"/>
  </r>
  <r>
    <d v="2022-11-17T00:00:00"/>
    <x v="0"/>
    <x v="3"/>
    <x v="2"/>
    <x v="280"/>
    <n v="11545"/>
    <n v="5"/>
    <x v="281"/>
    <x v="282"/>
    <x v="1"/>
  </r>
  <r>
    <d v="2023-05-27T00:00:00"/>
    <x v="0"/>
    <x v="0"/>
    <x v="2"/>
    <x v="281"/>
    <n v="5763"/>
    <n v="5"/>
    <x v="282"/>
    <x v="283"/>
    <x v="2"/>
  </r>
  <r>
    <d v="2023-02-04T00:00:00"/>
    <x v="1"/>
    <x v="3"/>
    <x v="0"/>
    <x v="282"/>
    <n v="11825"/>
    <n v="20"/>
    <x v="283"/>
    <x v="284"/>
    <x v="2"/>
  </r>
  <r>
    <d v="2023-10-16T00:00:00"/>
    <x v="3"/>
    <x v="0"/>
    <x v="3"/>
    <x v="283"/>
    <n v="7750"/>
    <n v="0"/>
    <x v="284"/>
    <x v="285"/>
    <x v="2"/>
  </r>
  <r>
    <d v="2024-08-29T00:00:00"/>
    <x v="3"/>
    <x v="2"/>
    <x v="2"/>
    <x v="284"/>
    <n v="11389"/>
    <n v="5"/>
    <x v="285"/>
    <x v="286"/>
    <x v="0"/>
  </r>
  <r>
    <d v="2023-04-16T00:00:00"/>
    <x v="2"/>
    <x v="3"/>
    <x v="0"/>
    <x v="285"/>
    <n v="11395"/>
    <n v="20"/>
    <x v="286"/>
    <x v="287"/>
    <x v="2"/>
  </r>
  <r>
    <d v="2024-04-13T00:00:00"/>
    <x v="0"/>
    <x v="1"/>
    <x v="0"/>
    <x v="286"/>
    <n v="8720"/>
    <n v="0"/>
    <x v="287"/>
    <x v="288"/>
    <x v="0"/>
  </r>
  <r>
    <d v="2023-12-28T00:00:00"/>
    <x v="3"/>
    <x v="3"/>
    <x v="3"/>
    <x v="287"/>
    <n v="4259"/>
    <n v="0"/>
    <x v="288"/>
    <x v="289"/>
    <x v="2"/>
  </r>
  <r>
    <d v="2024-05-03T00:00:00"/>
    <x v="1"/>
    <x v="3"/>
    <x v="1"/>
    <x v="288"/>
    <n v="10385"/>
    <n v="10"/>
    <x v="289"/>
    <x v="290"/>
    <x v="0"/>
  </r>
  <r>
    <d v="2022-02-20T00:00:00"/>
    <x v="1"/>
    <x v="3"/>
    <x v="0"/>
    <x v="289"/>
    <n v="1613"/>
    <n v="20"/>
    <x v="290"/>
    <x v="291"/>
    <x v="1"/>
  </r>
  <r>
    <d v="2023-07-29T00:00:00"/>
    <x v="0"/>
    <x v="2"/>
    <x v="1"/>
    <x v="290"/>
    <n v="8147"/>
    <n v="0"/>
    <x v="291"/>
    <x v="292"/>
    <x v="2"/>
  </r>
  <r>
    <d v="2022-05-30T00:00:00"/>
    <x v="1"/>
    <x v="1"/>
    <x v="1"/>
    <x v="291"/>
    <n v="1370"/>
    <n v="10"/>
    <x v="292"/>
    <x v="293"/>
    <x v="1"/>
  </r>
  <r>
    <d v="2022-11-10T00:00:00"/>
    <x v="1"/>
    <x v="3"/>
    <x v="2"/>
    <x v="292"/>
    <n v="9466"/>
    <n v="15"/>
    <x v="293"/>
    <x v="294"/>
    <x v="1"/>
  </r>
  <r>
    <d v="2023-07-24T00:00:00"/>
    <x v="0"/>
    <x v="1"/>
    <x v="1"/>
    <x v="293"/>
    <n v="10230"/>
    <n v="20"/>
    <x v="294"/>
    <x v="295"/>
    <x v="2"/>
  </r>
  <r>
    <d v="2022-11-01T00:00:00"/>
    <x v="2"/>
    <x v="2"/>
    <x v="3"/>
    <x v="294"/>
    <n v="3585"/>
    <n v="15"/>
    <x v="295"/>
    <x v="296"/>
    <x v="1"/>
  </r>
  <r>
    <d v="2023-11-13T00:00:00"/>
    <x v="2"/>
    <x v="0"/>
    <x v="2"/>
    <x v="295"/>
    <n v="9249"/>
    <n v="0"/>
    <x v="296"/>
    <x v="297"/>
    <x v="2"/>
  </r>
  <r>
    <d v="2024-04-17T00:00:00"/>
    <x v="1"/>
    <x v="3"/>
    <x v="2"/>
    <x v="296"/>
    <n v="3395"/>
    <n v="20"/>
    <x v="297"/>
    <x v="298"/>
    <x v="0"/>
  </r>
  <r>
    <d v="2024-12-13T00:00:00"/>
    <x v="2"/>
    <x v="1"/>
    <x v="2"/>
    <x v="297"/>
    <n v="620"/>
    <n v="10"/>
    <x v="298"/>
    <x v="299"/>
    <x v="0"/>
  </r>
  <r>
    <d v="2024-09-29T00:00:00"/>
    <x v="2"/>
    <x v="1"/>
    <x v="0"/>
    <x v="298"/>
    <n v="2621"/>
    <n v="0"/>
    <x v="299"/>
    <x v="300"/>
    <x v="0"/>
  </r>
  <r>
    <d v="2023-03-20T00:00:00"/>
    <x v="1"/>
    <x v="2"/>
    <x v="0"/>
    <x v="299"/>
    <n v="855"/>
    <n v="20"/>
    <x v="300"/>
    <x v="301"/>
    <x v="2"/>
  </r>
  <r>
    <d v="2023-09-05T00:00:00"/>
    <x v="2"/>
    <x v="3"/>
    <x v="1"/>
    <x v="300"/>
    <n v="5239"/>
    <n v="20"/>
    <x v="301"/>
    <x v="302"/>
    <x v="2"/>
  </r>
  <r>
    <d v="2024-09-19T00:00:00"/>
    <x v="1"/>
    <x v="0"/>
    <x v="2"/>
    <x v="301"/>
    <n v="5732"/>
    <n v="15"/>
    <x v="302"/>
    <x v="303"/>
    <x v="0"/>
  </r>
  <r>
    <d v="2022-09-21T00:00:00"/>
    <x v="3"/>
    <x v="1"/>
    <x v="2"/>
    <x v="302"/>
    <n v="1686"/>
    <n v="0"/>
    <x v="303"/>
    <x v="304"/>
    <x v="1"/>
  </r>
  <r>
    <d v="2024-12-12T00:00:00"/>
    <x v="0"/>
    <x v="3"/>
    <x v="3"/>
    <x v="303"/>
    <n v="5063"/>
    <n v="10"/>
    <x v="304"/>
    <x v="305"/>
    <x v="0"/>
  </r>
  <r>
    <d v="2024-09-30T00:00:00"/>
    <x v="0"/>
    <x v="0"/>
    <x v="1"/>
    <x v="304"/>
    <n v="11539"/>
    <n v="10"/>
    <x v="305"/>
    <x v="306"/>
    <x v="0"/>
  </r>
  <r>
    <d v="2022-01-05T00:00:00"/>
    <x v="2"/>
    <x v="1"/>
    <x v="3"/>
    <x v="305"/>
    <n v="10919"/>
    <n v="0"/>
    <x v="306"/>
    <x v="307"/>
    <x v="1"/>
  </r>
  <r>
    <d v="2024-02-13T00:00:00"/>
    <x v="2"/>
    <x v="1"/>
    <x v="1"/>
    <x v="306"/>
    <n v="7154"/>
    <n v="0"/>
    <x v="307"/>
    <x v="308"/>
    <x v="0"/>
  </r>
  <r>
    <d v="2024-05-26T00:00:00"/>
    <x v="2"/>
    <x v="0"/>
    <x v="1"/>
    <x v="307"/>
    <n v="10496"/>
    <n v="5"/>
    <x v="308"/>
    <x v="309"/>
    <x v="0"/>
  </r>
  <r>
    <d v="2024-09-18T00:00:00"/>
    <x v="0"/>
    <x v="0"/>
    <x v="0"/>
    <x v="257"/>
    <n v="10422"/>
    <n v="15"/>
    <x v="309"/>
    <x v="310"/>
    <x v="0"/>
  </r>
  <r>
    <d v="2024-06-02T00:00:00"/>
    <x v="3"/>
    <x v="2"/>
    <x v="0"/>
    <x v="308"/>
    <n v="7937"/>
    <n v="0"/>
    <x v="310"/>
    <x v="311"/>
    <x v="0"/>
  </r>
  <r>
    <d v="2022-02-16T00:00:00"/>
    <x v="3"/>
    <x v="3"/>
    <x v="3"/>
    <x v="309"/>
    <n v="5141"/>
    <n v="0"/>
    <x v="311"/>
    <x v="312"/>
    <x v="1"/>
  </r>
  <r>
    <d v="2024-05-16T00:00:00"/>
    <x v="0"/>
    <x v="3"/>
    <x v="1"/>
    <x v="310"/>
    <n v="10655"/>
    <n v="5"/>
    <x v="312"/>
    <x v="313"/>
    <x v="0"/>
  </r>
  <r>
    <d v="2024-04-02T00:00:00"/>
    <x v="3"/>
    <x v="2"/>
    <x v="2"/>
    <x v="311"/>
    <n v="4167"/>
    <n v="5"/>
    <x v="313"/>
    <x v="314"/>
    <x v="0"/>
  </r>
  <r>
    <d v="2024-07-24T00:00:00"/>
    <x v="0"/>
    <x v="1"/>
    <x v="0"/>
    <x v="312"/>
    <n v="10918"/>
    <n v="20"/>
    <x v="314"/>
    <x v="315"/>
    <x v="0"/>
  </r>
  <r>
    <d v="2023-10-18T00:00:00"/>
    <x v="3"/>
    <x v="0"/>
    <x v="2"/>
    <x v="313"/>
    <n v="4093"/>
    <n v="10"/>
    <x v="315"/>
    <x v="316"/>
    <x v="2"/>
  </r>
  <r>
    <d v="2022-09-26T00:00:00"/>
    <x v="1"/>
    <x v="0"/>
    <x v="3"/>
    <x v="314"/>
    <n v="7673"/>
    <n v="15"/>
    <x v="316"/>
    <x v="317"/>
    <x v="1"/>
  </r>
  <r>
    <d v="2023-01-05T00:00:00"/>
    <x v="1"/>
    <x v="0"/>
    <x v="0"/>
    <x v="315"/>
    <n v="2813"/>
    <n v="20"/>
    <x v="317"/>
    <x v="318"/>
    <x v="2"/>
  </r>
  <r>
    <d v="2023-09-28T00:00:00"/>
    <x v="0"/>
    <x v="1"/>
    <x v="0"/>
    <x v="316"/>
    <n v="4103"/>
    <n v="0"/>
    <x v="318"/>
    <x v="319"/>
    <x v="2"/>
  </r>
  <r>
    <d v="2023-10-19T00:00:00"/>
    <x v="3"/>
    <x v="0"/>
    <x v="1"/>
    <x v="317"/>
    <n v="2627"/>
    <n v="5"/>
    <x v="319"/>
    <x v="320"/>
    <x v="2"/>
  </r>
  <r>
    <d v="2022-04-30T00:00:00"/>
    <x v="2"/>
    <x v="0"/>
    <x v="3"/>
    <x v="318"/>
    <n v="9109"/>
    <n v="10"/>
    <x v="320"/>
    <x v="321"/>
    <x v="1"/>
  </r>
  <r>
    <d v="2024-04-10T00:00:00"/>
    <x v="3"/>
    <x v="2"/>
    <x v="1"/>
    <x v="319"/>
    <n v="2465"/>
    <n v="20"/>
    <x v="321"/>
    <x v="322"/>
    <x v="0"/>
  </r>
  <r>
    <d v="2024-12-17T00:00:00"/>
    <x v="1"/>
    <x v="1"/>
    <x v="0"/>
    <x v="320"/>
    <n v="3608"/>
    <n v="10"/>
    <x v="322"/>
    <x v="323"/>
    <x v="0"/>
  </r>
  <r>
    <d v="2024-01-11T00:00:00"/>
    <x v="1"/>
    <x v="3"/>
    <x v="3"/>
    <x v="321"/>
    <n v="6752"/>
    <n v="5"/>
    <x v="323"/>
    <x v="324"/>
    <x v="0"/>
  </r>
  <r>
    <d v="2022-04-27T00:00:00"/>
    <x v="3"/>
    <x v="2"/>
    <x v="0"/>
    <x v="322"/>
    <n v="8367"/>
    <n v="20"/>
    <x v="324"/>
    <x v="325"/>
    <x v="1"/>
  </r>
  <r>
    <d v="2024-03-01T00:00:00"/>
    <x v="3"/>
    <x v="2"/>
    <x v="3"/>
    <x v="323"/>
    <n v="7942"/>
    <n v="20"/>
    <x v="325"/>
    <x v="326"/>
    <x v="0"/>
  </r>
  <r>
    <d v="2024-10-09T00:00:00"/>
    <x v="2"/>
    <x v="3"/>
    <x v="0"/>
    <x v="324"/>
    <n v="6704"/>
    <n v="10"/>
    <x v="326"/>
    <x v="327"/>
    <x v="0"/>
  </r>
  <r>
    <d v="2024-12-17T00:00:00"/>
    <x v="2"/>
    <x v="2"/>
    <x v="2"/>
    <x v="325"/>
    <n v="1292"/>
    <n v="5"/>
    <x v="327"/>
    <x v="328"/>
    <x v="0"/>
  </r>
  <r>
    <d v="2023-09-26T00:00:00"/>
    <x v="3"/>
    <x v="1"/>
    <x v="2"/>
    <x v="326"/>
    <n v="5724"/>
    <n v="0"/>
    <x v="328"/>
    <x v="329"/>
    <x v="2"/>
  </r>
  <r>
    <d v="2023-05-28T00:00:00"/>
    <x v="3"/>
    <x v="0"/>
    <x v="1"/>
    <x v="327"/>
    <n v="9869"/>
    <n v="20"/>
    <x v="329"/>
    <x v="330"/>
    <x v="2"/>
  </r>
  <r>
    <d v="2024-03-12T00:00:00"/>
    <x v="3"/>
    <x v="1"/>
    <x v="2"/>
    <x v="328"/>
    <n v="4681"/>
    <n v="0"/>
    <x v="330"/>
    <x v="331"/>
    <x v="0"/>
  </r>
  <r>
    <d v="2023-07-14T00:00:00"/>
    <x v="3"/>
    <x v="3"/>
    <x v="0"/>
    <x v="329"/>
    <n v="3474"/>
    <n v="5"/>
    <x v="331"/>
    <x v="332"/>
    <x v="2"/>
  </r>
  <r>
    <d v="2023-05-03T00:00:00"/>
    <x v="0"/>
    <x v="3"/>
    <x v="0"/>
    <x v="330"/>
    <n v="5082"/>
    <n v="20"/>
    <x v="332"/>
    <x v="333"/>
    <x v="2"/>
  </r>
  <r>
    <d v="2024-06-15T00:00:00"/>
    <x v="3"/>
    <x v="2"/>
    <x v="2"/>
    <x v="331"/>
    <n v="9797"/>
    <n v="20"/>
    <x v="333"/>
    <x v="334"/>
    <x v="0"/>
  </r>
  <r>
    <d v="2023-12-05T00:00:00"/>
    <x v="2"/>
    <x v="1"/>
    <x v="1"/>
    <x v="332"/>
    <n v="5860"/>
    <n v="0"/>
    <x v="334"/>
    <x v="335"/>
    <x v="2"/>
  </r>
  <r>
    <d v="2023-08-04T00:00:00"/>
    <x v="1"/>
    <x v="1"/>
    <x v="2"/>
    <x v="333"/>
    <n v="7760"/>
    <n v="15"/>
    <x v="162"/>
    <x v="336"/>
    <x v="2"/>
  </r>
  <r>
    <d v="2024-02-29T00:00:00"/>
    <x v="0"/>
    <x v="3"/>
    <x v="3"/>
    <x v="334"/>
    <n v="3378"/>
    <n v="0"/>
    <x v="335"/>
    <x v="337"/>
    <x v="0"/>
  </r>
  <r>
    <d v="2024-05-10T00:00:00"/>
    <x v="3"/>
    <x v="1"/>
    <x v="3"/>
    <x v="335"/>
    <n v="11178"/>
    <n v="0"/>
    <x v="336"/>
    <x v="338"/>
    <x v="0"/>
  </r>
  <r>
    <d v="2022-09-04T00:00:00"/>
    <x v="1"/>
    <x v="3"/>
    <x v="3"/>
    <x v="336"/>
    <n v="3283"/>
    <n v="15"/>
    <x v="337"/>
    <x v="339"/>
    <x v="1"/>
  </r>
  <r>
    <d v="2022-06-03T00:00:00"/>
    <x v="0"/>
    <x v="1"/>
    <x v="2"/>
    <x v="337"/>
    <n v="7559"/>
    <n v="5"/>
    <x v="338"/>
    <x v="340"/>
    <x v="1"/>
  </r>
  <r>
    <d v="2024-09-23T00:00:00"/>
    <x v="1"/>
    <x v="1"/>
    <x v="2"/>
    <x v="338"/>
    <n v="6354"/>
    <n v="5"/>
    <x v="339"/>
    <x v="341"/>
    <x v="0"/>
  </r>
  <r>
    <d v="2023-11-28T00:00:00"/>
    <x v="3"/>
    <x v="1"/>
    <x v="2"/>
    <x v="339"/>
    <n v="2823"/>
    <n v="20"/>
    <x v="340"/>
    <x v="342"/>
    <x v="2"/>
  </r>
  <r>
    <d v="2024-12-28T00:00:00"/>
    <x v="3"/>
    <x v="3"/>
    <x v="3"/>
    <x v="340"/>
    <n v="9977"/>
    <n v="10"/>
    <x v="129"/>
    <x v="343"/>
    <x v="0"/>
  </r>
  <r>
    <d v="2024-12-06T00:00:00"/>
    <x v="2"/>
    <x v="2"/>
    <x v="1"/>
    <x v="341"/>
    <n v="10592"/>
    <n v="10"/>
    <x v="341"/>
    <x v="344"/>
    <x v="0"/>
  </r>
  <r>
    <d v="2024-10-05T00:00:00"/>
    <x v="3"/>
    <x v="1"/>
    <x v="0"/>
    <x v="342"/>
    <n v="4881"/>
    <n v="20"/>
    <x v="342"/>
    <x v="345"/>
    <x v="0"/>
  </r>
  <r>
    <d v="2022-04-04T00:00:00"/>
    <x v="3"/>
    <x v="3"/>
    <x v="2"/>
    <x v="343"/>
    <n v="5909"/>
    <n v="10"/>
    <x v="343"/>
    <x v="346"/>
    <x v="1"/>
  </r>
  <r>
    <d v="2024-08-15T00:00:00"/>
    <x v="0"/>
    <x v="3"/>
    <x v="1"/>
    <x v="344"/>
    <n v="2301"/>
    <n v="0"/>
    <x v="344"/>
    <x v="347"/>
    <x v="0"/>
  </r>
  <r>
    <d v="2024-10-08T00:00:00"/>
    <x v="2"/>
    <x v="1"/>
    <x v="0"/>
    <x v="345"/>
    <n v="1687"/>
    <n v="0"/>
    <x v="345"/>
    <x v="348"/>
    <x v="0"/>
  </r>
  <r>
    <d v="2023-03-29T00:00:00"/>
    <x v="0"/>
    <x v="1"/>
    <x v="0"/>
    <x v="346"/>
    <n v="11675"/>
    <n v="15"/>
    <x v="346"/>
    <x v="349"/>
    <x v="2"/>
  </r>
  <r>
    <d v="2024-06-30T00:00:00"/>
    <x v="1"/>
    <x v="2"/>
    <x v="0"/>
    <x v="347"/>
    <n v="6852"/>
    <n v="15"/>
    <x v="347"/>
    <x v="350"/>
    <x v="0"/>
  </r>
  <r>
    <d v="2022-08-06T00:00:00"/>
    <x v="3"/>
    <x v="3"/>
    <x v="1"/>
    <x v="348"/>
    <n v="1330"/>
    <n v="20"/>
    <x v="348"/>
    <x v="351"/>
    <x v="1"/>
  </r>
  <r>
    <d v="2023-04-19T00:00:00"/>
    <x v="1"/>
    <x v="3"/>
    <x v="1"/>
    <x v="349"/>
    <n v="10257"/>
    <n v="20"/>
    <x v="349"/>
    <x v="352"/>
    <x v="2"/>
  </r>
  <r>
    <d v="2023-03-08T00:00:00"/>
    <x v="0"/>
    <x v="0"/>
    <x v="3"/>
    <x v="350"/>
    <n v="1520"/>
    <n v="20"/>
    <x v="350"/>
    <x v="353"/>
    <x v="2"/>
  </r>
  <r>
    <d v="2022-12-07T00:00:00"/>
    <x v="3"/>
    <x v="3"/>
    <x v="1"/>
    <x v="351"/>
    <n v="10906"/>
    <n v="0"/>
    <x v="351"/>
    <x v="354"/>
    <x v="1"/>
  </r>
  <r>
    <d v="2023-07-05T00:00:00"/>
    <x v="3"/>
    <x v="2"/>
    <x v="1"/>
    <x v="352"/>
    <n v="6335"/>
    <n v="10"/>
    <x v="352"/>
    <x v="355"/>
    <x v="2"/>
  </r>
  <r>
    <d v="2022-12-23T00:00:00"/>
    <x v="0"/>
    <x v="0"/>
    <x v="1"/>
    <x v="353"/>
    <n v="10110"/>
    <n v="20"/>
    <x v="353"/>
    <x v="356"/>
    <x v="1"/>
  </r>
  <r>
    <d v="2022-01-23T00:00:00"/>
    <x v="0"/>
    <x v="0"/>
    <x v="0"/>
    <x v="354"/>
    <n v="9755"/>
    <n v="20"/>
    <x v="354"/>
    <x v="357"/>
    <x v="1"/>
  </r>
  <r>
    <d v="2023-06-06T00:00:00"/>
    <x v="0"/>
    <x v="0"/>
    <x v="2"/>
    <x v="355"/>
    <n v="6823"/>
    <n v="0"/>
    <x v="355"/>
    <x v="358"/>
    <x v="2"/>
  </r>
  <r>
    <d v="2024-03-12T00:00:00"/>
    <x v="0"/>
    <x v="1"/>
    <x v="3"/>
    <x v="356"/>
    <n v="8374"/>
    <n v="0"/>
    <x v="356"/>
    <x v="359"/>
    <x v="0"/>
  </r>
  <r>
    <d v="2024-02-01T00:00:00"/>
    <x v="0"/>
    <x v="1"/>
    <x v="2"/>
    <x v="357"/>
    <n v="9363"/>
    <n v="0"/>
    <x v="265"/>
    <x v="360"/>
    <x v="0"/>
  </r>
  <r>
    <d v="2023-03-18T00:00:00"/>
    <x v="3"/>
    <x v="3"/>
    <x v="2"/>
    <x v="358"/>
    <n v="1134"/>
    <n v="10"/>
    <x v="357"/>
    <x v="361"/>
    <x v="2"/>
  </r>
  <r>
    <d v="2024-02-08T00:00:00"/>
    <x v="0"/>
    <x v="0"/>
    <x v="1"/>
    <x v="359"/>
    <n v="11314"/>
    <n v="20"/>
    <x v="358"/>
    <x v="362"/>
    <x v="0"/>
  </r>
  <r>
    <d v="2024-10-12T00:00:00"/>
    <x v="3"/>
    <x v="2"/>
    <x v="3"/>
    <x v="360"/>
    <n v="9410"/>
    <n v="5"/>
    <x v="359"/>
    <x v="363"/>
    <x v="0"/>
  </r>
  <r>
    <d v="2023-05-31T00:00:00"/>
    <x v="3"/>
    <x v="1"/>
    <x v="2"/>
    <x v="361"/>
    <n v="2024"/>
    <n v="5"/>
    <x v="360"/>
    <x v="364"/>
    <x v="2"/>
  </r>
  <r>
    <d v="2024-11-05T00:00:00"/>
    <x v="0"/>
    <x v="2"/>
    <x v="2"/>
    <x v="362"/>
    <n v="6898"/>
    <n v="20"/>
    <x v="361"/>
    <x v="365"/>
    <x v="0"/>
  </r>
  <r>
    <d v="2024-03-02T00:00:00"/>
    <x v="0"/>
    <x v="2"/>
    <x v="3"/>
    <x v="363"/>
    <n v="2713"/>
    <n v="20"/>
    <x v="362"/>
    <x v="366"/>
    <x v="0"/>
  </r>
  <r>
    <d v="2022-12-02T00:00:00"/>
    <x v="2"/>
    <x v="1"/>
    <x v="1"/>
    <x v="364"/>
    <n v="9805"/>
    <n v="20"/>
    <x v="363"/>
    <x v="367"/>
    <x v="1"/>
  </r>
  <r>
    <d v="2022-09-15T00:00:00"/>
    <x v="3"/>
    <x v="1"/>
    <x v="2"/>
    <x v="365"/>
    <n v="6293"/>
    <n v="20"/>
    <x v="364"/>
    <x v="368"/>
    <x v="1"/>
  </r>
  <r>
    <d v="2023-05-12T00:00:00"/>
    <x v="0"/>
    <x v="1"/>
    <x v="0"/>
    <x v="366"/>
    <n v="4798"/>
    <n v="10"/>
    <x v="365"/>
    <x v="369"/>
    <x v="2"/>
  </r>
  <r>
    <d v="2024-06-14T00:00:00"/>
    <x v="0"/>
    <x v="1"/>
    <x v="2"/>
    <x v="367"/>
    <n v="2405"/>
    <n v="5"/>
    <x v="366"/>
    <x v="370"/>
    <x v="0"/>
  </r>
  <r>
    <d v="2022-06-09T00:00:00"/>
    <x v="0"/>
    <x v="0"/>
    <x v="0"/>
    <x v="368"/>
    <n v="2868"/>
    <n v="15"/>
    <x v="367"/>
    <x v="371"/>
    <x v="1"/>
  </r>
  <r>
    <d v="2024-05-01T00:00:00"/>
    <x v="2"/>
    <x v="0"/>
    <x v="1"/>
    <x v="369"/>
    <n v="9630"/>
    <n v="5"/>
    <x v="368"/>
    <x v="372"/>
    <x v="0"/>
  </r>
  <r>
    <d v="2023-11-21T00:00:00"/>
    <x v="2"/>
    <x v="0"/>
    <x v="2"/>
    <x v="370"/>
    <n v="509"/>
    <n v="5"/>
    <x v="369"/>
    <x v="373"/>
    <x v="2"/>
  </r>
  <r>
    <d v="2023-01-15T00:00:00"/>
    <x v="1"/>
    <x v="0"/>
    <x v="3"/>
    <x v="371"/>
    <n v="9556"/>
    <n v="0"/>
    <x v="128"/>
    <x v="374"/>
    <x v="2"/>
  </r>
  <r>
    <d v="2024-08-14T00:00:00"/>
    <x v="3"/>
    <x v="3"/>
    <x v="3"/>
    <x v="49"/>
    <n v="5211"/>
    <n v="20"/>
    <x v="370"/>
    <x v="375"/>
    <x v="0"/>
  </r>
  <r>
    <d v="2023-11-22T00:00:00"/>
    <x v="1"/>
    <x v="0"/>
    <x v="2"/>
    <x v="372"/>
    <n v="2520"/>
    <n v="20"/>
    <x v="371"/>
    <x v="376"/>
    <x v="2"/>
  </r>
  <r>
    <d v="2024-12-02T00:00:00"/>
    <x v="0"/>
    <x v="1"/>
    <x v="1"/>
    <x v="373"/>
    <n v="533"/>
    <n v="20"/>
    <x v="372"/>
    <x v="377"/>
    <x v="0"/>
  </r>
  <r>
    <d v="2022-10-12T00:00:00"/>
    <x v="2"/>
    <x v="2"/>
    <x v="1"/>
    <x v="374"/>
    <n v="1092"/>
    <n v="0"/>
    <x v="373"/>
    <x v="378"/>
    <x v="1"/>
  </r>
  <r>
    <d v="2023-02-01T00:00:00"/>
    <x v="2"/>
    <x v="0"/>
    <x v="3"/>
    <x v="375"/>
    <n v="3410"/>
    <n v="10"/>
    <x v="220"/>
    <x v="379"/>
    <x v="2"/>
  </r>
  <r>
    <d v="2022-01-12T00:00:00"/>
    <x v="1"/>
    <x v="3"/>
    <x v="2"/>
    <x v="376"/>
    <n v="2466"/>
    <n v="10"/>
    <x v="374"/>
    <x v="380"/>
    <x v="1"/>
  </r>
  <r>
    <d v="2023-05-14T00:00:00"/>
    <x v="2"/>
    <x v="1"/>
    <x v="1"/>
    <x v="377"/>
    <n v="8826"/>
    <n v="15"/>
    <x v="375"/>
    <x v="381"/>
    <x v="2"/>
  </r>
  <r>
    <d v="2024-01-24T00:00:00"/>
    <x v="0"/>
    <x v="2"/>
    <x v="3"/>
    <x v="378"/>
    <n v="9851"/>
    <n v="10"/>
    <x v="376"/>
    <x v="382"/>
    <x v="0"/>
  </r>
  <r>
    <d v="2022-02-04T00:00:00"/>
    <x v="2"/>
    <x v="2"/>
    <x v="0"/>
    <x v="379"/>
    <n v="5493"/>
    <n v="10"/>
    <x v="377"/>
    <x v="383"/>
    <x v="1"/>
  </r>
  <r>
    <d v="2023-12-28T00:00:00"/>
    <x v="1"/>
    <x v="0"/>
    <x v="2"/>
    <x v="380"/>
    <n v="1514"/>
    <n v="20"/>
    <x v="378"/>
    <x v="384"/>
    <x v="2"/>
  </r>
  <r>
    <d v="2024-04-28T00:00:00"/>
    <x v="0"/>
    <x v="2"/>
    <x v="0"/>
    <x v="381"/>
    <n v="4719"/>
    <n v="5"/>
    <x v="379"/>
    <x v="385"/>
    <x v="0"/>
  </r>
  <r>
    <d v="2022-03-31T00:00:00"/>
    <x v="1"/>
    <x v="0"/>
    <x v="0"/>
    <x v="382"/>
    <n v="7614"/>
    <n v="10"/>
    <x v="380"/>
    <x v="386"/>
    <x v="1"/>
  </r>
  <r>
    <d v="2024-02-15T00:00:00"/>
    <x v="2"/>
    <x v="0"/>
    <x v="1"/>
    <x v="383"/>
    <n v="8775"/>
    <n v="10"/>
    <x v="381"/>
    <x v="387"/>
    <x v="0"/>
  </r>
  <r>
    <d v="2023-08-28T00:00:00"/>
    <x v="1"/>
    <x v="1"/>
    <x v="1"/>
    <x v="384"/>
    <n v="512"/>
    <n v="0"/>
    <x v="382"/>
    <x v="388"/>
    <x v="2"/>
  </r>
  <r>
    <d v="2024-08-27T00:00:00"/>
    <x v="1"/>
    <x v="1"/>
    <x v="1"/>
    <x v="385"/>
    <n v="1958"/>
    <n v="15"/>
    <x v="383"/>
    <x v="389"/>
    <x v="0"/>
  </r>
  <r>
    <d v="2024-10-18T00:00:00"/>
    <x v="3"/>
    <x v="3"/>
    <x v="2"/>
    <x v="386"/>
    <n v="5324"/>
    <n v="0"/>
    <x v="384"/>
    <x v="390"/>
    <x v="0"/>
  </r>
  <r>
    <d v="2023-02-22T00:00:00"/>
    <x v="2"/>
    <x v="1"/>
    <x v="0"/>
    <x v="387"/>
    <n v="9909"/>
    <n v="20"/>
    <x v="385"/>
    <x v="391"/>
    <x v="2"/>
  </r>
  <r>
    <d v="2022-04-25T00:00:00"/>
    <x v="2"/>
    <x v="1"/>
    <x v="2"/>
    <x v="388"/>
    <n v="10878"/>
    <n v="5"/>
    <x v="386"/>
    <x v="392"/>
    <x v="1"/>
  </r>
  <r>
    <d v="2023-09-09T00:00:00"/>
    <x v="1"/>
    <x v="0"/>
    <x v="1"/>
    <x v="364"/>
    <n v="6217"/>
    <n v="15"/>
    <x v="387"/>
    <x v="393"/>
    <x v="2"/>
  </r>
  <r>
    <d v="2024-04-05T00:00:00"/>
    <x v="3"/>
    <x v="1"/>
    <x v="0"/>
    <x v="389"/>
    <n v="5441"/>
    <n v="0"/>
    <x v="388"/>
    <x v="394"/>
    <x v="0"/>
  </r>
  <r>
    <d v="2023-02-17T00:00:00"/>
    <x v="2"/>
    <x v="0"/>
    <x v="2"/>
    <x v="390"/>
    <n v="2094"/>
    <n v="10"/>
    <x v="389"/>
    <x v="395"/>
    <x v="2"/>
  </r>
  <r>
    <d v="2023-12-30T00:00:00"/>
    <x v="0"/>
    <x v="0"/>
    <x v="2"/>
    <x v="391"/>
    <n v="6288"/>
    <n v="10"/>
    <x v="390"/>
    <x v="396"/>
    <x v="2"/>
  </r>
  <r>
    <d v="2024-10-17T00:00:00"/>
    <x v="1"/>
    <x v="1"/>
    <x v="3"/>
    <x v="392"/>
    <n v="8596"/>
    <n v="15"/>
    <x v="391"/>
    <x v="397"/>
    <x v="0"/>
  </r>
  <r>
    <d v="2024-01-31T00:00:00"/>
    <x v="2"/>
    <x v="3"/>
    <x v="2"/>
    <x v="393"/>
    <n v="5878"/>
    <n v="10"/>
    <x v="392"/>
    <x v="398"/>
    <x v="0"/>
  </r>
  <r>
    <d v="2023-11-07T00:00:00"/>
    <x v="0"/>
    <x v="3"/>
    <x v="1"/>
    <x v="394"/>
    <n v="5851"/>
    <n v="0"/>
    <x v="393"/>
    <x v="399"/>
    <x v="2"/>
  </r>
  <r>
    <d v="2023-04-02T00:00:00"/>
    <x v="2"/>
    <x v="2"/>
    <x v="2"/>
    <x v="395"/>
    <n v="4145"/>
    <n v="0"/>
    <x v="394"/>
    <x v="400"/>
    <x v="2"/>
  </r>
  <r>
    <d v="2024-07-08T00:00:00"/>
    <x v="0"/>
    <x v="2"/>
    <x v="0"/>
    <x v="396"/>
    <n v="7206"/>
    <n v="10"/>
    <x v="395"/>
    <x v="401"/>
    <x v="0"/>
  </r>
  <r>
    <d v="2022-07-11T00:00:00"/>
    <x v="1"/>
    <x v="1"/>
    <x v="2"/>
    <x v="397"/>
    <n v="11784"/>
    <n v="10"/>
    <x v="396"/>
    <x v="402"/>
    <x v="1"/>
  </r>
  <r>
    <d v="2024-01-09T00:00:00"/>
    <x v="2"/>
    <x v="3"/>
    <x v="3"/>
    <x v="398"/>
    <n v="678"/>
    <n v="20"/>
    <x v="397"/>
    <x v="403"/>
    <x v="0"/>
  </r>
  <r>
    <d v="2024-09-04T00:00:00"/>
    <x v="2"/>
    <x v="0"/>
    <x v="0"/>
    <x v="399"/>
    <n v="3593"/>
    <n v="5"/>
    <x v="398"/>
    <x v="404"/>
    <x v="0"/>
  </r>
  <r>
    <d v="2024-10-05T00:00:00"/>
    <x v="3"/>
    <x v="2"/>
    <x v="0"/>
    <x v="400"/>
    <n v="3629"/>
    <n v="15"/>
    <x v="56"/>
    <x v="405"/>
    <x v="0"/>
  </r>
  <r>
    <d v="2022-04-06T00:00:00"/>
    <x v="1"/>
    <x v="0"/>
    <x v="3"/>
    <x v="401"/>
    <n v="5108"/>
    <n v="0"/>
    <x v="399"/>
    <x v="406"/>
    <x v="1"/>
  </r>
  <r>
    <d v="2023-10-25T00:00:00"/>
    <x v="0"/>
    <x v="2"/>
    <x v="1"/>
    <x v="402"/>
    <n v="11930"/>
    <n v="15"/>
    <x v="400"/>
    <x v="407"/>
    <x v="2"/>
  </r>
  <r>
    <d v="2022-02-06T00:00:00"/>
    <x v="2"/>
    <x v="1"/>
    <x v="0"/>
    <x v="403"/>
    <n v="8237"/>
    <n v="20"/>
    <x v="401"/>
    <x v="408"/>
    <x v="1"/>
  </r>
  <r>
    <d v="2022-10-06T00:00:00"/>
    <x v="2"/>
    <x v="3"/>
    <x v="1"/>
    <x v="404"/>
    <n v="524"/>
    <n v="0"/>
    <x v="402"/>
    <x v="409"/>
    <x v="1"/>
  </r>
  <r>
    <d v="2022-08-05T00:00:00"/>
    <x v="0"/>
    <x v="2"/>
    <x v="0"/>
    <x v="405"/>
    <n v="1037"/>
    <n v="20"/>
    <x v="403"/>
    <x v="410"/>
    <x v="1"/>
  </r>
  <r>
    <d v="2024-05-16T00:00:00"/>
    <x v="1"/>
    <x v="3"/>
    <x v="0"/>
    <x v="406"/>
    <n v="535"/>
    <n v="20"/>
    <x v="404"/>
    <x v="411"/>
    <x v="0"/>
  </r>
  <r>
    <d v="2024-05-22T00:00:00"/>
    <x v="3"/>
    <x v="0"/>
    <x v="1"/>
    <x v="407"/>
    <n v="1011"/>
    <n v="10"/>
    <x v="405"/>
    <x v="412"/>
    <x v="0"/>
  </r>
  <r>
    <d v="2022-03-03T00:00:00"/>
    <x v="3"/>
    <x v="1"/>
    <x v="0"/>
    <x v="408"/>
    <n v="6288"/>
    <n v="15"/>
    <x v="406"/>
    <x v="413"/>
    <x v="1"/>
  </r>
  <r>
    <d v="2023-08-19T00:00:00"/>
    <x v="2"/>
    <x v="3"/>
    <x v="1"/>
    <x v="409"/>
    <n v="2188"/>
    <n v="15"/>
    <x v="407"/>
    <x v="414"/>
    <x v="2"/>
  </r>
  <r>
    <d v="2023-12-30T00:00:00"/>
    <x v="0"/>
    <x v="1"/>
    <x v="3"/>
    <x v="410"/>
    <n v="7473"/>
    <n v="10"/>
    <x v="408"/>
    <x v="415"/>
    <x v="2"/>
  </r>
  <r>
    <d v="2023-02-01T00:00:00"/>
    <x v="2"/>
    <x v="3"/>
    <x v="1"/>
    <x v="411"/>
    <n v="1559"/>
    <n v="15"/>
    <x v="409"/>
    <x v="416"/>
    <x v="2"/>
  </r>
  <r>
    <d v="2023-11-30T00:00:00"/>
    <x v="0"/>
    <x v="0"/>
    <x v="3"/>
    <x v="412"/>
    <n v="5546"/>
    <n v="10"/>
    <x v="410"/>
    <x v="417"/>
    <x v="2"/>
  </r>
  <r>
    <d v="2024-11-08T00:00:00"/>
    <x v="3"/>
    <x v="0"/>
    <x v="0"/>
    <x v="413"/>
    <n v="7571"/>
    <n v="0"/>
    <x v="411"/>
    <x v="418"/>
    <x v="0"/>
  </r>
  <r>
    <d v="2022-06-26T00:00:00"/>
    <x v="1"/>
    <x v="1"/>
    <x v="1"/>
    <x v="414"/>
    <n v="1048"/>
    <n v="20"/>
    <x v="412"/>
    <x v="419"/>
    <x v="1"/>
  </r>
  <r>
    <d v="2023-01-31T00:00:00"/>
    <x v="0"/>
    <x v="0"/>
    <x v="0"/>
    <x v="415"/>
    <n v="3851"/>
    <n v="20"/>
    <x v="413"/>
    <x v="420"/>
    <x v="2"/>
  </r>
  <r>
    <d v="2023-03-21T00:00:00"/>
    <x v="3"/>
    <x v="2"/>
    <x v="1"/>
    <x v="416"/>
    <n v="6700"/>
    <n v="15"/>
    <x v="414"/>
    <x v="421"/>
    <x v="2"/>
  </r>
  <r>
    <d v="2022-03-17T00:00:00"/>
    <x v="2"/>
    <x v="3"/>
    <x v="3"/>
    <x v="417"/>
    <n v="6943"/>
    <n v="5"/>
    <x v="415"/>
    <x v="422"/>
    <x v="1"/>
  </r>
  <r>
    <d v="2022-09-22T00:00:00"/>
    <x v="0"/>
    <x v="0"/>
    <x v="3"/>
    <x v="418"/>
    <n v="9001"/>
    <n v="20"/>
    <x v="416"/>
    <x v="423"/>
    <x v="1"/>
  </r>
  <r>
    <d v="2023-03-31T00:00:00"/>
    <x v="1"/>
    <x v="2"/>
    <x v="1"/>
    <x v="392"/>
    <n v="2123"/>
    <n v="10"/>
    <x v="417"/>
    <x v="424"/>
    <x v="2"/>
  </r>
  <r>
    <d v="2023-12-19T00:00:00"/>
    <x v="2"/>
    <x v="1"/>
    <x v="3"/>
    <x v="419"/>
    <n v="7152"/>
    <n v="5"/>
    <x v="418"/>
    <x v="425"/>
    <x v="2"/>
  </r>
  <r>
    <d v="2024-01-05T00:00:00"/>
    <x v="2"/>
    <x v="2"/>
    <x v="0"/>
    <x v="420"/>
    <n v="11433"/>
    <n v="5"/>
    <x v="419"/>
    <x v="426"/>
    <x v="0"/>
  </r>
  <r>
    <d v="2024-04-30T00:00:00"/>
    <x v="3"/>
    <x v="1"/>
    <x v="0"/>
    <x v="421"/>
    <n v="8077"/>
    <n v="20"/>
    <x v="420"/>
    <x v="427"/>
    <x v="0"/>
  </r>
  <r>
    <d v="2022-05-24T00:00:00"/>
    <x v="0"/>
    <x v="1"/>
    <x v="2"/>
    <x v="422"/>
    <n v="4532"/>
    <n v="20"/>
    <x v="421"/>
    <x v="428"/>
    <x v="1"/>
  </r>
  <r>
    <d v="2024-06-03T00:00:00"/>
    <x v="2"/>
    <x v="3"/>
    <x v="3"/>
    <x v="423"/>
    <n v="6819"/>
    <n v="20"/>
    <x v="422"/>
    <x v="429"/>
    <x v="0"/>
  </r>
  <r>
    <d v="2024-12-28T00:00:00"/>
    <x v="1"/>
    <x v="3"/>
    <x v="0"/>
    <x v="424"/>
    <n v="10626"/>
    <n v="10"/>
    <x v="423"/>
    <x v="430"/>
    <x v="0"/>
  </r>
  <r>
    <d v="2023-01-31T00:00:00"/>
    <x v="0"/>
    <x v="2"/>
    <x v="1"/>
    <x v="425"/>
    <n v="2077"/>
    <n v="5"/>
    <x v="424"/>
    <x v="431"/>
    <x v="2"/>
  </r>
  <r>
    <d v="2024-11-14T00:00:00"/>
    <x v="1"/>
    <x v="3"/>
    <x v="3"/>
    <x v="426"/>
    <n v="1522"/>
    <n v="15"/>
    <x v="425"/>
    <x v="432"/>
    <x v="0"/>
  </r>
  <r>
    <d v="2024-08-05T00:00:00"/>
    <x v="2"/>
    <x v="3"/>
    <x v="0"/>
    <x v="427"/>
    <n v="7930"/>
    <n v="10"/>
    <x v="70"/>
    <x v="433"/>
    <x v="0"/>
  </r>
  <r>
    <d v="2024-06-09T00:00:00"/>
    <x v="1"/>
    <x v="3"/>
    <x v="3"/>
    <x v="206"/>
    <n v="2077"/>
    <n v="0"/>
    <x v="426"/>
    <x v="434"/>
    <x v="0"/>
  </r>
  <r>
    <d v="2023-07-23T00:00:00"/>
    <x v="3"/>
    <x v="2"/>
    <x v="1"/>
    <x v="428"/>
    <n v="9796"/>
    <n v="20"/>
    <x v="427"/>
    <x v="435"/>
    <x v="2"/>
  </r>
  <r>
    <d v="2024-11-28T00:00:00"/>
    <x v="1"/>
    <x v="0"/>
    <x v="0"/>
    <x v="429"/>
    <n v="7790"/>
    <n v="5"/>
    <x v="428"/>
    <x v="436"/>
    <x v="0"/>
  </r>
  <r>
    <d v="2022-04-19T00:00:00"/>
    <x v="0"/>
    <x v="3"/>
    <x v="2"/>
    <x v="430"/>
    <n v="5159"/>
    <n v="10"/>
    <x v="429"/>
    <x v="437"/>
    <x v="1"/>
  </r>
  <r>
    <d v="2024-12-01T00:00:00"/>
    <x v="1"/>
    <x v="3"/>
    <x v="2"/>
    <x v="431"/>
    <n v="9193"/>
    <n v="0"/>
    <x v="430"/>
    <x v="438"/>
    <x v="0"/>
  </r>
  <r>
    <d v="2024-07-23T00:00:00"/>
    <x v="1"/>
    <x v="2"/>
    <x v="3"/>
    <x v="432"/>
    <n v="8418"/>
    <n v="10"/>
    <x v="431"/>
    <x v="439"/>
    <x v="0"/>
  </r>
  <r>
    <d v="2023-02-02T00:00:00"/>
    <x v="3"/>
    <x v="0"/>
    <x v="1"/>
    <x v="433"/>
    <n v="3289"/>
    <n v="10"/>
    <x v="432"/>
    <x v="440"/>
    <x v="2"/>
  </r>
  <r>
    <d v="2023-09-26T00:00:00"/>
    <x v="1"/>
    <x v="3"/>
    <x v="0"/>
    <x v="434"/>
    <n v="8643"/>
    <n v="15"/>
    <x v="433"/>
    <x v="441"/>
    <x v="2"/>
  </r>
  <r>
    <d v="2024-01-03T00:00:00"/>
    <x v="1"/>
    <x v="1"/>
    <x v="1"/>
    <x v="435"/>
    <n v="1625"/>
    <n v="15"/>
    <x v="434"/>
    <x v="442"/>
    <x v="0"/>
  </r>
  <r>
    <d v="2022-08-23T00:00:00"/>
    <x v="2"/>
    <x v="2"/>
    <x v="0"/>
    <x v="436"/>
    <n v="9793"/>
    <n v="10"/>
    <x v="435"/>
    <x v="443"/>
    <x v="1"/>
  </r>
  <r>
    <d v="2023-10-20T00:00:00"/>
    <x v="2"/>
    <x v="3"/>
    <x v="3"/>
    <x v="437"/>
    <n v="10203"/>
    <n v="0"/>
    <x v="436"/>
    <x v="444"/>
    <x v="2"/>
  </r>
  <r>
    <d v="2024-01-21T00:00:00"/>
    <x v="0"/>
    <x v="3"/>
    <x v="0"/>
    <x v="438"/>
    <n v="5427"/>
    <n v="5"/>
    <x v="437"/>
    <x v="445"/>
    <x v="0"/>
  </r>
  <r>
    <d v="2023-08-11T00:00:00"/>
    <x v="2"/>
    <x v="1"/>
    <x v="1"/>
    <x v="439"/>
    <n v="9298"/>
    <n v="5"/>
    <x v="438"/>
    <x v="446"/>
    <x v="2"/>
  </r>
  <r>
    <d v="2024-10-29T00:00:00"/>
    <x v="2"/>
    <x v="1"/>
    <x v="1"/>
    <x v="440"/>
    <n v="3022"/>
    <n v="20"/>
    <x v="439"/>
    <x v="447"/>
    <x v="0"/>
  </r>
  <r>
    <d v="2024-08-11T00:00:00"/>
    <x v="2"/>
    <x v="2"/>
    <x v="3"/>
    <x v="441"/>
    <n v="4956"/>
    <n v="20"/>
    <x v="440"/>
    <x v="448"/>
    <x v="0"/>
  </r>
  <r>
    <d v="2023-05-07T00:00:00"/>
    <x v="2"/>
    <x v="2"/>
    <x v="1"/>
    <x v="274"/>
    <n v="1625"/>
    <n v="5"/>
    <x v="441"/>
    <x v="449"/>
    <x v="2"/>
  </r>
  <r>
    <d v="2024-07-01T00:00:00"/>
    <x v="3"/>
    <x v="1"/>
    <x v="0"/>
    <x v="442"/>
    <n v="4433"/>
    <n v="10"/>
    <x v="442"/>
    <x v="450"/>
    <x v="0"/>
  </r>
  <r>
    <d v="2022-06-19T00:00:00"/>
    <x v="2"/>
    <x v="2"/>
    <x v="3"/>
    <x v="443"/>
    <n v="9651"/>
    <n v="10"/>
    <x v="443"/>
    <x v="451"/>
    <x v="1"/>
  </r>
  <r>
    <d v="2024-08-03T00:00:00"/>
    <x v="3"/>
    <x v="1"/>
    <x v="0"/>
    <x v="444"/>
    <n v="3169"/>
    <n v="15"/>
    <x v="444"/>
    <x v="452"/>
    <x v="0"/>
  </r>
  <r>
    <d v="2024-03-05T00:00:00"/>
    <x v="3"/>
    <x v="3"/>
    <x v="1"/>
    <x v="445"/>
    <n v="1542"/>
    <n v="15"/>
    <x v="445"/>
    <x v="453"/>
    <x v="0"/>
  </r>
  <r>
    <d v="2023-09-26T00:00:00"/>
    <x v="2"/>
    <x v="1"/>
    <x v="3"/>
    <x v="446"/>
    <n v="8839"/>
    <n v="20"/>
    <x v="446"/>
    <x v="454"/>
    <x v="2"/>
  </r>
  <r>
    <d v="2022-01-29T00:00:00"/>
    <x v="1"/>
    <x v="1"/>
    <x v="0"/>
    <x v="447"/>
    <n v="2131"/>
    <n v="5"/>
    <x v="447"/>
    <x v="455"/>
    <x v="1"/>
  </r>
  <r>
    <d v="2022-12-05T00:00:00"/>
    <x v="3"/>
    <x v="0"/>
    <x v="1"/>
    <x v="448"/>
    <n v="1869"/>
    <n v="10"/>
    <x v="448"/>
    <x v="456"/>
    <x v="1"/>
  </r>
  <r>
    <d v="2023-05-15T00:00:00"/>
    <x v="1"/>
    <x v="1"/>
    <x v="1"/>
    <x v="449"/>
    <n v="7546"/>
    <n v="5"/>
    <x v="449"/>
    <x v="457"/>
    <x v="2"/>
  </r>
  <r>
    <d v="2023-05-26T00:00:00"/>
    <x v="1"/>
    <x v="1"/>
    <x v="2"/>
    <x v="450"/>
    <n v="2218"/>
    <n v="0"/>
    <x v="450"/>
    <x v="458"/>
    <x v="2"/>
  </r>
  <r>
    <d v="2022-08-05T00:00:00"/>
    <x v="2"/>
    <x v="0"/>
    <x v="1"/>
    <x v="451"/>
    <n v="6716"/>
    <n v="5"/>
    <x v="451"/>
    <x v="459"/>
    <x v="1"/>
  </r>
  <r>
    <d v="2024-12-29T00:00:00"/>
    <x v="0"/>
    <x v="2"/>
    <x v="0"/>
    <x v="452"/>
    <n v="3532"/>
    <n v="0"/>
    <x v="452"/>
    <x v="460"/>
    <x v="0"/>
  </r>
  <r>
    <d v="2023-03-21T00:00:00"/>
    <x v="2"/>
    <x v="0"/>
    <x v="3"/>
    <x v="453"/>
    <n v="4058"/>
    <n v="15"/>
    <x v="453"/>
    <x v="461"/>
    <x v="2"/>
  </r>
  <r>
    <d v="2024-05-25T00:00:00"/>
    <x v="0"/>
    <x v="3"/>
    <x v="2"/>
    <x v="454"/>
    <n v="6297"/>
    <n v="15"/>
    <x v="454"/>
    <x v="462"/>
    <x v="0"/>
  </r>
  <r>
    <d v="2022-06-16T00:00:00"/>
    <x v="0"/>
    <x v="0"/>
    <x v="1"/>
    <x v="455"/>
    <n v="2655"/>
    <n v="20"/>
    <x v="455"/>
    <x v="463"/>
    <x v="1"/>
  </r>
  <r>
    <d v="2022-04-01T00:00:00"/>
    <x v="2"/>
    <x v="3"/>
    <x v="1"/>
    <x v="456"/>
    <n v="9889"/>
    <n v="5"/>
    <x v="456"/>
    <x v="464"/>
    <x v="1"/>
  </r>
  <r>
    <d v="2023-12-15T00:00:00"/>
    <x v="2"/>
    <x v="2"/>
    <x v="1"/>
    <x v="457"/>
    <n v="11272"/>
    <n v="5"/>
    <x v="457"/>
    <x v="465"/>
    <x v="2"/>
  </r>
  <r>
    <d v="2022-02-08T00:00:00"/>
    <x v="0"/>
    <x v="0"/>
    <x v="0"/>
    <x v="458"/>
    <n v="2124"/>
    <n v="0"/>
    <x v="458"/>
    <x v="466"/>
    <x v="1"/>
  </r>
  <r>
    <d v="2022-06-22T00:00:00"/>
    <x v="2"/>
    <x v="0"/>
    <x v="2"/>
    <x v="459"/>
    <n v="10983"/>
    <n v="15"/>
    <x v="459"/>
    <x v="467"/>
    <x v="1"/>
  </r>
  <r>
    <d v="2023-10-15T00:00:00"/>
    <x v="0"/>
    <x v="2"/>
    <x v="0"/>
    <x v="460"/>
    <n v="7580"/>
    <n v="0"/>
    <x v="460"/>
    <x v="468"/>
    <x v="2"/>
  </r>
  <r>
    <d v="2024-01-24T00:00:00"/>
    <x v="1"/>
    <x v="3"/>
    <x v="2"/>
    <x v="461"/>
    <n v="4360"/>
    <n v="15"/>
    <x v="461"/>
    <x v="469"/>
    <x v="0"/>
  </r>
  <r>
    <d v="2024-12-17T00:00:00"/>
    <x v="2"/>
    <x v="0"/>
    <x v="3"/>
    <x v="462"/>
    <n v="5624"/>
    <n v="0"/>
    <x v="109"/>
    <x v="470"/>
    <x v="0"/>
  </r>
  <r>
    <d v="2023-04-21T00:00:00"/>
    <x v="1"/>
    <x v="3"/>
    <x v="0"/>
    <x v="463"/>
    <n v="704"/>
    <n v="15"/>
    <x v="462"/>
    <x v="471"/>
    <x v="2"/>
  </r>
  <r>
    <d v="2023-04-01T00:00:00"/>
    <x v="3"/>
    <x v="0"/>
    <x v="0"/>
    <x v="464"/>
    <n v="2021"/>
    <n v="0"/>
    <x v="463"/>
    <x v="472"/>
    <x v="2"/>
  </r>
  <r>
    <d v="2024-04-08T00:00:00"/>
    <x v="1"/>
    <x v="1"/>
    <x v="3"/>
    <x v="465"/>
    <n v="5616"/>
    <n v="15"/>
    <x v="464"/>
    <x v="473"/>
    <x v="0"/>
  </r>
  <r>
    <d v="2024-06-13T00:00:00"/>
    <x v="1"/>
    <x v="0"/>
    <x v="2"/>
    <x v="466"/>
    <n v="11317"/>
    <n v="0"/>
    <x v="465"/>
    <x v="474"/>
    <x v="0"/>
  </r>
  <r>
    <d v="2024-10-21T00:00:00"/>
    <x v="0"/>
    <x v="2"/>
    <x v="1"/>
    <x v="467"/>
    <n v="4145"/>
    <n v="5"/>
    <x v="466"/>
    <x v="475"/>
    <x v="0"/>
  </r>
  <r>
    <d v="2023-01-22T00:00:00"/>
    <x v="1"/>
    <x v="2"/>
    <x v="3"/>
    <x v="468"/>
    <n v="4510"/>
    <n v="20"/>
    <x v="467"/>
    <x v="476"/>
    <x v="2"/>
  </r>
  <r>
    <d v="2022-12-14T00:00:00"/>
    <x v="2"/>
    <x v="3"/>
    <x v="1"/>
    <x v="469"/>
    <n v="11684"/>
    <n v="0"/>
    <x v="468"/>
    <x v="477"/>
    <x v="1"/>
  </r>
  <r>
    <d v="2022-07-09T00:00:00"/>
    <x v="0"/>
    <x v="0"/>
    <x v="1"/>
    <x v="470"/>
    <n v="364"/>
    <n v="20"/>
    <x v="469"/>
    <x v="478"/>
    <x v="1"/>
  </r>
  <r>
    <d v="2023-05-20T00:00:00"/>
    <x v="3"/>
    <x v="3"/>
    <x v="3"/>
    <x v="471"/>
    <n v="9791"/>
    <n v="5"/>
    <x v="470"/>
    <x v="479"/>
    <x v="2"/>
  </r>
  <r>
    <d v="2024-04-03T00:00:00"/>
    <x v="2"/>
    <x v="3"/>
    <x v="2"/>
    <x v="472"/>
    <n v="6682"/>
    <n v="5"/>
    <x v="471"/>
    <x v="480"/>
    <x v="0"/>
  </r>
  <r>
    <d v="2024-07-17T00:00:00"/>
    <x v="3"/>
    <x v="1"/>
    <x v="1"/>
    <x v="473"/>
    <n v="9907"/>
    <n v="15"/>
    <x v="472"/>
    <x v="481"/>
    <x v="0"/>
  </r>
  <r>
    <d v="2024-07-22T00:00:00"/>
    <x v="1"/>
    <x v="1"/>
    <x v="3"/>
    <x v="474"/>
    <n v="1268"/>
    <n v="20"/>
    <x v="473"/>
    <x v="482"/>
    <x v="0"/>
  </r>
  <r>
    <d v="2022-05-14T00:00:00"/>
    <x v="2"/>
    <x v="2"/>
    <x v="0"/>
    <x v="475"/>
    <n v="668"/>
    <n v="10"/>
    <x v="474"/>
    <x v="483"/>
    <x v="1"/>
  </r>
  <r>
    <d v="2022-02-27T00:00:00"/>
    <x v="2"/>
    <x v="3"/>
    <x v="0"/>
    <x v="476"/>
    <n v="8724"/>
    <n v="15"/>
    <x v="475"/>
    <x v="484"/>
    <x v="1"/>
  </r>
  <r>
    <d v="2023-11-16T00:00:00"/>
    <x v="3"/>
    <x v="2"/>
    <x v="0"/>
    <x v="477"/>
    <n v="2542"/>
    <n v="20"/>
    <x v="476"/>
    <x v="485"/>
    <x v="2"/>
  </r>
  <r>
    <d v="2023-11-03T00:00:00"/>
    <x v="2"/>
    <x v="0"/>
    <x v="3"/>
    <x v="478"/>
    <n v="5302"/>
    <n v="0"/>
    <x v="477"/>
    <x v="486"/>
    <x v="2"/>
  </r>
  <r>
    <d v="2022-06-22T00:00:00"/>
    <x v="2"/>
    <x v="3"/>
    <x v="0"/>
    <x v="479"/>
    <n v="3383"/>
    <n v="0"/>
    <x v="478"/>
    <x v="487"/>
    <x v="1"/>
  </r>
  <r>
    <d v="2024-03-25T00:00:00"/>
    <x v="2"/>
    <x v="3"/>
    <x v="1"/>
    <x v="480"/>
    <n v="8373"/>
    <n v="5"/>
    <x v="479"/>
    <x v="488"/>
    <x v="0"/>
  </r>
  <r>
    <d v="2022-03-21T00:00:00"/>
    <x v="1"/>
    <x v="0"/>
    <x v="0"/>
    <x v="481"/>
    <n v="9412"/>
    <n v="10"/>
    <x v="480"/>
    <x v="489"/>
    <x v="1"/>
  </r>
  <r>
    <d v="2024-06-04T00:00:00"/>
    <x v="3"/>
    <x v="0"/>
    <x v="0"/>
    <x v="482"/>
    <n v="9180"/>
    <n v="0"/>
    <x v="481"/>
    <x v="490"/>
    <x v="0"/>
  </r>
  <r>
    <d v="2022-07-22T00:00:00"/>
    <x v="2"/>
    <x v="2"/>
    <x v="1"/>
    <x v="483"/>
    <n v="1769"/>
    <n v="20"/>
    <x v="482"/>
    <x v="491"/>
    <x v="1"/>
  </r>
  <r>
    <d v="2024-02-03T00:00:00"/>
    <x v="0"/>
    <x v="2"/>
    <x v="0"/>
    <x v="484"/>
    <n v="5025"/>
    <n v="20"/>
    <x v="483"/>
    <x v="492"/>
    <x v="0"/>
  </r>
  <r>
    <d v="2022-02-16T00:00:00"/>
    <x v="0"/>
    <x v="0"/>
    <x v="1"/>
    <x v="485"/>
    <n v="4559"/>
    <n v="0"/>
    <x v="484"/>
    <x v="493"/>
    <x v="1"/>
  </r>
  <r>
    <d v="2023-10-18T00:00:00"/>
    <x v="0"/>
    <x v="2"/>
    <x v="0"/>
    <x v="486"/>
    <n v="3922"/>
    <n v="20"/>
    <x v="485"/>
    <x v="494"/>
    <x v="2"/>
  </r>
  <r>
    <d v="2023-04-16T00:00:00"/>
    <x v="0"/>
    <x v="0"/>
    <x v="1"/>
    <x v="487"/>
    <n v="10592"/>
    <n v="20"/>
    <x v="486"/>
    <x v="495"/>
    <x v="2"/>
  </r>
  <r>
    <d v="2024-08-28T00:00:00"/>
    <x v="1"/>
    <x v="3"/>
    <x v="0"/>
    <x v="488"/>
    <n v="10757"/>
    <n v="5"/>
    <x v="487"/>
    <x v="496"/>
    <x v="0"/>
  </r>
  <r>
    <d v="2024-11-01T00:00:00"/>
    <x v="2"/>
    <x v="3"/>
    <x v="1"/>
    <x v="489"/>
    <n v="1123"/>
    <n v="10"/>
    <x v="488"/>
    <x v="497"/>
    <x v="0"/>
  </r>
  <r>
    <d v="2024-01-06T00:00:00"/>
    <x v="3"/>
    <x v="1"/>
    <x v="3"/>
    <x v="490"/>
    <n v="3731"/>
    <n v="5"/>
    <x v="489"/>
    <x v="498"/>
    <x v="0"/>
  </r>
  <r>
    <d v="2024-02-23T00:00:00"/>
    <x v="2"/>
    <x v="3"/>
    <x v="1"/>
    <x v="491"/>
    <n v="6828"/>
    <n v="10"/>
    <x v="490"/>
    <x v="499"/>
    <x v="0"/>
  </r>
  <r>
    <d v="2024-08-25T00:00:00"/>
    <x v="1"/>
    <x v="0"/>
    <x v="0"/>
    <x v="492"/>
    <n v="4451"/>
    <n v="20"/>
    <x v="491"/>
    <x v="500"/>
    <x v="0"/>
  </r>
  <r>
    <d v="2022-12-24T00:00:00"/>
    <x v="0"/>
    <x v="2"/>
    <x v="0"/>
    <x v="493"/>
    <n v="4513"/>
    <n v="10"/>
    <x v="492"/>
    <x v="501"/>
    <x v="1"/>
  </r>
  <r>
    <d v="2024-08-29T00:00:00"/>
    <x v="1"/>
    <x v="1"/>
    <x v="2"/>
    <x v="494"/>
    <n v="7720"/>
    <n v="20"/>
    <x v="493"/>
    <x v="502"/>
    <x v="0"/>
  </r>
  <r>
    <d v="2023-10-30T00:00:00"/>
    <x v="2"/>
    <x v="2"/>
    <x v="1"/>
    <x v="495"/>
    <n v="9289"/>
    <n v="20"/>
    <x v="494"/>
    <x v="503"/>
    <x v="2"/>
  </r>
  <r>
    <d v="2023-01-08T00:00:00"/>
    <x v="3"/>
    <x v="0"/>
    <x v="3"/>
    <x v="496"/>
    <n v="1079"/>
    <n v="5"/>
    <x v="495"/>
    <x v="504"/>
    <x v="2"/>
  </r>
  <r>
    <d v="2024-10-28T00:00:00"/>
    <x v="1"/>
    <x v="3"/>
    <x v="1"/>
    <x v="497"/>
    <n v="11342"/>
    <n v="5"/>
    <x v="496"/>
    <x v="505"/>
    <x v="0"/>
  </r>
  <r>
    <d v="2023-11-07T00:00:00"/>
    <x v="3"/>
    <x v="1"/>
    <x v="1"/>
    <x v="498"/>
    <n v="3192"/>
    <n v="15"/>
    <x v="497"/>
    <x v="506"/>
    <x v="2"/>
  </r>
  <r>
    <d v="2022-03-31T00:00:00"/>
    <x v="1"/>
    <x v="0"/>
    <x v="3"/>
    <x v="499"/>
    <n v="5834"/>
    <n v="0"/>
    <x v="498"/>
    <x v="507"/>
    <x v="1"/>
  </r>
  <r>
    <d v="2023-11-29T00:00:00"/>
    <x v="3"/>
    <x v="1"/>
    <x v="1"/>
    <x v="500"/>
    <n v="10385"/>
    <n v="15"/>
    <x v="499"/>
    <x v="508"/>
    <x v="2"/>
  </r>
  <r>
    <d v="2023-06-24T00:00:00"/>
    <x v="3"/>
    <x v="1"/>
    <x v="3"/>
    <x v="501"/>
    <n v="3606"/>
    <n v="15"/>
    <x v="500"/>
    <x v="509"/>
    <x v="2"/>
  </r>
  <r>
    <d v="2024-01-02T00:00:00"/>
    <x v="0"/>
    <x v="3"/>
    <x v="3"/>
    <x v="502"/>
    <n v="3202"/>
    <n v="10"/>
    <x v="501"/>
    <x v="510"/>
    <x v="0"/>
  </r>
  <r>
    <d v="2024-05-18T00:00:00"/>
    <x v="3"/>
    <x v="0"/>
    <x v="1"/>
    <x v="503"/>
    <n v="4018"/>
    <n v="20"/>
    <x v="502"/>
    <x v="511"/>
    <x v="0"/>
  </r>
  <r>
    <d v="2022-02-10T00:00:00"/>
    <x v="0"/>
    <x v="2"/>
    <x v="1"/>
    <x v="504"/>
    <n v="321"/>
    <n v="20"/>
    <x v="503"/>
    <x v="512"/>
    <x v="1"/>
  </r>
  <r>
    <d v="2024-01-10T00:00:00"/>
    <x v="2"/>
    <x v="1"/>
    <x v="0"/>
    <x v="505"/>
    <n v="1800"/>
    <n v="20"/>
    <x v="504"/>
    <x v="513"/>
    <x v="0"/>
  </r>
  <r>
    <d v="2023-05-17T00:00:00"/>
    <x v="2"/>
    <x v="1"/>
    <x v="0"/>
    <x v="506"/>
    <n v="9334"/>
    <n v="0"/>
    <x v="505"/>
    <x v="514"/>
    <x v="2"/>
  </r>
  <r>
    <d v="2024-08-16T00:00:00"/>
    <x v="0"/>
    <x v="2"/>
    <x v="2"/>
    <x v="507"/>
    <n v="10252"/>
    <n v="10"/>
    <x v="506"/>
    <x v="515"/>
    <x v="0"/>
  </r>
  <r>
    <d v="2024-07-17T00:00:00"/>
    <x v="0"/>
    <x v="0"/>
    <x v="2"/>
    <x v="508"/>
    <n v="3941"/>
    <n v="10"/>
    <x v="507"/>
    <x v="516"/>
    <x v="0"/>
  </r>
  <r>
    <d v="2023-04-06T00:00:00"/>
    <x v="1"/>
    <x v="1"/>
    <x v="1"/>
    <x v="509"/>
    <n v="5512"/>
    <n v="20"/>
    <x v="508"/>
    <x v="517"/>
    <x v="2"/>
  </r>
  <r>
    <d v="2024-01-02T00:00:00"/>
    <x v="1"/>
    <x v="1"/>
    <x v="3"/>
    <x v="510"/>
    <n v="491"/>
    <n v="15"/>
    <x v="509"/>
    <x v="518"/>
    <x v="0"/>
  </r>
  <r>
    <d v="2024-01-22T00:00:00"/>
    <x v="1"/>
    <x v="1"/>
    <x v="2"/>
    <x v="511"/>
    <n v="8887"/>
    <n v="0"/>
    <x v="390"/>
    <x v="519"/>
    <x v="0"/>
  </r>
  <r>
    <d v="2024-07-13T00:00:00"/>
    <x v="2"/>
    <x v="0"/>
    <x v="1"/>
    <x v="512"/>
    <n v="7474"/>
    <n v="15"/>
    <x v="510"/>
    <x v="520"/>
    <x v="0"/>
  </r>
  <r>
    <d v="2024-06-27T00:00:00"/>
    <x v="1"/>
    <x v="0"/>
    <x v="2"/>
    <x v="513"/>
    <n v="5414"/>
    <n v="5"/>
    <x v="511"/>
    <x v="521"/>
    <x v="0"/>
  </r>
  <r>
    <d v="2023-01-25T00:00:00"/>
    <x v="3"/>
    <x v="2"/>
    <x v="3"/>
    <x v="514"/>
    <n v="4962"/>
    <n v="10"/>
    <x v="512"/>
    <x v="522"/>
    <x v="2"/>
  </r>
  <r>
    <d v="2024-06-01T00:00:00"/>
    <x v="3"/>
    <x v="0"/>
    <x v="1"/>
    <x v="515"/>
    <n v="4626"/>
    <n v="10"/>
    <x v="513"/>
    <x v="523"/>
    <x v="0"/>
  </r>
  <r>
    <d v="2022-09-13T00:00:00"/>
    <x v="1"/>
    <x v="0"/>
    <x v="3"/>
    <x v="516"/>
    <n v="9365"/>
    <n v="15"/>
    <x v="514"/>
    <x v="524"/>
    <x v="1"/>
  </r>
  <r>
    <d v="2023-12-10T00:00:00"/>
    <x v="3"/>
    <x v="3"/>
    <x v="1"/>
    <x v="517"/>
    <n v="11113"/>
    <n v="0"/>
    <x v="515"/>
    <x v="525"/>
    <x v="2"/>
  </r>
  <r>
    <d v="2023-03-26T00:00:00"/>
    <x v="2"/>
    <x v="2"/>
    <x v="2"/>
    <x v="518"/>
    <n v="4635"/>
    <n v="10"/>
    <x v="516"/>
    <x v="526"/>
    <x v="2"/>
  </r>
  <r>
    <d v="2022-01-10T00:00:00"/>
    <x v="3"/>
    <x v="1"/>
    <x v="0"/>
    <x v="519"/>
    <n v="8581"/>
    <n v="15"/>
    <x v="517"/>
    <x v="527"/>
    <x v="1"/>
  </r>
  <r>
    <d v="2024-04-03T00:00:00"/>
    <x v="2"/>
    <x v="0"/>
    <x v="2"/>
    <x v="520"/>
    <n v="10771"/>
    <n v="0"/>
    <x v="518"/>
    <x v="528"/>
    <x v="0"/>
  </r>
  <r>
    <d v="2024-03-08T00:00:00"/>
    <x v="0"/>
    <x v="1"/>
    <x v="2"/>
    <x v="191"/>
    <n v="8948"/>
    <n v="15"/>
    <x v="95"/>
    <x v="529"/>
    <x v="0"/>
  </r>
  <r>
    <d v="2024-05-26T00:00:00"/>
    <x v="0"/>
    <x v="1"/>
    <x v="0"/>
    <x v="521"/>
    <n v="10772"/>
    <n v="0"/>
    <x v="519"/>
    <x v="530"/>
    <x v="0"/>
  </r>
  <r>
    <d v="2024-10-25T00:00:00"/>
    <x v="0"/>
    <x v="3"/>
    <x v="0"/>
    <x v="522"/>
    <n v="9496"/>
    <n v="20"/>
    <x v="520"/>
    <x v="531"/>
    <x v="0"/>
  </r>
  <r>
    <d v="2024-10-12T00:00:00"/>
    <x v="0"/>
    <x v="0"/>
    <x v="1"/>
    <x v="523"/>
    <n v="5794"/>
    <n v="0"/>
    <x v="170"/>
    <x v="532"/>
    <x v="0"/>
  </r>
  <r>
    <d v="2023-01-09T00:00:00"/>
    <x v="3"/>
    <x v="2"/>
    <x v="1"/>
    <x v="524"/>
    <n v="8836"/>
    <n v="5"/>
    <x v="521"/>
    <x v="533"/>
    <x v="2"/>
  </r>
  <r>
    <d v="2024-12-24T00:00:00"/>
    <x v="1"/>
    <x v="0"/>
    <x v="3"/>
    <x v="525"/>
    <n v="3011"/>
    <n v="20"/>
    <x v="522"/>
    <x v="534"/>
    <x v="0"/>
  </r>
  <r>
    <d v="2022-05-26T00:00:00"/>
    <x v="3"/>
    <x v="1"/>
    <x v="3"/>
    <x v="526"/>
    <n v="7895"/>
    <n v="15"/>
    <x v="523"/>
    <x v="535"/>
    <x v="1"/>
  </r>
  <r>
    <d v="2022-08-12T00:00:00"/>
    <x v="2"/>
    <x v="2"/>
    <x v="2"/>
    <x v="500"/>
    <n v="6573"/>
    <n v="20"/>
    <x v="524"/>
    <x v="536"/>
    <x v="1"/>
  </r>
  <r>
    <d v="2022-06-26T00:00:00"/>
    <x v="3"/>
    <x v="0"/>
    <x v="0"/>
    <x v="527"/>
    <n v="6584"/>
    <n v="20"/>
    <x v="525"/>
    <x v="537"/>
    <x v="1"/>
  </r>
  <r>
    <d v="2024-05-02T00:00:00"/>
    <x v="3"/>
    <x v="1"/>
    <x v="3"/>
    <x v="528"/>
    <n v="10954"/>
    <n v="15"/>
    <x v="526"/>
    <x v="538"/>
    <x v="0"/>
  </r>
  <r>
    <d v="2022-03-04T00:00:00"/>
    <x v="2"/>
    <x v="1"/>
    <x v="2"/>
    <x v="529"/>
    <n v="9608"/>
    <n v="15"/>
    <x v="527"/>
    <x v="539"/>
    <x v="1"/>
  </r>
  <r>
    <d v="2024-04-06T00:00:00"/>
    <x v="0"/>
    <x v="3"/>
    <x v="0"/>
    <x v="530"/>
    <n v="9117"/>
    <n v="5"/>
    <x v="528"/>
    <x v="540"/>
    <x v="0"/>
  </r>
  <r>
    <d v="2024-03-05T00:00:00"/>
    <x v="0"/>
    <x v="3"/>
    <x v="1"/>
    <x v="531"/>
    <n v="10471"/>
    <n v="15"/>
    <x v="529"/>
    <x v="541"/>
    <x v="0"/>
  </r>
  <r>
    <d v="2023-11-20T00:00:00"/>
    <x v="0"/>
    <x v="3"/>
    <x v="2"/>
    <x v="532"/>
    <n v="4294"/>
    <n v="10"/>
    <x v="530"/>
    <x v="542"/>
    <x v="2"/>
  </r>
  <r>
    <d v="2022-04-15T00:00:00"/>
    <x v="1"/>
    <x v="1"/>
    <x v="1"/>
    <x v="533"/>
    <n v="1978"/>
    <n v="10"/>
    <x v="531"/>
    <x v="543"/>
    <x v="1"/>
  </r>
  <r>
    <d v="2023-05-26T00:00:00"/>
    <x v="2"/>
    <x v="0"/>
    <x v="3"/>
    <x v="534"/>
    <n v="8714"/>
    <n v="5"/>
    <x v="293"/>
    <x v="544"/>
    <x v="2"/>
  </r>
  <r>
    <d v="2023-01-20T00:00:00"/>
    <x v="2"/>
    <x v="3"/>
    <x v="3"/>
    <x v="535"/>
    <n v="1043"/>
    <n v="0"/>
    <x v="532"/>
    <x v="545"/>
    <x v="2"/>
  </r>
  <r>
    <d v="2023-02-09T00:00:00"/>
    <x v="3"/>
    <x v="0"/>
    <x v="0"/>
    <x v="536"/>
    <n v="762"/>
    <n v="0"/>
    <x v="533"/>
    <x v="546"/>
    <x v="2"/>
  </r>
  <r>
    <d v="2024-04-02T00:00:00"/>
    <x v="1"/>
    <x v="3"/>
    <x v="2"/>
    <x v="537"/>
    <n v="1868"/>
    <n v="10"/>
    <x v="534"/>
    <x v="547"/>
    <x v="0"/>
  </r>
  <r>
    <d v="2023-06-02T00:00:00"/>
    <x v="0"/>
    <x v="2"/>
    <x v="1"/>
    <x v="538"/>
    <n v="11839"/>
    <n v="15"/>
    <x v="535"/>
    <x v="548"/>
    <x v="2"/>
  </r>
  <r>
    <d v="2023-04-21T00:00:00"/>
    <x v="1"/>
    <x v="2"/>
    <x v="0"/>
    <x v="539"/>
    <n v="2036"/>
    <n v="5"/>
    <x v="536"/>
    <x v="549"/>
    <x v="2"/>
  </r>
  <r>
    <d v="2023-12-10T00:00:00"/>
    <x v="2"/>
    <x v="3"/>
    <x v="3"/>
    <x v="540"/>
    <n v="8203"/>
    <n v="0"/>
    <x v="537"/>
    <x v="550"/>
    <x v="2"/>
  </r>
  <r>
    <d v="2024-02-10T00:00:00"/>
    <x v="2"/>
    <x v="1"/>
    <x v="3"/>
    <x v="541"/>
    <n v="7302"/>
    <n v="0"/>
    <x v="538"/>
    <x v="551"/>
    <x v="0"/>
  </r>
  <r>
    <d v="2024-11-12T00:00:00"/>
    <x v="3"/>
    <x v="3"/>
    <x v="2"/>
    <x v="542"/>
    <n v="9156"/>
    <n v="20"/>
    <x v="539"/>
    <x v="552"/>
    <x v="0"/>
  </r>
  <r>
    <d v="2024-09-23T00:00:00"/>
    <x v="3"/>
    <x v="3"/>
    <x v="1"/>
    <x v="543"/>
    <n v="1656"/>
    <n v="10"/>
    <x v="540"/>
    <x v="553"/>
    <x v="0"/>
  </r>
  <r>
    <d v="2023-11-08T00:00:00"/>
    <x v="2"/>
    <x v="1"/>
    <x v="2"/>
    <x v="544"/>
    <n v="1314"/>
    <n v="15"/>
    <x v="541"/>
    <x v="554"/>
    <x v="2"/>
  </r>
  <r>
    <d v="2023-12-15T00:00:00"/>
    <x v="0"/>
    <x v="2"/>
    <x v="1"/>
    <x v="545"/>
    <n v="10624"/>
    <n v="5"/>
    <x v="542"/>
    <x v="555"/>
    <x v="2"/>
  </r>
  <r>
    <d v="2022-03-24T00:00:00"/>
    <x v="0"/>
    <x v="0"/>
    <x v="1"/>
    <x v="546"/>
    <n v="11160"/>
    <n v="0"/>
    <x v="543"/>
    <x v="556"/>
    <x v="1"/>
  </r>
  <r>
    <d v="2023-04-02T00:00:00"/>
    <x v="1"/>
    <x v="3"/>
    <x v="2"/>
    <x v="547"/>
    <n v="1354"/>
    <n v="20"/>
    <x v="544"/>
    <x v="557"/>
    <x v="2"/>
  </r>
  <r>
    <d v="2022-01-01T00:00:00"/>
    <x v="2"/>
    <x v="1"/>
    <x v="0"/>
    <x v="548"/>
    <n v="2064"/>
    <n v="10"/>
    <x v="545"/>
    <x v="558"/>
    <x v="1"/>
  </r>
  <r>
    <d v="2022-02-20T00:00:00"/>
    <x v="2"/>
    <x v="3"/>
    <x v="2"/>
    <x v="549"/>
    <n v="6309"/>
    <n v="10"/>
    <x v="546"/>
    <x v="559"/>
    <x v="1"/>
  </r>
  <r>
    <d v="2023-11-16T00:00:00"/>
    <x v="0"/>
    <x v="1"/>
    <x v="2"/>
    <x v="550"/>
    <n v="4758"/>
    <n v="5"/>
    <x v="547"/>
    <x v="560"/>
    <x v="2"/>
  </r>
  <r>
    <d v="2023-12-18T00:00:00"/>
    <x v="0"/>
    <x v="0"/>
    <x v="3"/>
    <x v="551"/>
    <n v="11361"/>
    <n v="0"/>
    <x v="548"/>
    <x v="561"/>
    <x v="2"/>
  </r>
  <r>
    <d v="2023-03-25T00:00:00"/>
    <x v="2"/>
    <x v="0"/>
    <x v="3"/>
    <x v="552"/>
    <n v="9904"/>
    <n v="5"/>
    <x v="549"/>
    <x v="562"/>
    <x v="2"/>
  </r>
  <r>
    <d v="2024-05-30T00:00:00"/>
    <x v="3"/>
    <x v="2"/>
    <x v="2"/>
    <x v="553"/>
    <n v="967"/>
    <n v="5"/>
    <x v="550"/>
    <x v="563"/>
    <x v="0"/>
  </r>
  <r>
    <d v="2023-05-03T00:00:00"/>
    <x v="2"/>
    <x v="1"/>
    <x v="2"/>
    <x v="61"/>
    <n v="3670"/>
    <n v="20"/>
    <x v="551"/>
    <x v="564"/>
    <x v="2"/>
  </r>
  <r>
    <d v="2022-02-03T00:00:00"/>
    <x v="2"/>
    <x v="1"/>
    <x v="3"/>
    <x v="554"/>
    <n v="6276"/>
    <n v="10"/>
    <x v="552"/>
    <x v="565"/>
    <x v="1"/>
  </r>
  <r>
    <d v="2022-04-05T00:00:00"/>
    <x v="0"/>
    <x v="2"/>
    <x v="1"/>
    <x v="555"/>
    <n v="1694"/>
    <n v="15"/>
    <x v="553"/>
    <x v="566"/>
    <x v="1"/>
  </r>
  <r>
    <d v="2024-12-31T00:00:00"/>
    <x v="0"/>
    <x v="2"/>
    <x v="2"/>
    <x v="556"/>
    <n v="8590"/>
    <n v="10"/>
    <x v="554"/>
    <x v="567"/>
    <x v="0"/>
  </r>
  <r>
    <d v="2022-06-03T00:00:00"/>
    <x v="3"/>
    <x v="1"/>
    <x v="0"/>
    <x v="557"/>
    <n v="4370"/>
    <n v="10"/>
    <x v="555"/>
    <x v="568"/>
    <x v="1"/>
  </r>
  <r>
    <d v="2022-09-07T00:00:00"/>
    <x v="3"/>
    <x v="2"/>
    <x v="0"/>
    <x v="558"/>
    <n v="7282"/>
    <n v="20"/>
    <x v="556"/>
    <x v="569"/>
    <x v="1"/>
  </r>
  <r>
    <d v="2023-11-05T00:00:00"/>
    <x v="1"/>
    <x v="0"/>
    <x v="0"/>
    <x v="57"/>
    <n v="8913"/>
    <n v="15"/>
    <x v="557"/>
    <x v="570"/>
    <x v="2"/>
  </r>
  <r>
    <d v="2023-03-14T00:00:00"/>
    <x v="2"/>
    <x v="3"/>
    <x v="2"/>
    <x v="559"/>
    <n v="5899"/>
    <n v="0"/>
    <x v="558"/>
    <x v="571"/>
    <x v="2"/>
  </r>
  <r>
    <d v="2022-04-28T00:00:00"/>
    <x v="0"/>
    <x v="0"/>
    <x v="1"/>
    <x v="560"/>
    <n v="3950"/>
    <n v="15"/>
    <x v="559"/>
    <x v="572"/>
    <x v="1"/>
  </r>
  <r>
    <d v="2024-02-10T00:00:00"/>
    <x v="3"/>
    <x v="2"/>
    <x v="1"/>
    <x v="561"/>
    <n v="9624"/>
    <n v="0"/>
    <x v="560"/>
    <x v="573"/>
    <x v="0"/>
  </r>
  <r>
    <d v="2022-09-25T00:00:00"/>
    <x v="1"/>
    <x v="1"/>
    <x v="3"/>
    <x v="562"/>
    <n v="10194"/>
    <n v="15"/>
    <x v="561"/>
    <x v="574"/>
    <x v="1"/>
  </r>
  <r>
    <d v="2024-12-13T00:00:00"/>
    <x v="1"/>
    <x v="1"/>
    <x v="2"/>
    <x v="563"/>
    <n v="3920"/>
    <n v="5"/>
    <x v="562"/>
    <x v="575"/>
    <x v="0"/>
  </r>
  <r>
    <d v="2022-08-24T00:00:00"/>
    <x v="0"/>
    <x v="0"/>
    <x v="1"/>
    <x v="564"/>
    <n v="3490"/>
    <n v="15"/>
    <x v="563"/>
    <x v="576"/>
    <x v="1"/>
  </r>
  <r>
    <d v="2023-01-24T00:00:00"/>
    <x v="0"/>
    <x v="1"/>
    <x v="2"/>
    <x v="565"/>
    <n v="9089"/>
    <n v="20"/>
    <x v="564"/>
    <x v="577"/>
    <x v="2"/>
  </r>
  <r>
    <d v="2024-09-16T00:00:00"/>
    <x v="1"/>
    <x v="2"/>
    <x v="3"/>
    <x v="566"/>
    <n v="691"/>
    <n v="0"/>
    <x v="565"/>
    <x v="578"/>
    <x v="0"/>
  </r>
  <r>
    <d v="2024-02-02T00:00:00"/>
    <x v="3"/>
    <x v="0"/>
    <x v="3"/>
    <x v="567"/>
    <n v="1375"/>
    <n v="10"/>
    <x v="566"/>
    <x v="579"/>
    <x v="0"/>
  </r>
  <r>
    <d v="2023-02-05T00:00:00"/>
    <x v="1"/>
    <x v="1"/>
    <x v="3"/>
    <x v="568"/>
    <n v="2950"/>
    <n v="20"/>
    <x v="567"/>
    <x v="580"/>
    <x v="2"/>
  </r>
  <r>
    <d v="2023-09-16T00:00:00"/>
    <x v="2"/>
    <x v="3"/>
    <x v="0"/>
    <x v="569"/>
    <n v="2684"/>
    <n v="0"/>
    <x v="568"/>
    <x v="581"/>
    <x v="2"/>
  </r>
  <r>
    <d v="2024-02-06T00:00:00"/>
    <x v="2"/>
    <x v="3"/>
    <x v="2"/>
    <x v="491"/>
    <n v="1109"/>
    <n v="0"/>
    <x v="569"/>
    <x v="582"/>
    <x v="0"/>
  </r>
  <r>
    <d v="2024-07-07T00:00:00"/>
    <x v="0"/>
    <x v="2"/>
    <x v="3"/>
    <x v="570"/>
    <n v="8347"/>
    <n v="10"/>
    <x v="315"/>
    <x v="583"/>
    <x v="0"/>
  </r>
  <r>
    <d v="2024-05-02T00:00:00"/>
    <x v="3"/>
    <x v="1"/>
    <x v="2"/>
    <x v="571"/>
    <n v="11801"/>
    <n v="5"/>
    <x v="570"/>
    <x v="584"/>
    <x v="0"/>
  </r>
  <r>
    <d v="2023-08-01T00:00:00"/>
    <x v="3"/>
    <x v="2"/>
    <x v="0"/>
    <x v="572"/>
    <n v="5801"/>
    <n v="20"/>
    <x v="571"/>
    <x v="585"/>
    <x v="2"/>
  </r>
  <r>
    <d v="2022-03-16T00:00:00"/>
    <x v="2"/>
    <x v="0"/>
    <x v="0"/>
    <x v="573"/>
    <n v="7195"/>
    <n v="10"/>
    <x v="572"/>
    <x v="586"/>
    <x v="1"/>
  </r>
  <r>
    <d v="2023-03-11T00:00:00"/>
    <x v="1"/>
    <x v="3"/>
    <x v="3"/>
    <x v="574"/>
    <n v="1459"/>
    <n v="10"/>
    <x v="573"/>
    <x v="587"/>
    <x v="2"/>
  </r>
  <r>
    <d v="2022-04-13T00:00:00"/>
    <x v="0"/>
    <x v="0"/>
    <x v="3"/>
    <x v="575"/>
    <n v="7874"/>
    <n v="5"/>
    <x v="574"/>
    <x v="588"/>
    <x v="1"/>
  </r>
  <r>
    <d v="2024-02-03T00:00:00"/>
    <x v="1"/>
    <x v="1"/>
    <x v="1"/>
    <x v="576"/>
    <n v="1831"/>
    <n v="20"/>
    <x v="575"/>
    <x v="589"/>
    <x v="0"/>
  </r>
  <r>
    <d v="2024-01-08T00:00:00"/>
    <x v="1"/>
    <x v="2"/>
    <x v="2"/>
    <x v="577"/>
    <n v="5781"/>
    <n v="10"/>
    <x v="576"/>
    <x v="590"/>
    <x v="0"/>
  </r>
  <r>
    <d v="2024-03-16T00:00:00"/>
    <x v="1"/>
    <x v="2"/>
    <x v="3"/>
    <x v="578"/>
    <n v="7848"/>
    <n v="5"/>
    <x v="577"/>
    <x v="591"/>
    <x v="0"/>
  </r>
  <r>
    <d v="2022-04-08T00:00:00"/>
    <x v="3"/>
    <x v="2"/>
    <x v="1"/>
    <x v="579"/>
    <n v="5276"/>
    <n v="20"/>
    <x v="578"/>
    <x v="592"/>
    <x v="1"/>
  </r>
  <r>
    <d v="2024-03-08T00:00:00"/>
    <x v="2"/>
    <x v="0"/>
    <x v="2"/>
    <x v="580"/>
    <n v="5995"/>
    <n v="15"/>
    <x v="579"/>
    <x v="593"/>
    <x v="0"/>
  </r>
  <r>
    <d v="2024-05-08T00:00:00"/>
    <x v="3"/>
    <x v="3"/>
    <x v="3"/>
    <x v="581"/>
    <n v="11174"/>
    <n v="0"/>
    <x v="580"/>
    <x v="594"/>
    <x v="0"/>
  </r>
  <r>
    <d v="2023-03-11T00:00:00"/>
    <x v="2"/>
    <x v="0"/>
    <x v="1"/>
    <x v="582"/>
    <n v="8745"/>
    <n v="5"/>
    <x v="581"/>
    <x v="595"/>
    <x v="2"/>
  </r>
  <r>
    <d v="2023-03-23T00:00:00"/>
    <x v="0"/>
    <x v="0"/>
    <x v="1"/>
    <x v="228"/>
    <n v="3848"/>
    <n v="0"/>
    <x v="582"/>
    <x v="596"/>
    <x v="2"/>
  </r>
  <r>
    <d v="2022-09-06T00:00:00"/>
    <x v="0"/>
    <x v="1"/>
    <x v="2"/>
    <x v="583"/>
    <n v="11677"/>
    <n v="15"/>
    <x v="583"/>
    <x v="597"/>
    <x v="1"/>
  </r>
  <r>
    <d v="2022-06-15T00:00:00"/>
    <x v="1"/>
    <x v="1"/>
    <x v="1"/>
    <x v="584"/>
    <n v="6463"/>
    <n v="10"/>
    <x v="584"/>
    <x v="598"/>
    <x v="1"/>
  </r>
  <r>
    <d v="2024-09-10T00:00:00"/>
    <x v="2"/>
    <x v="1"/>
    <x v="2"/>
    <x v="585"/>
    <n v="6971"/>
    <n v="10"/>
    <x v="585"/>
    <x v="599"/>
    <x v="0"/>
  </r>
  <r>
    <d v="2024-10-16T00:00:00"/>
    <x v="2"/>
    <x v="3"/>
    <x v="2"/>
    <x v="586"/>
    <n v="5564"/>
    <n v="20"/>
    <x v="586"/>
    <x v="600"/>
    <x v="0"/>
  </r>
  <r>
    <d v="2023-06-26T00:00:00"/>
    <x v="2"/>
    <x v="3"/>
    <x v="2"/>
    <x v="587"/>
    <n v="1531"/>
    <n v="5"/>
    <x v="587"/>
    <x v="601"/>
    <x v="2"/>
  </r>
  <r>
    <d v="2024-01-29T00:00:00"/>
    <x v="1"/>
    <x v="1"/>
    <x v="0"/>
    <x v="588"/>
    <n v="2723"/>
    <n v="5"/>
    <x v="588"/>
    <x v="602"/>
    <x v="0"/>
  </r>
  <r>
    <d v="2022-03-22T00:00:00"/>
    <x v="1"/>
    <x v="1"/>
    <x v="1"/>
    <x v="589"/>
    <n v="8371"/>
    <n v="20"/>
    <x v="589"/>
    <x v="603"/>
    <x v="1"/>
  </r>
  <r>
    <d v="2022-05-13T00:00:00"/>
    <x v="0"/>
    <x v="3"/>
    <x v="2"/>
    <x v="590"/>
    <n v="4561"/>
    <n v="0"/>
    <x v="590"/>
    <x v="604"/>
    <x v="1"/>
  </r>
  <r>
    <d v="2024-03-07T00:00:00"/>
    <x v="3"/>
    <x v="2"/>
    <x v="3"/>
    <x v="591"/>
    <n v="10065"/>
    <n v="10"/>
    <x v="548"/>
    <x v="605"/>
    <x v="0"/>
  </r>
  <r>
    <d v="2024-06-18T00:00:00"/>
    <x v="2"/>
    <x v="3"/>
    <x v="0"/>
    <x v="592"/>
    <n v="3208"/>
    <n v="10"/>
    <x v="591"/>
    <x v="606"/>
    <x v="0"/>
  </r>
  <r>
    <d v="2022-05-18T00:00:00"/>
    <x v="2"/>
    <x v="3"/>
    <x v="0"/>
    <x v="593"/>
    <n v="5012"/>
    <n v="5"/>
    <x v="592"/>
    <x v="607"/>
    <x v="1"/>
  </r>
  <r>
    <d v="2022-07-03T00:00:00"/>
    <x v="3"/>
    <x v="3"/>
    <x v="1"/>
    <x v="594"/>
    <n v="7055"/>
    <n v="5"/>
    <x v="593"/>
    <x v="608"/>
    <x v="1"/>
  </r>
  <r>
    <d v="2024-02-24T00:00:00"/>
    <x v="2"/>
    <x v="1"/>
    <x v="2"/>
    <x v="595"/>
    <n v="10117"/>
    <n v="20"/>
    <x v="594"/>
    <x v="609"/>
    <x v="0"/>
  </r>
  <r>
    <d v="2024-09-10T00:00:00"/>
    <x v="1"/>
    <x v="2"/>
    <x v="1"/>
    <x v="596"/>
    <n v="4183"/>
    <n v="15"/>
    <x v="595"/>
    <x v="610"/>
    <x v="0"/>
  </r>
  <r>
    <d v="2022-03-10T00:00:00"/>
    <x v="1"/>
    <x v="3"/>
    <x v="0"/>
    <x v="597"/>
    <n v="3815"/>
    <n v="0"/>
    <x v="596"/>
    <x v="611"/>
    <x v="1"/>
  </r>
  <r>
    <d v="2023-06-30T00:00:00"/>
    <x v="2"/>
    <x v="1"/>
    <x v="2"/>
    <x v="598"/>
    <n v="3703"/>
    <n v="15"/>
    <x v="597"/>
    <x v="612"/>
    <x v="2"/>
  </r>
  <r>
    <d v="2022-02-22T00:00:00"/>
    <x v="1"/>
    <x v="0"/>
    <x v="3"/>
    <x v="599"/>
    <n v="4898"/>
    <n v="15"/>
    <x v="598"/>
    <x v="613"/>
    <x v="1"/>
  </r>
  <r>
    <d v="2022-07-24T00:00:00"/>
    <x v="1"/>
    <x v="0"/>
    <x v="2"/>
    <x v="600"/>
    <n v="5308"/>
    <n v="5"/>
    <x v="599"/>
    <x v="614"/>
    <x v="1"/>
  </r>
  <r>
    <d v="2022-05-06T00:00:00"/>
    <x v="2"/>
    <x v="3"/>
    <x v="0"/>
    <x v="601"/>
    <n v="6522"/>
    <n v="5"/>
    <x v="600"/>
    <x v="615"/>
    <x v="1"/>
  </r>
  <r>
    <d v="2022-02-12T00:00:00"/>
    <x v="0"/>
    <x v="0"/>
    <x v="3"/>
    <x v="602"/>
    <n v="10450"/>
    <n v="5"/>
    <x v="601"/>
    <x v="616"/>
    <x v="1"/>
  </r>
  <r>
    <d v="2022-04-21T00:00:00"/>
    <x v="3"/>
    <x v="2"/>
    <x v="2"/>
    <x v="603"/>
    <n v="4309"/>
    <n v="15"/>
    <x v="602"/>
    <x v="617"/>
    <x v="1"/>
  </r>
  <r>
    <d v="2024-01-31T00:00:00"/>
    <x v="1"/>
    <x v="0"/>
    <x v="3"/>
    <x v="604"/>
    <n v="3035"/>
    <n v="0"/>
    <x v="603"/>
    <x v="618"/>
    <x v="0"/>
  </r>
  <r>
    <d v="2024-04-27T00:00:00"/>
    <x v="0"/>
    <x v="0"/>
    <x v="3"/>
    <x v="605"/>
    <n v="4791"/>
    <n v="5"/>
    <x v="604"/>
    <x v="619"/>
    <x v="0"/>
  </r>
  <r>
    <d v="2022-04-05T00:00:00"/>
    <x v="1"/>
    <x v="2"/>
    <x v="0"/>
    <x v="606"/>
    <n v="11666"/>
    <n v="10"/>
    <x v="605"/>
    <x v="620"/>
    <x v="1"/>
  </r>
  <r>
    <d v="2024-06-18T00:00:00"/>
    <x v="1"/>
    <x v="3"/>
    <x v="3"/>
    <x v="607"/>
    <n v="8893"/>
    <n v="0"/>
    <x v="606"/>
    <x v="621"/>
    <x v="0"/>
  </r>
  <r>
    <d v="2022-12-26T00:00:00"/>
    <x v="3"/>
    <x v="3"/>
    <x v="1"/>
    <x v="608"/>
    <n v="1274"/>
    <n v="10"/>
    <x v="607"/>
    <x v="622"/>
    <x v="1"/>
  </r>
  <r>
    <d v="2024-06-18T00:00:00"/>
    <x v="1"/>
    <x v="2"/>
    <x v="0"/>
    <x v="609"/>
    <n v="523"/>
    <n v="0"/>
    <x v="608"/>
    <x v="623"/>
    <x v="0"/>
  </r>
  <r>
    <d v="2022-10-08T00:00:00"/>
    <x v="3"/>
    <x v="2"/>
    <x v="1"/>
    <x v="610"/>
    <n v="4913"/>
    <n v="5"/>
    <x v="609"/>
    <x v="624"/>
    <x v="1"/>
  </r>
  <r>
    <d v="2023-10-29T00:00:00"/>
    <x v="3"/>
    <x v="2"/>
    <x v="3"/>
    <x v="611"/>
    <n v="7077"/>
    <n v="20"/>
    <x v="610"/>
    <x v="625"/>
    <x v="2"/>
  </r>
  <r>
    <d v="2022-04-03T00:00:00"/>
    <x v="3"/>
    <x v="0"/>
    <x v="1"/>
    <x v="612"/>
    <n v="8727"/>
    <n v="5"/>
    <x v="611"/>
    <x v="626"/>
    <x v="1"/>
  </r>
  <r>
    <d v="2023-11-03T00:00:00"/>
    <x v="0"/>
    <x v="2"/>
    <x v="2"/>
    <x v="239"/>
    <n v="11990"/>
    <n v="15"/>
    <x v="612"/>
    <x v="627"/>
    <x v="2"/>
  </r>
  <r>
    <d v="2022-03-02T00:00:00"/>
    <x v="2"/>
    <x v="1"/>
    <x v="3"/>
    <x v="290"/>
    <n v="4511"/>
    <n v="15"/>
    <x v="613"/>
    <x v="628"/>
    <x v="1"/>
  </r>
  <r>
    <d v="2023-09-26T00:00:00"/>
    <x v="0"/>
    <x v="0"/>
    <x v="2"/>
    <x v="613"/>
    <n v="11726"/>
    <n v="0"/>
    <x v="614"/>
    <x v="629"/>
    <x v="2"/>
  </r>
  <r>
    <d v="2024-12-10T00:00:00"/>
    <x v="2"/>
    <x v="3"/>
    <x v="1"/>
    <x v="614"/>
    <n v="525"/>
    <n v="15"/>
    <x v="615"/>
    <x v="630"/>
    <x v="0"/>
  </r>
  <r>
    <d v="2024-10-25T00:00:00"/>
    <x v="2"/>
    <x v="3"/>
    <x v="2"/>
    <x v="615"/>
    <n v="10769"/>
    <n v="5"/>
    <x v="616"/>
    <x v="631"/>
    <x v="0"/>
  </r>
  <r>
    <d v="2023-08-27T00:00:00"/>
    <x v="3"/>
    <x v="3"/>
    <x v="3"/>
    <x v="616"/>
    <n v="8483"/>
    <n v="10"/>
    <x v="617"/>
    <x v="632"/>
    <x v="2"/>
  </r>
  <r>
    <d v="2023-11-13T00:00:00"/>
    <x v="1"/>
    <x v="0"/>
    <x v="2"/>
    <x v="61"/>
    <n v="4577"/>
    <n v="5"/>
    <x v="618"/>
    <x v="633"/>
    <x v="2"/>
  </r>
  <r>
    <d v="2023-06-18T00:00:00"/>
    <x v="3"/>
    <x v="1"/>
    <x v="1"/>
    <x v="617"/>
    <n v="1641"/>
    <n v="0"/>
    <x v="619"/>
    <x v="634"/>
    <x v="2"/>
  </r>
  <r>
    <d v="2024-04-17T00:00:00"/>
    <x v="1"/>
    <x v="2"/>
    <x v="1"/>
    <x v="618"/>
    <n v="4336"/>
    <n v="15"/>
    <x v="620"/>
    <x v="635"/>
    <x v="0"/>
  </r>
  <r>
    <d v="2023-10-07T00:00:00"/>
    <x v="2"/>
    <x v="2"/>
    <x v="1"/>
    <x v="619"/>
    <n v="8701"/>
    <n v="10"/>
    <x v="621"/>
    <x v="636"/>
    <x v="2"/>
  </r>
  <r>
    <d v="2022-08-21T00:00:00"/>
    <x v="3"/>
    <x v="3"/>
    <x v="3"/>
    <x v="620"/>
    <n v="4027"/>
    <n v="20"/>
    <x v="622"/>
    <x v="637"/>
    <x v="1"/>
  </r>
  <r>
    <d v="2023-06-08T00:00:00"/>
    <x v="1"/>
    <x v="3"/>
    <x v="1"/>
    <x v="621"/>
    <n v="4228"/>
    <n v="10"/>
    <x v="623"/>
    <x v="638"/>
    <x v="2"/>
  </r>
  <r>
    <d v="2022-12-12T00:00:00"/>
    <x v="0"/>
    <x v="0"/>
    <x v="3"/>
    <x v="622"/>
    <n v="3103"/>
    <n v="10"/>
    <x v="624"/>
    <x v="639"/>
    <x v="1"/>
  </r>
  <r>
    <d v="2024-12-05T00:00:00"/>
    <x v="1"/>
    <x v="1"/>
    <x v="2"/>
    <x v="623"/>
    <n v="9601"/>
    <n v="5"/>
    <x v="625"/>
    <x v="640"/>
    <x v="0"/>
  </r>
  <r>
    <d v="2023-06-30T00:00:00"/>
    <x v="3"/>
    <x v="2"/>
    <x v="1"/>
    <x v="624"/>
    <n v="6858"/>
    <n v="20"/>
    <x v="626"/>
    <x v="641"/>
    <x v="2"/>
  </r>
  <r>
    <d v="2024-03-04T00:00:00"/>
    <x v="0"/>
    <x v="0"/>
    <x v="2"/>
    <x v="625"/>
    <n v="10518"/>
    <n v="0"/>
    <x v="627"/>
    <x v="642"/>
    <x v="0"/>
  </r>
  <r>
    <d v="2022-09-06T00:00:00"/>
    <x v="1"/>
    <x v="2"/>
    <x v="0"/>
    <x v="626"/>
    <n v="693"/>
    <n v="0"/>
    <x v="628"/>
    <x v="643"/>
    <x v="1"/>
  </r>
  <r>
    <d v="2022-02-16T00:00:00"/>
    <x v="1"/>
    <x v="3"/>
    <x v="2"/>
    <x v="627"/>
    <n v="7139"/>
    <n v="10"/>
    <x v="629"/>
    <x v="644"/>
    <x v="1"/>
  </r>
  <r>
    <d v="2022-08-02T00:00:00"/>
    <x v="1"/>
    <x v="2"/>
    <x v="0"/>
    <x v="628"/>
    <n v="9335"/>
    <n v="10"/>
    <x v="630"/>
    <x v="645"/>
    <x v="1"/>
  </r>
  <r>
    <d v="2022-08-27T00:00:00"/>
    <x v="1"/>
    <x v="1"/>
    <x v="2"/>
    <x v="629"/>
    <n v="10016"/>
    <n v="15"/>
    <x v="631"/>
    <x v="646"/>
    <x v="1"/>
  </r>
  <r>
    <d v="2024-12-15T00:00:00"/>
    <x v="1"/>
    <x v="1"/>
    <x v="3"/>
    <x v="630"/>
    <n v="9095"/>
    <n v="20"/>
    <x v="632"/>
    <x v="647"/>
    <x v="0"/>
  </r>
  <r>
    <d v="2022-12-16T00:00:00"/>
    <x v="0"/>
    <x v="3"/>
    <x v="2"/>
    <x v="631"/>
    <n v="881"/>
    <n v="10"/>
    <x v="633"/>
    <x v="648"/>
    <x v="1"/>
  </r>
  <r>
    <d v="2022-04-17T00:00:00"/>
    <x v="2"/>
    <x v="1"/>
    <x v="3"/>
    <x v="632"/>
    <n v="10431"/>
    <n v="15"/>
    <x v="634"/>
    <x v="649"/>
    <x v="1"/>
  </r>
  <r>
    <d v="2024-04-10T00:00:00"/>
    <x v="0"/>
    <x v="1"/>
    <x v="3"/>
    <x v="633"/>
    <n v="432"/>
    <n v="20"/>
    <x v="635"/>
    <x v="650"/>
    <x v="0"/>
  </r>
  <r>
    <d v="2022-02-17T00:00:00"/>
    <x v="0"/>
    <x v="0"/>
    <x v="1"/>
    <x v="634"/>
    <n v="3138"/>
    <n v="0"/>
    <x v="636"/>
    <x v="651"/>
    <x v="1"/>
  </r>
  <r>
    <d v="2022-12-03T00:00:00"/>
    <x v="0"/>
    <x v="2"/>
    <x v="3"/>
    <x v="635"/>
    <n v="3685"/>
    <n v="15"/>
    <x v="637"/>
    <x v="652"/>
    <x v="1"/>
  </r>
  <r>
    <d v="2024-11-15T00:00:00"/>
    <x v="2"/>
    <x v="3"/>
    <x v="0"/>
    <x v="636"/>
    <n v="4070"/>
    <n v="20"/>
    <x v="638"/>
    <x v="653"/>
    <x v="0"/>
  </r>
  <r>
    <d v="2024-03-14T00:00:00"/>
    <x v="3"/>
    <x v="3"/>
    <x v="1"/>
    <x v="637"/>
    <n v="2568"/>
    <n v="15"/>
    <x v="639"/>
    <x v="654"/>
    <x v="0"/>
  </r>
  <r>
    <d v="2022-01-08T00:00:00"/>
    <x v="2"/>
    <x v="3"/>
    <x v="1"/>
    <x v="638"/>
    <n v="1275"/>
    <n v="10"/>
    <x v="640"/>
    <x v="655"/>
    <x v="1"/>
  </r>
  <r>
    <d v="2023-09-17T00:00:00"/>
    <x v="0"/>
    <x v="3"/>
    <x v="2"/>
    <x v="639"/>
    <n v="7905"/>
    <n v="5"/>
    <x v="641"/>
    <x v="656"/>
    <x v="2"/>
  </r>
  <r>
    <d v="2023-12-20T00:00:00"/>
    <x v="1"/>
    <x v="3"/>
    <x v="3"/>
    <x v="640"/>
    <n v="7513"/>
    <n v="0"/>
    <x v="642"/>
    <x v="657"/>
    <x v="2"/>
  </r>
  <r>
    <d v="2022-10-30T00:00:00"/>
    <x v="1"/>
    <x v="1"/>
    <x v="3"/>
    <x v="641"/>
    <n v="10305"/>
    <n v="10"/>
    <x v="643"/>
    <x v="658"/>
    <x v="1"/>
  </r>
  <r>
    <d v="2023-10-01T00:00:00"/>
    <x v="0"/>
    <x v="0"/>
    <x v="0"/>
    <x v="642"/>
    <n v="11755"/>
    <n v="10"/>
    <x v="644"/>
    <x v="659"/>
    <x v="2"/>
  </r>
  <r>
    <d v="2022-02-25T00:00:00"/>
    <x v="1"/>
    <x v="3"/>
    <x v="2"/>
    <x v="643"/>
    <n v="10035"/>
    <n v="20"/>
    <x v="645"/>
    <x v="660"/>
    <x v="1"/>
  </r>
  <r>
    <d v="2023-12-27T00:00:00"/>
    <x v="0"/>
    <x v="0"/>
    <x v="2"/>
    <x v="644"/>
    <n v="3135"/>
    <n v="15"/>
    <x v="646"/>
    <x v="661"/>
    <x v="2"/>
  </r>
  <r>
    <d v="2023-06-10T00:00:00"/>
    <x v="1"/>
    <x v="0"/>
    <x v="1"/>
    <x v="645"/>
    <n v="3038"/>
    <n v="0"/>
    <x v="647"/>
    <x v="662"/>
    <x v="2"/>
  </r>
  <r>
    <d v="2023-04-19T00:00:00"/>
    <x v="2"/>
    <x v="1"/>
    <x v="1"/>
    <x v="646"/>
    <n v="9849"/>
    <n v="10"/>
    <x v="648"/>
    <x v="663"/>
    <x v="2"/>
  </r>
  <r>
    <d v="2022-01-28T00:00:00"/>
    <x v="3"/>
    <x v="3"/>
    <x v="1"/>
    <x v="647"/>
    <n v="4434"/>
    <n v="20"/>
    <x v="649"/>
    <x v="664"/>
    <x v="1"/>
  </r>
  <r>
    <d v="2022-03-19T00:00:00"/>
    <x v="3"/>
    <x v="1"/>
    <x v="0"/>
    <x v="648"/>
    <n v="9808"/>
    <n v="0"/>
    <x v="650"/>
    <x v="665"/>
    <x v="1"/>
  </r>
  <r>
    <d v="2022-12-31T00:00:00"/>
    <x v="2"/>
    <x v="3"/>
    <x v="0"/>
    <x v="649"/>
    <n v="7133"/>
    <n v="15"/>
    <x v="651"/>
    <x v="666"/>
    <x v="1"/>
  </r>
  <r>
    <d v="2023-10-28T00:00:00"/>
    <x v="2"/>
    <x v="1"/>
    <x v="1"/>
    <x v="650"/>
    <n v="8653"/>
    <n v="10"/>
    <x v="652"/>
    <x v="667"/>
    <x v="2"/>
  </r>
  <r>
    <d v="2023-06-10T00:00:00"/>
    <x v="0"/>
    <x v="0"/>
    <x v="2"/>
    <x v="651"/>
    <n v="2209"/>
    <n v="10"/>
    <x v="653"/>
    <x v="668"/>
    <x v="2"/>
  </r>
  <r>
    <d v="2023-11-30T00:00:00"/>
    <x v="0"/>
    <x v="3"/>
    <x v="0"/>
    <x v="652"/>
    <n v="9619"/>
    <n v="10"/>
    <x v="654"/>
    <x v="669"/>
    <x v="2"/>
  </r>
  <r>
    <d v="2024-06-01T00:00:00"/>
    <x v="0"/>
    <x v="2"/>
    <x v="2"/>
    <x v="653"/>
    <n v="10150"/>
    <n v="0"/>
    <x v="655"/>
    <x v="670"/>
    <x v="0"/>
  </r>
  <r>
    <d v="2024-10-27T00:00:00"/>
    <x v="1"/>
    <x v="0"/>
    <x v="2"/>
    <x v="654"/>
    <n v="11617"/>
    <n v="0"/>
    <x v="656"/>
    <x v="671"/>
    <x v="0"/>
  </r>
  <r>
    <d v="2024-10-23T00:00:00"/>
    <x v="0"/>
    <x v="2"/>
    <x v="3"/>
    <x v="645"/>
    <n v="2263"/>
    <n v="0"/>
    <x v="657"/>
    <x v="672"/>
    <x v="0"/>
  </r>
  <r>
    <d v="2024-07-07T00:00:00"/>
    <x v="2"/>
    <x v="0"/>
    <x v="1"/>
    <x v="655"/>
    <n v="5453"/>
    <n v="0"/>
    <x v="658"/>
    <x v="673"/>
    <x v="0"/>
  </r>
  <r>
    <d v="2024-01-20T00:00:00"/>
    <x v="3"/>
    <x v="1"/>
    <x v="3"/>
    <x v="656"/>
    <n v="10781"/>
    <n v="20"/>
    <x v="659"/>
    <x v="674"/>
    <x v="0"/>
  </r>
  <r>
    <d v="2022-12-29T00:00:00"/>
    <x v="1"/>
    <x v="3"/>
    <x v="1"/>
    <x v="657"/>
    <n v="1266"/>
    <n v="5"/>
    <x v="660"/>
    <x v="675"/>
    <x v="1"/>
  </r>
  <r>
    <d v="2024-03-16T00:00:00"/>
    <x v="0"/>
    <x v="0"/>
    <x v="1"/>
    <x v="658"/>
    <n v="1189"/>
    <n v="20"/>
    <x v="661"/>
    <x v="676"/>
    <x v="0"/>
  </r>
  <r>
    <d v="2024-01-09T00:00:00"/>
    <x v="1"/>
    <x v="1"/>
    <x v="2"/>
    <x v="659"/>
    <n v="3361"/>
    <n v="10"/>
    <x v="662"/>
    <x v="677"/>
    <x v="0"/>
  </r>
  <r>
    <d v="2024-11-04T00:00:00"/>
    <x v="1"/>
    <x v="3"/>
    <x v="1"/>
    <x v="660"/>
    <n v="6761"/>
    <n v="20"/>
    <x v="663"/>
    <x v="678"/>
    <x v="0"/>
  </r>
  <r>
    <d v="2023-04-30T00:00:00"/>
    <x v="0"/>
    <x v="3"/>
    <x v="2"/>
    <x v="661"/>
    <n v="6466"/>
    <n v="15"/>
    <x v="664"/>
    <x v="679"/>
    <x v="2"/>
  </r>
  <r>
    <d v="2022-01-28T00:00:00"/>
    <x v="1"/>
    <x v="0"/>
    <x v="2"/>
    <x v="662"/>
    <n v="7267"/>
    <n v="0"/>
    <x v="665"/>
    <x v="680"/>
    <x v="1"/>
  </r>
  <r>
    <d v="2023-12-15T00:00:00"/>
    <x v="3"/>
    <x v="3"/>
    <x v="1"/>
    <x v="663"/>
    <n v="11681"/>
    <n v="15"/>
    <x v="666"/>
    <x v="681"/>
    <x v="2"/>
  </r>
  <r>
    <d v="2024-11-28T00:00:00"/>
    <x v="2"/>
    <x v="0"/>
    <x v="2"/>
    <x v="664"/>
    <n v="11240"/>
    <n v="15"/>
    <x v="667"/>
    <x v="682"/>
    <x v="0"/>
  </r>
  <r>
    <d v="2022-03-27T00:00:00"/>
    <x v="2"/>
    <x v="3"/>
    <x v="2"/>
    <x v="665"/>
    <n v="10158"/>
    <n v="10"/>
    <x v="668"/>
    <x v="683"/>
    <x v="1"/>
  </r>
  <r>
    <d v="2022-05-06T00:00:00"/>
    <x v="3"/>
    <x v="2"/>
    <x v="2"/>
    <x v="666"/>
    <n v="11558"/>
    <n v="0"/>
    <x v="669"/>
    <x v="684"/>
    <x v="1"/>
  </r>
  <r>
    <d v="2024-03-22T00:00:00"/>
    <x v="1"/>
    <x v="1"/>
    <x v="0"/>
    <x v="667"/>
    <n v="8401"/>
    <n v="15"/>
    <x v="670"/>
    <x v="685"/>
    <x v="0"/>
  </r>
  <r>
    <d v="2023-06-21T00:00:00"/>
    <x v="0"/>
    <x v="2"/>
    <x v="2"/>
    <x v="668"/>
    <n v="7679"/>
    <n v="10"/>
    <x v="671"/>
    <x v="686"/>
    <x v="2"/>
  </r>
  <r>
    <d v="2022-05-25T00:00:00"/>
    <x v="1"/>
    <x v="0"/>
    <x v="0"/>
    <x v="669"/>
    <n v="9933"/>
    <n v="0"/>
    <x v="672"/>
    <x v="687"/>
    <x v="1"/>
  </r>
  <r>
    <d v="2022-01-25T00:00:00"/>
    <x v="3"/>
    <x v="2"/>
    <x v="0"/>
    <x v="670"/>
    <n v="7580"/>
    <n v="5"/>
    <x v="673"/>
    <x v="688"/>
    <x v="1"/>
  </r>
  <r>
    <d v="2022-03-08T00:00:00"/>
    <x v="1"/>
    <x v="0"/>
    <x v="2"/>
    <x v="671"/>
    <n v="1367"/>
    <n v="10"/>
    <x v="674"/>
    <x v="689"/>
    <x v="1"/>
  </r>
  <r>
    <d v="2022-08-21T00:00:00"/>
    <x v="2"/>
    <x v="3"/>
    <x v="2"/>
    <x v="672"/>
    <n v="4523"/>
    <n v="20"/>
    <x v="675"/>
    <x v="690"/>
    <x v="1"/>
  </r>
  <r>
    <d v="2022-04-19T00:00:00"/>
    <x v="1"/>
    <x v="3"/>
    <x v="0"/>
    <x v="673"/>
    <n v="11415"/>
    <n v="0"/>
    <x v="676"/>
    <x v="691"/>
    <x v="1"/>
  </r>
  <r>
    <d v="2022-04-21T00:00:00"/>
    <x v="3"/>
    <x v="0"/>
    <x v="0"/>
    <x v="674"/>
    <n v="9318"/>
    <n v="15"/>
    <x v="377"/>
    <x v="692"/>
    <x v="1"/>
  </r>
  <r>
    <d v="2022-08-16T00:00:00"/>
    <x v="2"/>
    <x v="2"/>
    <x v="2"/>
    <x v="675"/>
    <n v="4907"/>
    <n v="15"/>
    <x v="677"/>
    <x v="693"/>
    <x v="1"/>
  </r>
  <r>
    <d v="2022-04-21T00:00:00"/>
    <x v="1"/>
    <x v="3"/>
    <x v="2"/>
    <x v="676"/>
    <n v="4285"/>
    <n v="20"/>
    <x v="678"/>
    <x v="694"/>
    <x v="1"/>
  </r>
  <r>
    <d v="2022-02-03T00:00:00"/>
    <x v="1"/>
    <x v="1"/>
    <x v="1"/>
    <x v="677"/>
    <n v="10584"/>
    <n v="20"/>
    <x v="679"/>
    <x v="695"/>
    <x v="1"/>
  </r>
  <r>
    <d v="2023-09-15T00:00:00"/>
    <x v="2"/>
    <x v="3"/>
    <x v="0"/>
    <x v="678"/>
    <n v="3479"/>
    <n v="15"/>
    <x v="680"/>
    <x v="696"/>
    <x v="2"/>
  </r>
  <r>
    <d v="2024-01-18T00:00:00"/>
    <x v="0"/>
    <x v="1"/>
    <x v="0"/>
    <x v="679"/>
    <n v="4838"/>
    <n v="0"/>
    <x v="681"/>
    <x v="697"/>
    <x v="0"/>
  </r>
  <r>
    <d v="2023-08-18T00:00:00"/>
    <x v="2"/>
    <x v="2"/>
    <x v="1"/>
    <x v="680"/>
    <n v="2662"/>
    <n v="10"/>
    <x v="682"/>
    <x v="698"/>
    <x v="2"/>
  </r>
  <r>
    <d v="2023-03-01T00:00:00"/>
    <x v="0"/>
    <x v="1"/>
    <x v="0"/>
    <x v="681"/>
    <n v="2524"/>
    <n v="20"/>
    <x v="683"/>
    <x v="699"/>
    <x v="2"/>
  </r>
  <r>
    <d v="2023-09-05T00:00:00"/>
    <x v="3"/>
    <x v="1"/>
    <x v="3"/>
    <x v="682"/>
    <n v="6671"/>
    <n v="20"/>
    <x v="684"/>
    <x v="700"/>
    <x v="2"/>
  </r>
  <r>
    <d v="2023-11-23T00:00:00"/>
    <x v="3"/>
    <x v="1"/>
    <x v="0"/>
    <x v="683"/>
    <n v="2026"/>
    <n v="20"/>
    <x v="685"/>
    <x v="701"/>
    <x v="2"/>
  </r>
  <r>
    <d v="2022-11-11T00:00:00"/>
    <x v="2"/>
    <x v="1"/>
    <x v="1"/>
    <x v="684"/>
    <n v="10498"/>
    <n v="5"/>
    <x v="686"/>
    <x v="702"/>
    <x v="1"/>
  </r>
  <r>
    <d v="2024-05-26T00:00:00"/>
    <x v="2"/>
    <x v="3"/>
    <x v="3"/>
    <x v="685"/>
    <n v="6091"/>
    <n v="0"/>
    <x v="687"/>
    <x v="703"/>
    <x v="0"/>
  </r>
  <r>
    <d v="2023-10-24T00:00:00"/>
    <x v="3"/>
    <x v="1"/>
    <x v="2"/>
    <x v="686"/>
    <n v="8373"/>
    <n v="0"/>
    <x v="688"/>
    <x v="704"/>
    <x v="2"/>
  </r>
  <r>
    <d v="2022-10-04T00:00:00"/>
    <x v="0"/>
    <x v="3"/>
    <x v="1"/>
    <x v="687"/>
    <n v="8758"/>
    <n v="0"/>
    <x v="689"/>
    <x v="705"/>
    <x v="1"/>
  </r>
  <r>
    <d v="2023-09-16T00:00:00"/>
    <x v="3"/>
    <x v="1"/>
    <x v="1"/>
    <x v="688"/>
    <n v="7313"/>
    <n v="0"/>
    <x v="690"/>
    <x v="706"/>
    <x v="2"/>
  </r>
  <r>
    <d v="2023-05-31T00:00:00"/>
    <x v="2"/>
    <x v="0"/>
    <x v="2"/>
    <x v="689"/>
    <n v="1137"/>
    <n v="0"/>
    <x v="691"/>
    <x v="707"/>
    <x v="2"/>
  </r>
  <r>
    <d v="2024-04-22T00:00:00"/>
    <x v="3"/>
    <x v="2"/>
    <x v="1"/>
    <x v="690"/>
    <n v="4884"/>
    <n v="15"/>
    <x v="692"/>
    <x v="708"/>
    <x v="0"/>
  </r>
  <r>
    <d v="2022-12-16T00:00:00"/>
    <x v="2"/>
    <x v="1"/>
    <x v="0"/>
    <x v="691"/>
    <n v="986"/>
    <n v="20"/>
    <x v="693"/>
    <x v="709"/>
    <x v="1"/>
  </r>
  <r>
    <d v="2024-04-02T00:00:00"/>
    <x v="2"/>
    <x v="0"/>
    <x v="2"/>
    <x v="692"/>
    <n v="11853"/>
    <n v="15"/>
    <x v="69"/>
    <x v="710"/>
    <x v="0"/>
  </r>
  <r>
    <d v="2024-01-29T00:00:00"/>
    <x v="3"/>
    <x v="1"/>
    <x v="1"/>
    <x v="693"/>
    <n v="656"/>
    <n v="5"/>
    <x v="694"/>
    <x v="711"/>
    <x v="0"/>
  </r>
  <r>
    <d v="2024-06-17T00:00:00"/>
    <x v="0"/>
    <x v="1"/>
    <x v="2"/>
    <x v="694"/>
    <n v="9363"/>
    <n v="10"/>
    <x v="695"/>
    <x v="712"/>
    <x v="0"/>
  </r>
  <r>
    <d v="2022-08-31T00:00:00"/>
    <x v="1"/>
    <x v="1"/>
    <x v="2"/>
    <x v="695"/>
    <n v="10465"/>
    <n v="20"/>
    <x v="696"/>
    <x v="713"/>
    <x v="1"/>
  </r>
  <r>
    <d v="2023-06-27T00:00:00"/>
    <x v="3"/>
    <x v="0"/>
    <x v="2"/>
    <x v="696"/>
    <n v="4947"/>
    <n v="5"/>
    <x v="697"/>
    <x v="714"/>
    <x v="2"/>
  </r>
  <r>
    <d v="2024-11-29T00:00:00"/>
    <x v="1"/>
    <x v="2"/>
    <x v="3"/>
    <x v="697"/>
    <n v="10302"/>
    <n v="15"/>
    <x v="698"/>
    <x v="715"/>
    <x v="0"/>
  </r>
  <r>
    <d v="2022-08-17T00:00:00"/>
    <x v="3"/>
    <x v="0"/>
    <x v="1"/>
    <x v="698"/>
    <n v="4718"/>
    <n v="10"/>
    <x v="699"/>
    <x v="716"/>
    <x v="1"/>
  </r>
  <r>
    <d v="2023-07-02T00:00:00"/>
    <x v="1"/>
    <x v="2"/>
    <x v="3"/>
    <x v="699"/>
    <n v="11133"/>
    <n v="5"/>
    <x v="700"/>
    <x v="717"/>
    <x v="2"/>
  </r>
  <r>
    <d v="2024-07-08T00:00:00"/>
    <x v="0"/>
    <x v="1"/>
    <x v="1"/>
    <x v="700"/>
    <n v="10720"/>
    <n v="10"/>
    <x v="701"/>
    <x v="718"/>
    <x v="0"/>
  </r>
  <r>
    <d v="2022-01-06T00:00:00"/>
    <x v="0"/>
    <x v="3"/>
    <x v="0"/>
    <x v="701"/>
    <n v="6942"/>
    <n v="5"/>
    <x v="702"/>
    <x v="719"/>
    <x v="1"/>
  </r>
  <r>
    <d v="2023-04-13T00:00:00"/>
    <x v="3"/>
    <x v="1"/>
    <x v="0"/>
    <x v="702"/>
    <n v="3691"/>
    <n v="15"/>
    <x v="703"/>
    <x v="720"/>
    <x v="2"/>
  </r>
  <r>
    <d v="2022-03-16T00:00:00"/>
    <x v="2"/>
    <x v="2"/>
    <x v="0"/>
    <x v="703"/>
    <n v="10842"/>
    <n v="10"/>
    <x v="704"/>
    <x v="721"/>
    <x v="1"/>
  </r>
  <r>
    <d v="2022-01-04T00:00:00"/>
    <x v="1"/>
    <x v="0"/>
    <x v="1"/>
    <x v="704"/>
    <n v="4657"/>
    <n v="5"/>
    <x v="705"/>
    <x v="722"/>
    <x v="1"/>
  </r>
  <r>
    <d v="2023-10-08T00:00:00"/>
    <x v="2"/>
    <x v="1"/>
    <x v="2"/>
    <x v="705"/>
    <n v="5179"/>
    <n v="15"/>
    <x v="706"/>
    <x v="723"/>
    <x v="2"/>
  </r>
  <r>
    <d v="2022-04-28T00:00:00"/>
    <x v="2"/>
    <x v="0"/>
    <x v="2"/>
    <x v="706"/>
    <n v="5619"/>
    <n v="20"/>
    <x v="707"/>
    <x v="724"/>
    <x v="1"/>
  </r>
  <r>
    <d v="2024-05-30T00:00:00"/>
    <x v="2"/>
    <x v="0"/>
    <x v="3"/>
    <x v="707"/>
    <n v="3039"/>
    <n v="15"/>
    <x v="708"/>
    <x v="725"/>
    <x v="0"/>
  </r>
  <r>
    <d v="2023-05-19T00:00:00"/>
    <x v="0"/>
    <x v="0"/>
    <x v="3"/>
    <x v="708"/>
    <n v="11222"/>
    <n v="15"/>
    <x v="709"/>
    <x v="726"/>
    <x v="2"/>
  </r>
  <r>
    <d v="2024-08-04T00:00:00"/>
    <x v="3"/>
    <x v="1"/>
    <x v="0"/>
    <x v="709"/>
    <n v="9810"/>
    <n v="20"/>
    <x v="710"/>
    <x v="727"/>
    <x v="0"/>
  </r>
  <r>
    <d v="2023-07-28T00:00:00"/>
    <x v="3"/>
    <x v="0"/>
    <x v="3"/>
    <x v="710"/>
    <n v="10027"/>
    <n v="15"/>
    <x v="711"/>
    <x v="728"/>
    <x v="2"/>
  </r>
  <r>
    <d v="2022-07-13T00:00:00"/>
    <x v="0"/>
    <x v="0"/>
    <x v="1"/>
    <x v="711"/>
    <n v="5084"/>
    <n v="20"/>
    <x v="712"/>
    <x v="729"/>
    <x v="1"/>
  </r>
  <r>
    <d v="2024-04-26T00:00:00"/>
    <x v="0"/>
    <x v="1"/>
    <x v="1"/>
    <x v="712"/>
    <n v="10935"/>
    <n v="20"/>
    <x v="713"/>
    <x v="730"/>
    <x v="0"/>
  </r>
  <r>
    <d v="2023-12-16T00:00:00"/>
    <x v="3"/>
    <x v="0"/>
    <x v="3"/>
    <x v="713"/>
    <n v="10264"/>
    <n v="20"/>
    <x v="714"/>
    <x v="731"/>
    <x v="2"/>
  </r>
  <r>
    <d v="2024-11-15T00:00:00"/>
    <x v="2"/>
    <x v="1"/>
    <x v="3"/>
    <x v="714"/>
    <n v="11701"/>
    <n v="5"/>
    <x v="715"/>
    <x v="732"/>
    <x v="0"/>
  </r>
  <r>
    <d v="2022-06-22T00:00:00"/>
    <x v="1"/>
    <x v="2"/>
    <x v="3"/>
    <x v="715"/>
    <n v="1177"/>
    <n v="10"/>
    <x v="716"/>
    <x v="733"/>
    <x v="1"/>
  </r>
  <r>
    <d v="2022-11-22T00:00:00"/>
    <x v="1"/>
    <x v="2"/>
    <x v="3"/>
    <x v="716"/>
    <n v="3170"/>
    <n v="5"/>
    <x v="717"/>
    <x v="734"/>
    <x v="1"/>
  </r>
  <r>
    <d v="2024-04-15T00:00:00"/>
    <x v="1"/>
    <x v="2"/>
    <x v="0"/>
    <x v="717"/>
    <n v="11692"/>
    <n v="20"/>
    <x v="718"/>
    <x v="735"/>
    <x v="0"/>
  </r>
  <r>
    <d v="2023-12-25T00:00:00"/>
    <x v="2"/>
    <x v="0"/>
    <x v="0"/>
    <x v="718"/>
    <n v="11328"/>
    <n v="10"/>
    <x v="719"/>
    <x v="736"/>
    <x v="2"/>
  </r>
  <r>
    <d v="2022-08-13T00:00:00"/>
    <x v="3"/>
    <x v="3"/>
    <x v="3"/>
    <x v="719"/>
    <n v="592"/>
    <n v="10"/>
    <x v="720"/>
    <x v="737"/>
    <x v="1"/>
  </r>
  <r>
    <d v="2023-06-16T00:00:00"/>
    <x v="0"/>
    <x v="3"/>
    <x v="1"/>
    <x v="720"/>
    <n v="10143"/>
    <n v="20"/>
    <x v="721"/>
    <x v="738"/>
    <x v="2"/>
  </r>
  <r>
    <d v="2022-04-23T00:00:00"/>
    <x v="3"/>
    <x v="0"/>
    <x v="0"/>
    <x v="721"/>
    <n v="9028"/>
    <n v="10"/>
    <x v="722"/>
    <x v="739"/>
    <x v="1"/>
  </r>
  <r>
    <d v="2022-05-20T00:00:00"/>
    <x v="2"/>
    <x v="3"/>
    <x v="1"/>
    <x v="722"/>
    <n v="2986"/>
    <n v="10"/>
    <x v="723"/>
    <x v="740"/>
    <x v="1"/>
  </r>
  <r>
    <d v="2023-07-13T00:00:00"/>
    <x v="0"/>
    <x v="1"/>
    <x v="2"/>
    <x v="723"/>
    <n v="533"/>
    <n v="5"/>
    <x v="724"/>
    <x v="741"/>
    <x v="2"/>
  </r>
  <r>
    <d v="2022-01-01T00:00:00"/>
    <x v="2"/>
    <x v="3"/>
    <x v="1"/>
    <x v="724"/>
    <n v="11144"/>
    <n v="10"/>
    <x v="725"/>
    <x v="742"/>
    <x v="1"/>
  </r>
  <r>
    <d v="2022-03-31T00:00:00"/>
    <x v="1"/>
    <x v="0"/>
    <x v="3"/>
    <x v="725"/>
    <n v="2674"/>
    <n v="20"/>
    <x v="726"/>
    <x v="743"/>
    <x v="1"/>
  </r>
  <r>
    <d v="2023-10-16T00:00:00"/>
    <x v="1"/>
    <x v="0"/>
    <x v="2"/>
    <x v="726"/>
    <n v="2572"/>
    <n v="0"/>
    <x v="727"/>
    <x v="744"/>
    <x v="2"/>
  </r>
  <r>
    <d v="2022-11-16T00:00:00"/>
    <x v="2"/>
    <x v="1"/>
    <x v="0"/>
    <x v="727"/>
    <n v="1266"/>
    <n v="0"/>
    <x v="728"/>
    <x v="745"/>
    <x v="1"/>
  </r>
  <r>
    <d v="2022-05-19T00:00:00"/>
    <x v="0"/>
    <x v="2"/>
    <x v="0"/>
    <x v="728"/>
    <n v="1189"/>
    <n v="0"/>
    <x v="729"/>
    <x v="746"/>
    <x v="1"/>
  </r>
  <r>
    <d v="2024-04-24T00:00:00"/>
    <x v="0"/>
    <x v="0"/>
    <x v="2"/>
    <x v="729"/>
    <n v="4163"/>
    <n v="20"/>
    <x v="730"/>
    <x v="747"/>
    <x v="0"/>
  </r>
  <r>
    <d v="2022-09-16T00:00:00"/>
    <x v="3"/>
    <x v="1"/>
    <x v="1"/>
    <x v="730"/>
    <n v="6454"/>
    <n v="0"/>
    <x v="731"/>
    <x v="748"/>
    <x v="1"/>
  </r>
  <r>
    <d v="2024-06-20T00:00:00"/>
    <x v="1"/>
    <x v="3"/>
    <x v="0"/>
    <x v="731"/>
    <n v="3700"/>
    <n v="5"/>
    <x v="732"/>
    <x v="749"/>
    <x v="0"/>
  </r>
  <r>
    <d v="2023-11-21T00:00:00"/>
    <x v="3"/>
    <x v="3"/>
    <x v="3"/>
    <x v="732"/>
    <n v="8526"/>
    <n v="20"/>
    <x v="733"/>
    <x v="750"/>
    <x v="2"/>
  </r>
  <r>
    <d v="2022-01-10T00:00:00"/>
    <x v="3"/>
    <x v="1"/>
    <x v="2"/>
    <x v="733"/>
    <n v="4842"/>
    <n v="20"/>
    <x v="734"/>
    <x v="751"/>
    <x v="1"/>
  </r>
  <r>
    <d v="2022-09-18T00:00:00"/>
    <x v="2"/>
    <x v="1"/>
    <x v="3"/>
    <x v="734"/>
    <n v="3823"/>
    <n v="20"/>
    <x v="735"/>
    <x v="752"/>
    <x v="1"/>
  </r>
  <r>
    <d v="2022-06-21T00:00:00"/>
    <x v="2"/>
    <x v="0"/>
    <x v="2"/>
    <x v="735"/>
    <n v="2063"/>
    <n v="10"/>
    <x v="736"/>
    <x v="753"/>
    <x v="1"/>
  </r>
  <r>
    <d v="2024-06-16T00:00:00"/>
    <x v="3"/>
    <x v="3"/>
    <x v="0"/>
    <x v="736"/>
    <n v="3591"/>
    <n v="10"/>
    <x v="737"/>
    <x v="754"/>
    <x v="0"/>
  </r>
  <r>
    <d v="2022-01-13T00:00:00"/>
    <x v="1"/>
    <x v="1"/>
    <x v="1"/>
    <x v="737"/>
    <n v="2788"/>
    <n v="10"/>
    <x v="738"/>
    <x v="755"/>
    <x v="1"/>
  </r>
  <r>
    <d v="2022-11-17T00:00:00"/>
    <x v="2"/>
    <x v="3"/>
    <x v="2"/>
    <x v="738"/>
    <n v="11192"/>
    <n v="15"/>
    <x v="739"/>
    <x v="756"/>
    <x v="1"/>
  </r>
  <r>
    <d v="2022-11-25T00:00:00"/>
    <x v="3"/>
    <x v="1"/>
    <x v="2"/>
    <x v="739"/>
    <n v="1858"/>
    <n v="5"/>
    <x v="740"/>
    <x v="757"/>
    <x v="1"/>
  </r>
  <r>
    <d v="2024-02-24T00:00:00"/>
    <x v="3"/>
    <x v="3"/>
    <x v="3"/>
    <x v="740"/>
    <n v="4990"/>
    <n v="20"/>
    <x v="741"/>
    <x v="758"/>
    <x v="0"/>
  </r>
  <r>
    <d v="2024-02-16T00:00:00"/>
    <x v="3"/>
    <x v="2"/>
    <x v="0"/>
    <x v="741"/>
    <n v="6421"/>
    <n v="20"/>
    <x v="742"/>
    <x v="759"/>
    <x v="0"/>
  </r>
  <r>
    <d v="2024-06-29T00:00:00"/>
    <x v="3"/>
    <x v="0"/>
    <x v="3"/>
    <x v="742"/>
    <n v="2576"/>
    <n v="10"/>
    <x v="743"/>
    <x v="760"/>
    <x v="0"/>
  </r>
  <r>
    <d v="2022-11-14T00:00:00"/>
    <x v="3"/>
    <x v="3"/>
    <x v="0"/>
    <x v="743"/>
    <n v="4739"/>
    <n v="20"/>
    <x v="744"/>
    <x v="761"/>
    <x v="1"/>
  </r>
  <r>
    <d v="2022-08-24T00:00:00"/>
    <x v="3"/>
    <x v="2"/>
    <x v="3"/>
    <x v="744"/>
    <n v="1403"/>
    <n v="20"/>
    <x v="745"/>
    <x v="762"/>
    <x v="1"/>
  </r>
  <r>
    <d v="2022-11-30T00:00:00"/>
    <x v="2"/>
    <x v="3"/>
    <x v="2"/>
    <x v="745"/>
    <n v="7820"/>
    <n v="0"/>
    <x v="746"/>
    <x v="763"/>
    <x v="1"/>
  </r>
  <r>
    <d v="2023-01-11T00:00:00"/>
    <x v="1"/>
    <x v="3"/>
    <x v="3"/>
    <x v="746"/>
    <n v="9911"/>
    <n v="20"/>
    <x v="747"/>
    <x v="764"/>
    <x v="2"/>
  </r>
  <r>
    <d v="2023-08-11T00:00:00"/>
    <x v="3"/>
    <x v="2"/>
    <x v="1"/>
    <x v="747"/>
    <n v="5709"/>
    <n v="15"/>
    <x v="748"/>
    <x v="765"/>
    <x v="2"/>
  </r>
  <r>
    <d v="2023-05-28T00:00:00"/>
    <x v="0"/>
    <x v="3"/>
    <x v="0"/>
    <x v="748"/>
    <n v="9970"/>
    <n v="10"/>
    <x v="749"/>
    <x v="766"/>
    <x v="2"/>
  </r>
  <r>
    <d v="2024-07-06T00:00:00"/>
    <x v="2"/>
    <x v="3"/>
    <x v="0"/>
    <x v="749"/>
    <n v="8169"/>
    <n v="5"/>
    <x v="750"/>
    <x v="767"/>
    <x v="0"/>
  </r>
  <r>
    <d v="2024-05-22T00:00:00"/>
    <x v="2"/>
    <x v="0"/>
    <x v="2"/>
    <x v="750"/>
    <n v="3256"/>
    <n v="5"/>
    <x v="751"/>
    <x v="768"/>
    <x v="0"/>
  </r>
  <r>
    <d v="2022-09-27T00:00:00"/>
    <x v="3"/>
    <x v="2"/>
    <x v="0"/>
    <x v="751"/>
    <n v="8010"/>
    <n v="0"/>
    <x v="752"/>
    <x v="769"/>
    <x v="1"/>
  </r>
  <r>
    <d v="2024-03-08T00:00:00"/>
    <x v="2"/>
    <x v="2"/>
    <x v="1"/>
    <x v="752"/>
    <n v="6317"/>
    <n v="5"/>
    <x v="753"/>
    <x v="770"/>
    <x v="0"/>
  </r>
  <r>
    <d v="2023-12-26T00:00:00"/>
    <x v="3"/>
    <x v="1"/>
    <x v="3"/>
    <x v="753"/>
    <n v="9874"/>
    <n v="5"/>
    <x v="260"/>
    <x v="771"/>
    <x v="2"/>
  </r>
  <r>
    <d v="2022-01-05T00:00:00"/>
    <x v="1"/>
    <x v="3"/>
    <x v="2"/>
    <x v="754"/>
    <n v="11066"/>
    <n v="10"/>
    <x v="754"/>
    <x v="772"/>
    <x v="1"/>
  </r>
  <r>
    <d v="2024-04-30T00:00:00"/>
    <x v="1"/>
    <x v="0"/>
    <x v="1"/>
    <x v="755"/>
    <n v="3684"/>
    <n v="10"/>
    <x v="755"/>
    <x v="773"/>
    <x v="0"/>
  </r>
  <r>
    <d v="2022-03-19T00:00:00"/>
    <x v="2"/>
    <x v="3"/>
    <x v="0"/>
    <x v="756"/>
    <n v="10061"/>
    <n v="15"/>
    <x v="676"/>
    <x v="774"/>
    <x v="1"/>
  </r>
  <r>
    <d v="2023-07-28T00:00:00"/>
    <x v="2"/>
    <x v="3"/>
    <x v="0"/>
    <x v="757"/>
    <n v="10386"/>
    <n v="0"/>
    <x v="756"/>
    <x v="775"/>
    <x v="2"/>
  </r>
  <r>
    <d v="2022-05-12T00:00:00"/>
    <x v="0"/>
    <x v="1"/>
    <x v="1"/>
    <x v="758"/>
    <n v="10735"/>
    <n v="5"/>
    <x v="757"/>
    <x v="776"/>
    <x v="1"/>
  </r>
  <r>
    <d v="2023-08-24T00:00:00"/>
    <x v="2"/>
    <x v="3"/>
    <x v="3"/>
    <x v="759"/>
    <n v="10358"/>
    <n v="15"/>
    <x v="758"/>
    <x v="777"/>
    <x v="2"/>
  </r>
  <r>
    <d v="2024-12-01T00:00:00"/>
    <x v="0"/>
    <x v="0"/>
    <x v="3"/>
    <x v="760"/>
    <n v="328"/>
    <n v="0"/>
    <x v="759"/>
    <x v="778"/>
    <x v="0"/>
  </r>
  <r>
    <d v="2022-03-30T00:00:00"/>
    <x v="1"/>
    <x v="0"/>
    <x v="2"/>
    <x v="761"/>
    <n v="9197"/>
    <n v="5"/>
    <x v="760"/>
    <x v="779"/>
    <x v="1"/>
  </r>
  <r>
    <d v="2023-02-06T00:00:00"/>
    <x v="1"/>
    <x v="1"/>
    <x v="0"/>
    <x v="762"/>
    <n v="9512"/>
    <n v="5"/>
    <x v="761"/>
    <x v="780"/>
    <x v="2"/>
  </r>
  <r>
    <d v="2022-10-23T00:00:00"/>
    <x v="3"/>
    <x v="3"/>
    <x v="1"/>
    <x v="763"/>
    <n v="10555"/>
    <n v="10"/>
    <x v="762"/>
    <x v="781"/>
    <x v="1"/>
  </r>
  <r>
    <d v="2023-09-08T00:00:00"/>
    <x v="1"/>
    <x v="0"/>
    <x v="3"/>
    <x v="764"/>
    <n v="9938"/>
    <n v="20"/>
    <x v="763"/>
    <x v="782"/>
    <x v="2"/>
  </r>
  <r>
    <d v="2024-03-10T00:00:00"/>
    <x v="0"/>
    <x v="3"/>
    <x v="2"/>
    <x v="765"/>
    <n v="8056"/>
    <n v="0"/>
    <x v="764"/>
    <x v="783"/>
    <x v="0"/>
  </r>
  <r>
    <d v="2023-02-26T00:00:00"/>
    <x v="2"/>
    <x v="3"/>
    <x v="0"/>
    <x v="766"/>
    <n v="7248"/>
    <n v="5"/>
    <x v="765"/>
    <x v="784"/>
    <x v="2"/>
  </r>
  <r>
    <d v="2024-11-12T00:00:00"/>
    <x v="3"/>
    <x v="3"/>
    <x v="0"/>
    <x v="767"/>
    <n v="11479"/>
    <n v="0"/>
    <x v="766"/>
    <x v="785"/>
    <x v="0"/>
  </r>
  <r>
    <d v="2023-07-29T00:00:00"/>
    <x v="0"/>
    <x v="1"/>
    <x v="2"/>
    <x v="768"/>
    <n v="6055"/>
    <n v="15"/>
    <x v="94"/>
    <x v="786"/>
    <x v="2"/>
  </r>
  <r>
    <d v="2022-05-23T00:00:00"/>
    <x v="2"/>
    <x v="3"/>
    <x v="2"/>
    <x v="769"/>
    <n v="3902"/>
    <n v="15"/>
    <x v="767"/>
    <x v="787"/>
    <x v="1"/>
  </r>
  <r>
    <d v="2024-09-19T00:00:00"/>
    <x v="3"/>
    <x v="0"/>
    <x v="3"/>
    <x v="770"/>
    <n v="5362"/>
    <n v="20"/>
    <x v="768"/>
    <x v="788"/>
    <x v="0"/>
  </r>
  <r>
    <d v="2023-10-27T00:00:00"/>
    <x v="1"/>
    <x v="3"/>
    <x v="1"/>
    <x v="771"/>
    <n v="8371"/>
    <n v="5"/>
    <x v="769"/>
    <x v="789"/>
    <x v="2"/>
  </r>
  <r>
    <d v="2022-05-25T00:00:00"/>
    <x v="0"/>
    <x v="0"/>
    <x v="0"/>
    <x v="772"/>
    <n v="7544"/>
    <n v="10"/>
    <x v="770"/>
    <x v="790"/>
    <x v="1"/>
  </r>
  <r>
    <d v="2024-10-03T00:00:00"/>
    <x v="2"/>
    <x v="3"/>
    <x v="1"/>
    <x v="773"/>
    <n v="6672"/>
    <n v="5"/>
    <x v="771"/>
    <x v="791"/>
    <x v="0"/>
  </r>
  <r>
    <d v="2023-05-18T00:00:00"/>
    <x v="3"/>
    <x v="0"/>
    <x v="0"/>
    <x v="774"/>
    <n v="7405"/>
    <n v="0"/>
    <x v="772"/>
    <x v="792"/>
    <x v="2"/>
  </r>
  <r>
    <d v="2024-03-31T00:00:00"/>
    <x v="3"/>
    <x v="0"/>
    <x v="0"/>
    <x v="775"/>
    <n v="11860"/>
    <n v="15"/>
    <x v="773"/>
    <x v="793"/>
    <x v="0"/>
  </r>
  <r>
    <d v="2022-04-14T00:00:00"/>
    <x v="1"/>
    <x v="3"/>
    <x v="1"/>
    <x v="776"/>
    <n v="3881"/>
    <n v="0"/>
    <x v="774"/>
    <x v="794"/>
    <x v="1"/>
  </r>
  <r>
    <d v="2024-11-28T00:00:00"/>
    <x v="2"/>
    <x v="3"/>
    <x v="2"/>
    <x v="777"/>
    <n v="3062"/>
    <n v="20"/>
    <x v="775"/>
    <x v="795"/>
    <x v="0"/>
  </r>
  <r>
    <d v="2022-07-17T00:00:00"/>
    <x v="1"/>
    <x v="0"/>
    <x v="3"/>
    <x v="778"/>
    <n v="872"/>
    <n v="15"/>
    <x v="776"/>
    <x v="796"/>
    <x v="1"/>
  </r>
  <r>
    <d v="2023-08-02T00:00:00"/>
    <x v="1"/>
    <x v="2"/>
    <x v="0"/>
    <x v="779"/>
    <n v="8005"/>
    <n v="10"/>
    <x v="777"/>
    <x v="797"/>
    <x v="2"/>
  </r>
  <r>
    <d v="2023-01-26T00:00:00"/>
    <x v="2"/>
    <x v="1"/>
    <x v="2"/>
    <x v="445"/>
    <n v="914"/>
    <n v="15"/>
    <x v="778"/>
    <x v="798"/>
    <x v="2"/>
  </r>
  <r>
    <d v="2023-07-08T00:00:00"/>
    <x v="2"/>
    <x v="2"/>
    <x v="0"/>
    <x v="780"/>
    <n v="4350"/>
    <n v="5"/>
    <x v="779"/>
    <x v="799"/>
    <x v="2"/>
  </r>
  <r>
    <d v="2024-11-04T00:00:00"/>
    <x v="2"/>
    <x v="2"/>
    <x v="3"/>
    <x v="781"/>
    <n v="625"/>
    <n v="5"/>
    <x v="780"/>
    <x v="800"/>
    <x v="0"/>
  </r>
  <r>
    <d v="2023-04-23T00:00:00"/>
    <x v="0"/>
    <x v="3"/>
    <x v="0"/>
    <x v="782"/>
    <n v="4040"/>
    <n v="15"/>
    <x v="781"/>
    <x v="801"/>
    <x v="2"/>
  </r>
  <r>
    <d v="2024-07-11T00:00:00"/>
    <x v="2"/>
    <x v="1"/>
    <x v="3"/>
    <x v="783"/>
    <n v="658"/>
    <n v="20"/>
    <x v="782"/>
    <x v="802"/>
    <x v="0"/>
  </r>
  <r>
    <d v="2023-02-24T00:00:00"/>
    <x v="3"/>
    <x v="2"/>
    <x v="3"/>
    <x v="784"/>
    <n v="4077"/>
    <n v="5"/>
    <x v="783"/>
    <x v="803"/>
    <x v="2"/>
  </r>
  <r>
    <d v="2022-06-06T00:00:00"/>
    <x v="1"/>
    <x v="3"/>
    <x v="0"/>
    <x v="785"/>
    <n v="6206"/>
    <n v="5"/>
    <x v="784"/>
    <x v="804"/>
    <x v="1"/>
  </r>
  <r>
    <d v="2023-07-04T00:00:00"/>
    <x v="0"/>
    <x v="2"/>
    <x v="0"/>
    <x v="786"/>
    <n v="10863"/>
    <n v="10"/>
    <x v="785"/>
    <x v="805"/>
    <x v="2"/>
  </r>
  <r>
    <d v="2024-10-17T00:00:00"/>
    <x v="2"/>
    <x v="2"/>
    <x v="3"/>
    <x v="726"/>
    <n v="2021"/>
    <n v="15"/>
    <x v="786"/>
    <x v="806"/>
    <x v="0"/>
  </r>
  <r>
    <d v="2024-09-23T00:00:00"/>
    <x v="0"/>
    <x v="3"/>
    <x v="2"/>
    <x v="243"/>
    <n v="1649"/>
    <n v="5"/>
    <x v="787"/>
    <x v="807"/>
    <x v="0"/>
  </r>
  <r>
    <d v="2024-08-08T00:00:00"/>
    <x v="2"/>
    <x v="3"/>
    <x v="1"/>
    <x v="787"/>
    <n v="3996"/>
    <n v="20"/>
    <x v="788"/>
    <x v="808"/>
    <x v="0"/>
  </r>
  <r>
    <d v="2022-10-16T00:00:00"/>
    <x v="0"/>
    <x v="3"/>
    <x v="3"/>
    <x v="788"/>
    <n v="4196"/>
    <n v="0"/>
    <x v="789"/>
    <x v="809"/>
    <x v="1"/>
  </r>
  <r>
    <d v="2022-07-15T00:00:00"/>
    <x v="1"/>
    <x v="1"/>
    <x v="0"/>
    <x v="789"/>
    <n v="4560"/>
    <n v="15"/>
    <x v="790"/>
    <x v="810"/>
    <x v="1"/>
  </r>
  <r>
    <d v="2023-08-21T00:00:00"/>
    <x v="1"/>
    <x v="2"/>
    <x v="0"/>
    <x v="790"/>
    <n v="10088"/>
    <n v="10"/>
    <x v="791"/>
    <x v="811"/>
    <x v="2"/>
  </r>
  <r>
    <d v="2023-06-01T00:00:00"/>
    <x v="3"/>
    <x v="3"/>
    <x v="2"/>
    <x v="791"/>
    <n v="10119"/>
    <n v="5"/>
    <x v="792"/>
    <x v="812"/>
    <x v="2"/>
  </r>
  <r>
    <d v="2024-05-14T00:00:00"/>
    <x v="3"/>
    <x v="0"/>
    <x v="1"/>
    <x v="792"/>
    <n v="7241"/>
    <n v="20"/>
    <x v="793"/>
    <x v="813"/>
    <x v="0"/>
  </r>
  <r>
    <d v="2024-03-16T00:00:00"/>
    <x v="2"/>
    <x v="2"/>
    <x v="3"/>
    <x v="793"/>
    <n v="10994"/>
    <n v="15"/>
    <x v="794"/>
    <x v="814"/>
    <x v="0"/>
  </r>
  <r>
    <d v="2024-03-25T00:00:00"/>
    <x v="1"/>
    <x v="0"/>
    <x v="3"/>
    <x v="794"/>
    <n v="4108"/>
    <n v="20"/>
    <x v="795"/>
    <x v="815"/>
    <x v="0"/>
  </r>
  <r>
    <d v="2022-08-16T00:00:00"/>
    <x v="0"/>
    <x v="1"/>
    <x v="1"/>
    <x v="795"/>
    <n v="5546"/>
    <n v="20"/>
    <x v="796"/>
    <x v="816"/>
    <x v="1"/>
  </r>
  <r>
    <d v="2022-08-04T00:00:00"/>
    <x v="0"/>
    <x v="3"/>
    <x v="3"/>
    <x v="796"/>
    <n v="8684"/>
    <n v="10"/>
    <x v="797"/>
    <x v="817"/>
    <x v="1"/>
  </r>
  <r>
    <d v="2024-08-05T00:00:00"/>
    <x v="0"/>
    <x v="0"/>
    <x v="1"/>
    <x v="797"/>
    <n v="11166"/>
    <n v="15"/>
    <x v="798"/>
    <x v="818"/>
    <x v="0"/>
  </r>
  <r>
    <d v="2022-01-15T00:00:00"/>
    <x v="3"/>
    <x v="1"/>
    <x v="0"/>
    <x v="798"/>
    <n v="4145"/>
    <n v="5"/>
    <x v="799"/>
    <x v="819"/>
    <x v="1"/>
  </r>
  <r>
    <d v="2022-02-16T00:00:00"/>
    <x v="0"/>
    <x v="3"/>
    <x v="1"/>
    <x v="799"/>
    <n v="2877"/>
    <n v="10"/>
    <x v="800"/>
    <x v="820"/>
    <x v="1"/>
  </r>
  <r>
    <d v="2022-11-20T00:00:00"/>
    <x v="3"/>
    <x v="0"/>
    <x v="3"/>
    <x v="169"/>
    <n v="391"/>
    <n v="5"/>
    <x v="801"/>
    <x v="821"/>
    <x v="1"/>
  </r>
  <r>
    <d v="2024-04-23T00:00:00"/>
    <x v="3"/>
    <x v="0"/>
    <x v="1"/>
    <x v="800"/>
    <n v="4534"/>
    <n v="0"/>
    <x v="802"/>
    <x v="822"/>
    <x v="0"/>
  </r>
  <r>
    <d v="2022-05-10T00:00:00"/>
    <x v="2"/>
    <x v="1"/>
    <x v="2"/>
    <x v="801"/>
    <n v="8972"/>
    <n v="20"/>
    <x v="803"/>
    <x v="823"/>
    <x v="1"/>
  </r>
  <r>
    <d v="2022-04-05T00:00:00"/>
    <x v="0"/>
    <x v="3"/>
    <x v="0"/>
    <x v="802"/>
    <n v="6892"/>
    <n v="0"/>
    <x v="804"/>
    <x v="824"/>
    <x v="1"/>
  </r>
  <r>
    <d v="2023-09-19T00:00:00"/>
    <x v="0"/>
    <x v="3"/>
    <x v="0"/>
    <x v="803"/>
    <n v="11408"/>
    <n v="20"/>
    <x v="805"/>
    <x v="825"/>
    <x v="2"/>
  </r>
  <r>
    <d v="2024-01-25T00:00:00"/>
    <x v="1"/>
    <x v="0"/>
    <x v="1"/>
    <x v="804"/>
    <n v="8428"/>
    <n v="10"/>
    <x v="806"/>
    <x v="826"/>
    <x v="0"/>
  </r>
  <r>
    <d v="2024-03-04T00:00:00"/>
    <x v="2"/>
    <x v="0"/>
    <x v="3"/>
    <x v="805"/>
    <n v="1375"/>
    <n v="5"/>
    <x v="807"/>
    <x v="827"/>
    <x v="0"/>
  </r>
  <r>
    <d v="2022-03-10T00:00:00"/>
    <x v="1"/>
    <x v="0"/>
    <x v="2"/>
    <x v="806"/>
    <n v="2813"/>
    <n v="5"/>
    <x v="808"/>
    <x v="828"/>
    <x v="1"/>
  </r>
  <r>
    <d v="2022-01-11T00:00:00"/>
    <x v="2"/>
    <x v="3"/>
    <x v="0"/>
    <x v="807"/>
    <n v="8468"/>
    <n v="10"/>
    <x v="809"/>
    <x v="829"/>
    <x v="1"/>
  </r>
  <r>
    <d v="2024-05-21T00:00:00"/>
    <x v="0"/>
    <x v="1"/>
    <x v="0"/>
    <x v="808"/>
    <n v="7161"/>
    <n v="15"/>
    <x v="810"/>
    <x v="830"/>
    <x v="0"/>
  </r>
  <r>
    <d v="2023-07-04T00:00:00"/>
    <x v="3"/>
    <x v="1"/>
    <x v="3"/>
    <x v="809"/>
    <n v="9290"/>
    <n v="0"/>
    <x v="811"/>
    <x v="831"/>
    <x v="2"/>
  </r>
  <r>
    <d v="2023-12-13T00:00:00"/>
    <x v="3"/>
    <x v="3"/>
    <x v="3"/>
    <x v="810"/>
    <n v="904"/>
    <n v="0"/>
    <x v="812"/>
    <x v="832"/>
    <x v="2"/>
  </r>
  <r>
    <d v="2022-01-23T00:00:00"/>
    <x v="3"/>
    <x v="2"/>
    <x v="2"/>
    <x v="811"/>
    <n v="3279"/>
    <n v="5"/>
    <x v="813"/>
    <x v="833"/>
    <x v="1"/>
  </r>
  <r>
    <d v="2024-03-25T00:00:00"/>
    <x v="3"/>
    <x v="1"/>
    <x v="1"/>
    <x v="812"/>
    <n v="7440"/>
    <n v="5"/>
    <x v="814"/>
    <x v="834"/>
    <x v="0"/>
  </r>
  <r>
    <d v="2022-12-12T00:00:00"/>
    <x v="3"/>
    <x v="0"/>
    <x v="3"/>
    <x v="813"/>
    <n v="7365"/>
    <n v="5"/>
    <x v="815"/>
    <x v="835"/>
    <x v="1"/>
  </r>
  <r>
    <d v="2022-10-29T00:00:00"/>
    <x v="1"/>
    <x v="2"/>
    <x v="1"/>
    <x v="814"/>
    <n v="5216"/>
    <n v="10"/>
    <x v="816"/>
    <x v="836"/>
    <x v="1"/>
  </r>
  <r>
    <d v="2022-12-29T00:00:00"/>
    <x v="2"/>
    <x v="2"/>
    <x v="2"/>
    <x v="815"/>
    <n v="7100"/>
    <n v="15"/>
    <x v="817"/>
    <x v="837"/>
    <x v="1"/>
  </r>
  <r>
    <d v="2023-01-31T00:00:00"/>
    <x v="0"/>
    <x v="1"/>
    <x v="1"/>
    <x v="816"/>
    <n v="897"/>
    <n v="0"/>
    <x v="818"/>
    <x v="838"/>
    <x v="2"/>
  </r>
  <r>
    <d v="2022-08-06T00:00:00"/>
    <x v="1"/>
    <x v="2"/>
    <x v="0"/>
    <x v="817"/>
    <n v="10024"/>
    <n v="20"/>
    <x v="819"/>
    <x v="839"/>
    <x v="1"/>
  </r>
  <r>
    <d v="2022-05-21T00:00:00"/>
    <x v="2"/>
    <x v="2"/>
    <x v="1"/>
    <x v="818"/>
    <n v="7620"/>
    <n v="10"/>
    <x v="820"/>
    <x v="840"/>
    <x v="1"/>
  </r>
  <r>
    <d v="2024-08-15T00:00:00"/>
    <x v="3"/>
    <x v="1"/>
    <x v="2"/>
    <x v="819"/>
    <n v="9005"/>
    <n v="0"/>
    <x v="821"/>
    <x v="841"/>
    <x v="0"/>
  </r>
  <r>
    <d v="2024-09-11T00:00:00"/>
    <x v="2"/>
    <x v="1"/>
    <x v="2"/>
    <x v="820"/>
    <n v="5922"/>
    <n v="15"/>
    <x v="822"/>
    <x v="842"/>
    <x v="0"/>
  </r>
  <r>
    <d v="2024-09-19T00:00:00"/>
    <x v="2"/>
    <x v="2"/>
    <x v="2"/>
    <x v="821"/>
    <n v="2177"/>
    <n v="10"/>
    <x v="823"/>
    <x v="843"/>
    <x v="0"/>
  </r>
  <r>
    <d v="2024-04-07T00:00:00"/>
    <x v="3"/>
    <x v="0"/>
    <x v="1"/>
    <x v="822"/>
    <n v="1999"/>
    <n v="0"/>
    <x v="824"/>
    <x v="844"/>
    <x v="0"/>
  </r>
  <r>
    <d v="2023-11-14T00:00:00"/>
    <x v="3"/>
    <x v="3"/>
    <x v="0"/>
    <x v="823"/>
    <n v="9521"/>
    <n v="10"/>
    <x v="825"/>
    <x v="845"/>
    <x v="2"/>
  </r>
  <r>
    <d v="2024-09-30T00:00:00"/>
    <x v="3"/>
    <x v="2"/>
    <x v="3"/>
    <x v="824"/>
    <n v="6080"/>
    <n v="0"/>
    <x v="826"/>
    <x v="846"/>
    <x v="0"/>
  </r>
  <r>
    <d v="2022-12-22T00:00:00"/>
    <x v="0"/>
    <x v="2"/>
    <x v="0"/>
    <x v="825"/>
    <n v="1016"/>
    <n v="0"/>
    <x v="827"/>
    <x v="847"/>
    <x v="1"/>
  </r>
  <r>
    <d v="2024-10-04T00:00:00"/>
    <x v="3"/>
    <x v="0"/>
    <x v="1"/>
    <x v="826"/>
    <n v="4386"/>
    <n v="15"/>
    <x v="828"/>
    <x v="848"/>
    <x v="0"/>
  </r>
  <r>
    <d v="2024-06-06T00:00:00"/>
    <x v="0"/>
    <x v="2"/>
    <x v="1"/>
    <x v="827"/>
    <n v="965"/>
    <n v="20"/>
    <x v="829"/>
    <x v="849"/>
    <x v="0"/>
  </r>
  <r>
    <d v="2022-05-07T00:00:00"/>
    <x v="3"/>
    <x v="2"/>
    <x v="3"/>
    <x v="828"/>
    <n v="8146"/>
    <n v="15"/>
    <x v="830"/>
    <x v="850"/>
    <x v="1"/>
  </r>
  <r>
    <d v="2024-10-05T00:00:00"/>
    <x v="0"/>
    <x v="3"/>
    <x v="1"/>
    <x v="829"/>
    <n v="6911"/>
    <n v="0"/>
    <x v="831"/>
    <x v="851"/>
    <x v="0"/>
  </r>
  <r>
    <d v="2023-08-27T00:00:00"/>
    <x v="2"/>
    <x v="3"/>
    <x v="2"/>
    <x v="830"/>
    <n v="10700"/>
    <n v="10"/>
    <x v="832"/>
    <x v="852"/>
    <x v="2"/>
  </r>
  <r>
    <d v="2024-10-10T00:00:00"/>
    <x v="1"/>
    <x v="3"/>
    <x v="2"/>
    <x v="14"/>
    <n v="1379"/>
    <n v="15"/>
    <x v="833"/>
    <x v="853"/>
    <x v="0"/>
  </r>
  <r>
    <d v="2022-02-20T00:00:00"/>
    <x v="2"/>
    <x v="1"/>
    <x v="2"/>
    <x v="831"/>
    <n v="8719"/>
    <n v="20"/>
    <x v="834"/>
    <x v="854"/>
    <x v="1"/>
  </r>
  <r>
    <d v="2024-11-18T00:00:00"/>
    <x v="2"/>
    <x v="1"/>
    <x v="2"/>
    <x v="832"/>
    <n v="8640"/>
    <n v="0"/>
    <x v="835"/>
    <x v="855"/>
    <x v="0"/>
  </r>
  <r>
    <d v="2024-02-18T00:00:00"/>
    <x v="3"/>
    <x v="3"/>
    <x v="2"/>
    <x v="833"/>
    <n v="1369"/>
    <n v="15"/>
    <x v="716"/>
    <x v="856"/>
    <x v="0"/>
  </r>
  <r>
    <d v="2024-03-24T00:00:00"/>
    <x v="0"/>
    <x v="3"/>
    <x v="1"/>
    <x v="834"/>
    <n v="5563"/>
    <n v="15"/>
    <x v="836"/>
    <x v="857"/>
    <x v="0"/>
  </r>
  <r>
    <d v="2023-02-24T00:00:00"/>
    <x v="1"/>
    <x v="1"/>
    <x v="3"/>
    <x v="835"/>
    <n v="8251"/>
    <n v="15"/>
    <x v="837"/>
    <x v="858"/>
    <x v="2"/>
  </r>
  <r>
    <d v="2024-09-09T00:00:00"/>
    <x v="3"/>
    <x v="0"/>
    <x v="3"/>
    <x v="836"/>
    <n v="1663"/>
    <n v="15"/>
    <x v="838"/>
    <x v="859"/>
    <x v="0"/>
  </r>
  <r>
    <d v="2024-04-04T00:00:00"/>
    <x v="3"/>
    <x v="2"/>
    <x v="2"/>
    <x v="837"/>
    <n v="4808"/>
    <n v="10"/>
    <x v="839"/>
    <x v="860"/>
    <x v="0"/>
  </r>
  <r>
    <d v="2024-10-21T00:00:00"/>
    <x v="3"/>
    <x v="2"/>
    <x v="1"/>
    <x v="838"/>
    <n v="2055"/>
    <n v="20"/>
    <x v="840"/>
    <x v="861"/>
    <x v="0"/>
  </r>
  <r>
    <d v="2023-07-21T00:00:00"/>
    <x v="2"/>
    <x v="3"/>
    <x v="0"/>
    <x v="839"/>
    <n v="819"/>
    <n v="20"/>
    <x v="841"/>
    <x v="862"/>
    <x v="2"/>
  </r>
  <r>
    <d v="2023-01-06T00:00:00"/>
    <x v="0"/>
    <x v="0"/>
    <x v="0"/>
    <x v="840"/>
    <n v="5763"/>
    <n v="0"/>
    <x v="842"/>
    <x v="863"/>
    <x v="2"/>
  </r>
  <r>
    <d v="2024-07-24T00:00:00"/>
    <x v="0"/>
    <x v="1"/>
    <x v="1"/>
    <x v="841"/>
    <n v="10814"/>
    <n v="5"/>
    <x v="843"/>
    <x v="864"/>
    <x v="0"/>
  </r>
  <r>
    <d v="2023-10-23T00:00:00"/>
    <x v="1"/>
    <x v="3"/>
    <x v="2"/>
    <x v="842"/>
    <n v="7533"/>
    <n v="10"/>
    <x v="844"/>
    <x v="865"/>
    <x v="2"/>
  </r>
  <r>
    <d v="2024-08-26T00:00:00"/>
    <x v="0"/>
    <x v="0"/>
    <x v="3"/>
    <x v="43"/>
    <n v="1402"/>
    <n v="0"/>
    <x v="845"/>
    <x v="866"/>
    <x v="0"/>
  </r>
  <r>
    <d v="2022-07-21T00:00:00"/>
    <x v="0"/>
    <x v="0"/>
    <x v="1"/>
    <x v="843"/>
    <n v="897"/>
    <n v="0"/>
    <x v="846"/>
    <x v="867"/>
    <x v="1"/>
  </r>
  <r>
    <d v="2022-11-09T00:00:00"/>
    <x v="3"/>
    <x v="0"/>
    <x v="0"/>
    <x v="844"/>
    <n v="3573"/>
    <n v="15"/>
    <x v="847"/>
    <x v="868"/>
    <x v="1"/>
  </r>
  <r>
    <d v="2022-04-27T00:00:00"/>
    <x v="3"/>
    <x v="1"/>
    <x v="0"/>
    <x v="845"/>
    <n v="6081"/>
    <n v="5"/>
    <x v="848"/>
    <x v="869"/>
    <x v="1"/>
  </r>
  <r>
    <d v="2024-07-25T00:00:00"/>
    <x v="2"/>
    <x v="1"/>
    <x v="0"/>
    <x v="846"/>
    <n v="11097"/>
    <n v="5"/>
    <x v="849"/>
    <x v="870"/>
    <x v="0"/>
  </r>
  <r>
    <d v="2023-07-29T00:00:00"/>
    <x v="3"/>
    <x v="2"/>
    <x v="2"/>
    <x v="847"/>
    <n v="6556"/>
    <n v="10"/>
    <x v="850"/>
    <x v="871"/>
    <x v="2"/>
  </r>
  <r>
    <d v="2022-09-01T00:00:00"/>
    <x v="3"/>
    <x v="2"/>
    <x v="0"/>
    <x v="848"/>
    <n v="7558"/>
    <n v="5"/>
    <x v="851"/>
    <x v="872"/>
    <x v="1"/>
  </r>
  <r>
    <d v="2023-06-21T00:00:00"/>
    <x v="3"/>
    <x v="0"/>
    <x v="1"/>
    <x v="849"/>
    <n v="10680"/>
    <n v="0"/>
    <x v="852"/>
    <x v="873"/>
    <x v="2"/>
  </r>
  <r>
    <d v="2022-03-16T00:00:00"/>
    <x v="3"/>
    <x v="0"/>
    <x v="1"/>
    <x v="850"/>
    <n v="9080"/>
    <n v="5"/>
    <x v="853"/>
    <x v="874"/>
    <x v="1"/>
  </r>
  <r>
    <d v="2023-01-21T00:00:00"/>
    <x v="2"/>
    <x v="1"/>
    <x v="0"/>
    <x v="851"/>
    <n v="6854"/>
    <n v="5"/>
    <x v="854"/>
    <x v="875"/>
    <x v="2"/>
  </r>
  <r>
    <d v="2023-04-20T00:00:00"/>
    <x v="3"/>
    <x v="2"/>
    <x v="1"/>
    <x v="852"/>
    <n v="9899"/>
    <n v="20"/>
    <x v="855"/>
    <x v="876"/>
    <x v="2"/>
  </r>
  <r>
    <d v="2023-02-22T00:00:00"/>
    <x v="1"/>
    <x v="0"/>
    <x v="0"/>
    <x v="853"/>
    <n v="8302"/>
    <n v="0"/>
    <x v="856"/>
    <x v="877"/>
    <x v="2"/>
  </r>
  <r>
    <d v="2022-12-13T00:00:00"/>
    <x v="1"/>
    <x v="2"/>
    <x v="0"/>
    <x v="854"/>
    <n v="5146"/>
    <n v="5"/>
    <x v="857"/>
    <x v="878"/>
    <x v="1"/>
  </r>
  <r>
    <d v="2023-10-02T00:00:00"/>
    <x v="1"/>
    <x v="2"/>
    <x v="3"/>
    <x v="855"/>
    <n v="11882"/>
    <n v="5"/>
    <x v="858"/>
    <x v="879"/>
    <x v="2"/>
  </r>
  <r>
    <d v="2024-07-27T00:00:00"/>
    <x v="1"/>
    <x v="0"/>
    <x v="2"/>
    <x v="856"/>
    <n v="11932"/>
    <n v="15"/>
    <x v="859"/>
    <x v="880"/>
    <x v="0"/>
  </r>
  <r>
    <d v="2024-08-12T00:00:00"/>
    <x v="3"/>
    <x v="1"/>
    <x v="2"/>
    <x v="857"/>
    <n v="10121"/>
    <n v="5"/>
    <x v="351"/>
    <x v="881"/>
    <x v="0"/>
  </r>
  <r>
    <d v="2024-05-25T00:00:00"/>
    <x v="1"/>
    <x v="0"/>
    <x v="3"/>
    <x v="858"/>
    <n v="9486"/>
    <n v="5"/>
    <x v="860"/>
    <x v="882"/>
    <x v="0"/>
  </r>
  <r>
    <d v="2024-02-02T00:00:00"/>
    <x v="3"/>
    <x v="0"/>
    <x v="3"/>
    <x v="859"/>
    <n v="5098"/>
    <n v="20"/>
    <x v="861"/>
    <x v="883"/>
    <x v="0"/>
  </r>
  <r>
    <d v="2023-10-26T00:00:00"/>
    <x v="2"/>
    <x v="2"/>
    <x v="2"/>
    <x v="860"/>
    <n v="6905"/>
    <n v="0"/>
    <x v="862"/>
    <x v="884"/>
    <x v="2"/>
  </r>
  <r>
    <d v="2022-01-25T00:00:00"/>
    <x v="1"/>
    <x v="0"/>
    <x v="0"/>
    <x v="861"/>
    <n v="10551"/>
    <n v="10"/>
    <x v="863"/>
    <x v="885"/>
    <x v="1"/>
  </r>
  <r>
    <d v="2023-12-11T00:00:00"/>
    <x v="0"/>
    <x v="1"/>
    <x v="0"/>
    <x v="862"/>
    <n v="3286"/>
    <n v="0"/>
    <x v="864"/>
    <x v="886"/>
    <x v="2"/>
  </r>
  <r>
    <d v="2022-06-26T00:00:00"/>
    <x v="1"/>
    <x v="0"/>
    <x v="2"/>
    <x v="44"/>
    <n v="700"/>
    <n v="15"/>
    <x v="865"/>
    <x v="887"/>
    <x v="1"/>
  </r>
  <r>
    <d v="2022-10-12T00:00:00"/>
    <x v="1"/>
    <x v="1"/>
    <x v="0"/>
    <x v="863"/>
    <n v="3155"/>
    <n v="0"/>
    <x v="866"/>
    <x v="888"/>
    <x v="1"/>
  </r>
  <r>
    <d v="2022-03-04T00:00:00"/>
    <x v="3"/>
    <x v="1"/>
    <x v="3"/>
    <x v="864"/>
    <n v="10716"/>
    <n v="5"/>
    <x v="867"/>
    <x v="889"/>
    <x v="1"/>
  </r>
  <r>
    <d v="2024-09-29T00:00:00"/>
    <x v="1"/>
    <x v="2"/>
    <x v="0"/>
    <x v="865"/>
    <n v="3712"/>
    <n v="15"/>
    <x v="868"/>
    <x v="890"/>
    <x v="0"/>
  </r>
  <r>
    <d v="2023-10-24T00:00:00"/>
    <x v="0"/>
    <x v="3"/>
    <x v="0"/>
    <x v="866"/>
    <n v="356"/>
    <n v="0"/>
    <x v="869"/>
    <x v="891"/>
    <x v="2"/>
  </r>
  <r>
    <d v="2023-10-28T00:00:00"/>
    <x v="3"/>
    <x v="3"/>
    <x v="1"/>
    <x v="867"/>
    <n v="8322"/>
    <n v="15"/>
    <x v="870"/>
    <x v="892"/>
    <x v="2"/>
  </r>
  <r>
    <d v="2022-06-05T00:00:00"/>
    <x v="3"/>
    <x v="2"/>
    <x v="1"/>
    <x v="868"/>
    <n v="2175"/>
    <n v="10"/>
    <x v="871"/>
    <x v="893"/>
    <x v="1"/>
  </r>
  <r>
    <d v="2024-12-08T00:00:00"/>
    <x v="2"/>
    <x v="0"/>
    <x v="1"/>
    <x v="869"/>
    <n v="4843"/>
    <n v="0"/>
    <x v="872"/>
    <x v="894"/>
    <x v="0"/>
  </r>
  <r>
    <d v="2024-08-24T00:00:00"/>
    <x v="2"/>
    <x v="2"/>
    <x v="0"/>
    <x v="870"/>
    <n v="4598"/>
    <n v="5"/>
    <x v="873"/>
    <x v="895"/>
    <x v="0"/>
  </r>
  <r>
    <d v="2024-04-28T00:00:00"/>
    <x v="1"/>
    <x v="1"/>
    <x v="2"/>
    <x v="871"/>
    <n v="4068"/>
    <n v="15"/>
    <x v="874"/>
    <x v="896"/>
    <x v="0"/>
  </r>
  <r>
    <d v="2023-11-20T00:00:00"/>
    <x v="2"/>
    <x v="3"/>
    <x v="3"/>
    <x v="872"/>
    <n v="6052"/>
    <n v="20"/>
    <x v="875"/>
    <x v="897"/>
    <x v="2"/>
  </r>
  <r>
    <d v="2022-05-28T00:00:00"/>
    <x v="2"/>
    <x v="2"/>
    <x v="0"/>
    <x v="873"/>
    <n v="5133"/>
    <n v="15"/>
    <x v="876"/>
    <x v="898"/>
    <x v="1"/>
  </r>
  <r>
    <d v="2022-12-08T00:00:00"/>
    <x v="2"/>
    <x v="0"/>
    <x v="2"/>
    <x v="874"/>
    <n v="1653"/>
    <n v="20"/>
    <x v="877"/>
    <x v="899"/>
    <x v="1"/>
  </r>
  <r>
    <d v="2023-04-21T00:00:00"/>
    <x v="3"/>
    <x v="2"/>
    <x v="0"/>
    <x v="875"/>
    <n v="10902"/>
    <n v="5"/>
    <x v="878"/>
    <x v="900"/>
    <x v="2"/>
  </r>
  <r>
    <d v="2024-12-22T00:00:00"/>
    <x v="3"/>
    <x v="3"/>
    <x v="3"/>
    <x v="876"/>
    <n v="5287"/>
    <n v="10"/>
    <x v="879"/>
    <x v="901"/>
    <x v="0"/>
  </r>
  <r>
    <d v="2023-07-15T00:00:00"/>
    <x v="3"/>
    <x v="2"/>
    <x v="0"/>
    <x v="877"/>
    <n v="6897"/>
    <n v="20"/>
    <x v="880"/>
    <x v="902"/>
    <x v="2"/>
  </r>
  <r>
    <d v="2022-11-23T00:00:00"/>
    <x v="2"/>
    <x v="2"/>
    <x v="3"/>
    <x v="878"/>
    <n v="4611"/>
    <n v="10"/>
    <x v="881"/>
    <x v="903"/>
    <x v="1"/>
  </r>
  <r>
    <d v="2024-09-16T00:00:00"/>
    <x v="3"/>
    <x v="3"/>
    <x v="0"/>
    <x v="879"/>
    <n v="11094"/>
    <n v="15"/>
    <x v="882"/>
    <x v="904"/>
    <x v="0"/>
  </r>
  <r>
    <d v="2022-08-03T00:00:00"/>
    <x v="2"/>
    <x v="1"/>
    <x v="3"/>
    <x v="880"/>
    <n v="3234"/>
    <n v="5"/>
    <x v="883"/>
    <x v="905"/>
    <x v="1"/>
  </r>
  <r>
    <d v="2023-03-11T00:00:00"/>
    <x v="3"/>
    <x v="1"/>
    <x v="0"/>
    <x v="881"/>
    <n v="322"/>
    <n v="20"/>
    <x v="884"/>
    <x v="906"/>
    <x v="2"/>
  </r>
  <r>
    <d v="2024-08-09T00:00:00"/>
    <x v="3"/>
    <x v="3"/>
    <x v="3"/>
    <x v="882"/>
    <n v="10694"/>
    <n v="15"/>
    <x v="885"/>
    <x v="907"/>
    <x v="0"/>
  </r>
  <r>
    <d v="2023-12-24T00:00:00"/>
    <x v="0"/>
    <x v="2"/>
    <x v="1"/>
    <x v="883"/>
    <n v="1509"/>
    <n v="0"/>
    <x v="886"/>
    <x v="908"/>
    <x v="2"/>
  </r>
  <r>
    <d v="2022-02-01T00:00:00"/>
    <x v="1"/>
    <x v="3"/>
    <x v="0"/>
    <x v="884"/>
    <n v="10788"/>
    <n v="15"/>
    <x v="887"/>
    <x v="909"/>
    <x v="1"/>
  </r>
  <r>
    <d v="2023-11-01T00:00:00"/>
    <x v="2"/>
    <x v="1"/>
    <x v="0"/>
    <x v="801"/>
    <n v="9240"/>
    <n v="10"/>
    <x v="888"/>
    <x v="910"/>
    <x v="2"/>
  </r>
  <r>
    <d v="2022-10-12T00:00:00"/>
    <x v="0"/>
    <x v="0"/>
    <x v="2"/>
    <x v="885"/>
    <n v="1104"/>
    <n v="5"/>
    <x v="889"/>
    <x v="911"/>
    <x v="1"/>
  </r>
  <r>
    <d v="2023-03-05T00:00:00"/>
    <x v="3"/>
    <x v="2"/>
    <x v="2"/>
    <x v="318"/>
    <n v="8625"/>
    <n v="5"/>
    <x v="890"/>
    <x v="912"/>
    <x v="2"/>
  </r>
  <r>
    <d v="2022-10-13T00:00:00"/>
    <x v="2"/>
    <x v="1"/>
    <x v="3"/>
    <x v="886"/>
    <n v="4716"/>
    <n v="15"/>
    <x v="891"/>
    <x v="913"/>
    <x v="1"/>
  </r>
  <r>
    <d v="2024-11-08T00:00:00"/>
    <x v="3"/>
    <x v="2"/>
    <x v="0"/>
    <x v="887"/>
    <n v="10929"/>
    <n v="0"/>
    <x v="892"/>
    <x v="914"/>
    <x v="0"/>
  </r>
  <r>
    <d v="2022-01-18T00:00:00"/>
    <x v="1"/>
    <x v="3"/>
    <x v="3"/>
    <x v="888"/>
    <n v="8925"/>
    <n v="10"/>
    <x v="893"/>
    <x v="915"/>
    <x v="1"/>
  </r>
  <r>
    <d v="2024-02-08T00:00:00"/>
    <x v="0"/>
    <x v="0"/>
    <x v="1"/>
    <x v="889"/>
    <n v="5441"/>
    <n v="15"/>
    <x v="894"/>
    <x v="916"/>
    <x v="0"/>
  </r>
  <r>
    <d v="2023-08-13T00:00:00"/>
    <x v="1"/>
    <x v="3"/>
    <x v="2"/>
    <x v="890"/>
    <n v="5268"/>
    <n v="15"/>
    <x v="895"/>
    <x v="917"/>
    <x v="2"/>
  </r>
  <r>
    <d v="2024-10-06T00:00:00"/>
    <x v="0"/>
    <x v="0"/>
    <x v="3"/>
    <x v="891"/>
    <n v="3971"/>
    <n v="5"/>
    <x v="896"/>
    <x v="918"/>
    <x v="0"/>
  </r>
  <r>
    <d v="2022-07-13T00:00:00"/>
    <x v="3"/>
    <x v="2"/>
    <x v="3"/>
    <x v="892"/>
    <n v="7592"/>
    <n v="10"/>
    <x v="897"/>
    <x v="919"/>
    <x v="1"/>
  </r>
  <r>
    <d v="2023-05-17T00:00:00"/>
    <x v="1"/>
    <x v="2"/>
    <x v="2"/>
    <x v="893"/>
    <n v="7301"/>
    <n v="0"/>
    <x v="898"/>
    <x v="920"/>
    <x v="2"/>
  </r>
  <r>
    <d v="2024-09-14T00:00:00"/>
    <x v="1"/>
    <x v="3"/>
    <x v="0"/>
    <x v="894"/>
    <n v="2398"/>
    <n v="5"/>
    <x v="899"/>
    <x v="921"/>
    <x v="0"/>
  </r>
  <r>
    <d v="2022-04-24T00:00:00"/>
    <x v="3"/>
    <x v="0"/>
    <x v="3"/>
    <x v="895"/>
    <n v="11409"/>
    <n v="15"/>
    <x v="900"/>
    <x v="922"/>
    <x v="1"/>
  </r>
  <r>
    <d v="2024-08-04T00:00:00"/>
    <x v="1"/>
    <x v="0"/>
    <x v="2"/>
    <x v="896"/>
    <n v="8744"/>
    <n v="5"/>
    <x v="901"/>
    <x v="923"/>
    <x v="0"/>
  </r>
  <r>
    <d v="2024-04-10T00:00:00"/>
    <x v="2"/>
    <x v="2"/>
    <x v="0"/>
    <x v="897"/>
    <n v="5361"/>
    <n v="5"/>
    <x v="902"/>
    <x v="924"/>
    <x v="0"/>
  </r>
  <r>
    <d v="2024-07-13T00:00:00"/>
    <x v="0"/>
    <x v="3"/>
    <x v="1"/>
    <x v="898"/>
    <n v="9621"/>
    <n v="20"/>
    <x v="903"/>
    <x v="925"/>
    <x v="0"/>
  </r>
  <r>
    <d v="2022-02-24T00:00:00"/>
    <x v="0"/>
    <x v="0"/>
    <x v="2"/>
    <x v="899"/>
    <n v="3564"/>
    <n v="5"/>
    <x v="904"/>
    <x v="926"/>
    <x v="1"/>
  </r>
  <r>
    <d v="2024-03-10T00:00:00"/>
    <x v="0"/>
    <x v="2"/>
    <x v="3"/>
    <x v="900"/>
    <n v="5735"/>
    <n v="5"/>
    <x v="905"/>
    <x v="927"/>
    <x v="0"/>
  </r>
  <r>
    <d v="2024-02-17T00:00:00"/>
    <x v="2"/>
    <x v="1"/>
    <x v="1"/>
    <x v="80"/>
    <n v="8793"/>
    <n v="10"/>
    <x v="906"/>
    <x v="928"/>
    <x v="0"/>
  </r>
  <r>
    <d v="2022-06-11T00:00:00"/>
    <x v="0"/>
    <x v="3"/>
    <x v="0"/>
    <x v="901"/>
    <n v="6991"/>
    <n v="5"/>
    <x v="907"/>
    <x v="929"/>
    <x v="1"/>
  </r>
  <r>
    <d v="2022-03-28T00:00:00"/>
    <x v="3"/>
    <x v="1"/>
    <x v="0"/>
    <x v="902"/>
    <n v="10469"/>
    <n v="0"/>
    <x v="908"/>
    <x v="930"/>
    <x v="1"/>
  </r>
  <r>
    <d v="2022-02-24T00:00:00"/>
    <x v="1"/>
    <x v="3"/>
    <x v="2"/>
    <x v="903"/>
    <n v="3063"/>
    <n v="15"/>
    <x v="909"/>
    <x v="931"/>
    <x v="1"/>
  </r>
  <r>
    <d v="2024-10-28T00:00:00"/>
    <x v="2"/>
    <x v="2"/>
    <x v="2"/>
    <x v="904"/>
    <n v="4305"/>
    <n v="10"/>
    <x v="910"/>
    <x v="932"/>
    <x v="0"/>
  </r>
  <r>
    <d v="2024-04-12T00:00:00"/>
    <x v="0"/>
    <x v="0"/>
    <x v="2"/>
    <x v="905"/>
    <n v="3541"/>
    <n v="5"/>
    <x v="911"/>
    <x v="933"/>
    <x v="0"/>
  </r>
  <r>
    <d v="2022-11-09T00:00:00"/>
    <x v="3"/>
    <x v="0"/>
    <x v="0"/>
    <x v="906"/>
    <n v="3357"/>
    <n v="0"/>
    <x v="478"/>
    <x v="934"/>
    <x v="1"/>
  </r>
  <r>
    <d v="2024-01-29T00:00:00"/>
    <x v="1"/>
    <x v="0"/>
    <x v="1"/>
    <x v="907"/>
    <n v="850"/>
    <n v="15"/>
    <x v="912"/>
    <x v="935"/>
    <x v="0"/>
  </r>
  <r>
    <d v="2023-03-19T00:00:00"/>
    <x v="1"/>
    <x v="3"/>
    <x v="0"/>
    <x v="908"/>
    <n v="5874"/>
    <n v="10"/>
    <x v="913"/>
    <x v="936"/>
    <x v="2"/>
  </r>
  <r>
    <d v="2022-11-24T00:00:00"/>
    <x v="2"/>
    <x v="2"/>
    <x v="3"/>
    <x v="909"/>
    <n v="5711"/>
    <n v="0"/>
    <x v="914"/>
    <x v="937"/>
    <x v="1"/>
  </r>
  <r>
    <d v="2024-12-13T00:00:00"/>
    <x v="2"/>
    <x v="1"/>
    <x v="0"/>
    <x v="910"/>
    <n v="1887"/>
    <n v="5"/>
    <x v="915"/>
    <x v="938"/>
    <x v="0"/>
  </r>
  <r>
    <d v="2024-01-31T00:00:00"/>
    <x v="2"/>
    <x v="2"/>
    <x v="3"/>
    <x v="911"/>
    <n v="10314"/>
    <n v="20"/>
    <x v="916"/>
    <x v="939"/>
    <x v="0"/>
  </r>
  <r>
    <d v="2023-08-02T00:00:00"/>
    <x v="3"/>
    <x v="1"/>
    <x v="1"/>
    <x v="912"/>
    <n v="6220"/>
    <n v="20"/>
    <x v="917"/>
    <x v="940"/>
    <x v="2"/>
  </r>
  <r>
    <d v="2024-12-10T00:00:00"/>
    <x v="3"/>
    <x v="3"/>
    <x v="2"/>
    <x v="913"/>
    <n v="5560"/>
    <n v="10"/>
    <x v="918"/>
    <x v="941"/>
    <x v="0"/>
  </r>
  <r>
    <d v="2024-10-03T00:00:00"/>
    <x v="2"/>
    <x v="3"/>
    <x v="2"/>
    <x v="914"/>
    <n v="11709"/>
    <n v="0"/>
    <x v="227"/>
    <x v="942"/>
    <x v="0"/>
  </r>
  <r>
    <d v="2022-04-06T00:00:00"/>
    <x v="0"/>
    <x v="1"/>
    <x v="0"/>
    <x v="148"/>
    <n v="11988"/>
    <n v="15"/>
    <x v="919"/>
    <x v="943"/>
    <x v="1"/>
  </r>
  <r>
    <d v="2024-03-24T00:00:00"/>
    <x v="1"/>
    <x v="1"/>
    <x v="2"/>
    <x v="915"/>
    <n v="4709"/>
    <n v="0"/>
    <x v="920"/>
    <x v="944"/>
    <x v="0"/>
  </r>
  <r>
    <d v="2023-05-06T00:00:00"/>
    <x v="1"/>
    <x v="1"/>
    <x v="1"/>
    <x v="916"/>
    <n v="6083"/>
    <n v="20"/>
    <x v="921"/>
    <x v="945"/>
    <x v="2"/>
  </r>
  <r>
    <d v="2023-03-28T00:00:00"/>
    <x v="3"/>
    <x v="2"/>
    <x v="2"/>
    <x v="917"/>
    <n v="1012"/>
    <n v="10"/>
    <x v="922"/>
    <x v="946"/>
    <x v="2"/>
  </r>
  <r>
    <d v="2022-06-14T00:00:00"/>
    <x v="1"/>
    <x v="1"/>
    <x v="0"/>
    <x v="918"/>
    <n v="10667"/>
    <n v="5"/>
    <x v="169"/>
    <x v="947"/>
    <x v="1"/>
  </r>
  <r>
    <d v="2022-07-01T00:00:00"/>
    <x v="0"/>
    <x v="3"/>
    <x v="1"/>
    <x v="919"/>
    <n v="5706"/>
    <n v="0"/>
    <x v="923"/>
    <x v="948"/>
    <x v="1"/>
  </r>
  <r>
    <d v="2023-04-14T00:00:00"/>
    <x v="1"/>
    <x v="3"/>
    <x v="3"/>
    <x v="920"/>
    <n v="8290"/>
    <n v="20"/>
    <x v="924"/>
    <x v="949"/>
    <x v="2"/>
  </r>
  <r>
    <d v="2024-06-28T00:00:00"/>
    <x v="3"/>
    <x v="0"/>
    <x v="0"/>
    <x v="921"/>
    <n v="7720"/>
    <n v="15"/>
    <x v="925"/>
    <x v="950"/>
    <x v="0"/>
  </r>
  <r>
    <d v="2024-01-05T00:00:00"/>
    <x v="3"/>
    <x v="1"/>
    <x v="3"/>
    <x v="922"/>
    <n v="7143"/>
    <n v="10"/>
    <x v="926"/>
    <x v="951"/>
    <x v="0"/>
  </r>
  <r>
    <d v="2024-04-02T00:00:00"/>
    <x v="0"/>
    <x v="2"/>
    <x v="1"/>
    <x v="923"/>
    <n v="2733"/>
    <n v="5"/>
    <x v="927"/>
    <x v="952"/>
    <x v="0"/>
  </r>
  <r>
    <d v="2024-08-01T00:00:00"/>
    <x v="0"/>
    <x v="2"/>
    <x v="0"/>
    <x v="924"/>
    <n v="3601"/>
    <n v="0"/>
    <x v="928"/>
    <x v="953"/>
    <x v="0"/>
  </r>
  <r>
    <d v="2022-01-07T00:00:00"/>
    <x v="1"/>
    <x v="2"/>
    <x v="0"/>
    <x v="925"/>
    <n v="570"/>
    <n v="15"/>
    <x v="929"/>
    <x v="954"/>
    <x v="1"/>
  </r>
  <r>
    <d v="2022-11-26T00:00:00"/>
    <x v="1"/>
    <x v="0"/>
    <x v="1"/>
    <x v="659"/>
    <n v="10286"/>
    <n v="5"/>
    <x v="930"/>
    <x v="955"/>
    <x v="1"/>
  </r>
  <r>
    <d v="2024-02-14T00:00:00"/>
    <x v="3"/>
    <x v="3"/>
    <x v="2"/>
    <x v="926"/>
    <n v="10954"/>
    <n v="20"/>
    <x v="931"/>
    <x v="956"/>
    <x v="0"/>
  </r>
  <r>
    <d v="2022-05-31T00:00:00"/>
    <x v="0"/>
    <x v="2"/>
    <x v="0"/>
    <x v="927"/>
    <n v="11886"/>
    <n v="20"/>
    <x v="932"/>
    <x v="957"/>
    <x v="1"/>
  </r>
  <r>
    <d v="2022-05-27T00:00:00"/>
    <x v="0"/>
    <x v="3"/>
    <x v="0"/>
    <x v="928"/>
    <n v="1379"/>
    <n v="15"/>
    <x v="933"/>
    <x v="958"/>
    <x v="1"/>
  </r>
  <r>
    <d v="2024-07-03T00:00:00"/>
    <x v="0"/>
    <x v="0"/>
    <x v="3"/>
    <x v="929"/>
    <n v="11370"/>
    <n v="20"/>
    <x v="934"/>
    <x v="959"/>
    <x v="0"/>
  </r>
  <r>
    <d v="2023-12-01T00:00:00"/>
    <x v="1"/>
    <x v="1"/>
    <x v="2"/>
    <x v="930"/>
    <n v="5622"/>
    <n v="10"/>
    <x v="935"/>
    <x v="960"/>
    <x v="2"/>
  </r>
  <r>
    <d v="2022-03-23T00:00:00"/>
    <x v="0"/>
    <x v="1"/>
    <x v="3"/>
    <x v="931"/>
    <n v="9095"/>
    <n v="15"/>
    <x v="936"/>
    <x v="961"/>
    <x v="1"/>
  </r>
  <r>
    <d v="2023-05-29T00:00:00"/>
    <x v="3"/>
    <x v="1"/>
    <x v="3"/>
    <x v="932"/>
    <n v="5557"/>
    <n v="20"/>
    <x v="937"/>
    <x v="962"/>
    <x v="2"/>
  </r>
  <r>
    <d v="2024-03-25T00:00:00"/>
    <x v="3"/>
    <x v="2"/>
    <x v="2"/>
    <x v="933"/>
    <n v="8282"/>
    <n v="0"/>
    <x v="938"/>
    <x v="963"/>
    <x v="0"/>
  </r>
  <r>
    <d v="2023-12-10T00:00:00"/>
    <x v="1"/>
    <x v="1"/>
    <x v="2"/>
    <x v="934"/>
    <n v="10077"/>
    <n v="20"/>
    <x v="939"/>
    <x v="964"/>
    <x v="2"/>
  </r>
  <r>
    <d v="2024-01-16T00:00:00"/>
    <x v="2"/>
    <x v="2"/>
    <x v="1"/>
    <x v="935"/>
    <n v="11549"/>
    <n v="10"/>
    <x v="940"/>
    <x v="965"/>
    <x v="0"/>
  </r>
  <r>
    <d v="2024-10-19T00:00:00"/>
    <x v="1"/>
    <x v="0"/>
    <x v="2"/>
    <x v="936"/>
    <n v="6514"/>
    <n v="5"/>
    <x v="941"/>
    <x v="966"/>
    <x v="0"/>
  </r>
  <r>
    <d v="2023-12-08T00:00:00"/>
    <x v="2"/>
    <x v="0"/>
    <x v="0"/>
    <x v="937"/>
    <n v="5306"/>
    <n v="5"/>
    <x v="942"/>
    <x v="967"/>
    <x v="2"/>
  </r>
  <r>
    <d v="2023-04-16T00:00:00"/>
    <x v="0"/>
    <x v="2"/>
    <x v="2"/>
    <x v="938"/>
    <n v="4285"/>
    <n v="20"/>
    <x v="943"/>
    <x v="968"/>
    <x v="2"/>
  </r>
  <r>
    <d v="2023-01-31T00:00:00"/>
    <x v="1"/>
    <x v="3"/>
    <x v="1"/>
    <x v="939"/>
    <n v="9887"/>
    <n v="5"/>
    <x v="944"/>
    <x v="969"/>
    <x v="2"/>
  </r>
  <r>
    <d v="2022-09-18T00:00:00"/>
    <x v="3"/>
    <x v="1"/>
    <x v="1"/>
    <x v="940"/>
    <n v="9091"/>
    <n v="20"/>
    <x v="945"/>
    <x v="970"/>
    <x v="1"/>
  </r>
  <r>
    <d v="2024-03-15T00:00:00"/>
    <x v="0"/>
    <x v="1"/>
    <x v="1"/>
    <x v="941"/>
    <n v="9005"/>
    <n v="10"/>
    <x v="946"/>
    <x v="971"/>
    <x v="0"/>
  </r>
  <r>
    <d v="2024-07-22T00:00:00"/>
    <x v="3"/>
    <x v="1"/>
    <x v="2"/>
    <x v="942"/>
    <n v="6291"/>
    <n v="5"/>
    <x v="947"/>
    <x v="972"/>
    <x v="0"/>
  </r>
  <r>
    <d v="2024-06-23T00:00:00"/>
    <x v="0"/>
    <x v="2"/>
    <x v="2"/>
    <x v="943"/>
    <n v="6527"/>
    <n v="0"/>
    <x v="948"/>
    <x v="973"/>
    <x v="0"/>
  </r>
  <r>
    <d v="2024-12-12T00:00:00"/>
    <x v="1"/>
    <x v="0"/>
    <x v="3"/>
    <x v="944"/>
    <n v="9558"/>
    <n v="20"/>
    <x v="949"/>
    <x v="974"/>
    <x v="0"/>
  </r>
  <r>
    <d v="2024-07-28T00:00:00"/>
    <x v="2"/>
    <x v="1"/>
    <x v="3"/>
    <x v="945"/>
    <n v="8133"/>
    <n v="5"/>
    <x v="950"/>
    <x v="975"/>
    <x v="0"/>
  </r>
  <r>
    <d v="2024-05-03T00:00:00"/>
    <x v="0"/>
    <x v="0"/>
    <x v="0"/>
    <x v="946"/>
    <n v="3186"/>
    <n v="10"/>
    <x v="951"/>
    <x v="976"/>
    <x v="0"/>
  </r>
  <r>
    <d v="2023-08-16T00:00:00"/>
    <x v="2"/>
    <x v="1"/>
    <x v="3"/>
    <x v="947"/>
    <n v="2953"/>
    <n v="10"/>
    <x v="952"/>
    <x v="977"/>
    <x v="2"/>
  </r>
  <r>
    <d v="2023-12-15T00:00:00"/>
    <x v="0"/>
    <x v="1"/>
    <x v="0"/>
    <x v="948"/>
    <n v="9580"/>
    <n v="0"/>
    <x v="953"/>
    <x v="978"/>
    <x v="2"/>
  </r>
  <r>
    <d v="2023-09-24T00:00:00"/>
    <x v="3"/>
    <x v="2"/>
    <x v="1"/>
    <x v="949"/>
    <n v="5164"/>
    <n v="10"/>
    <x v="36"/>
    <x v="979"/>
    <x v="2"/>
  </r>
  <r>
    <d v="2022-02-28T00:00:00"/>
    <x v="3"/>
    <x v="3"/>
    <x v="3"/>
    <x v="114"/>
    <n v="2814"/>
    <n v="10"/>
    <x v="954"/>
    <x v="980"/>
    <x v="1"/>
  </r>
  <r>
    <d v="2022-05-08T00:00:00"/>
    <x v="0"/>
    <x v="2"/>
    <x v="2"/>
    <x v="950"/>
    <n v="4269"/>
    <n v="5"/>
    <x v="955"/>
    <x v="981"/>
    <x v="1"/>
  </r>
  <r>
    <d v="2024-01-06T00:00:00"/>
    <x v="2"/>
    <x v="1"/>
    <x v="3"/>
    <x v="951"/>
    <n v="3584"/>
    <n v="20"/>
    <x v="956"/>
    <x v="982"/>
    <x v="0"/>
  </r>
  <r>
    <d v="2023-12-22T00:00:00"/>
    <x v="1"/>
    <x v="1"/>
    <x v="0"/>
    <x v="952"/>
    <n v="8040"/>
    <n v="15"/>
    <x v="957"/>
    <x v="983"/>
    <x v="2"/>
  </r>
  <r>
    <d v="2023-06-10T00:00:00"/>
    <x v="1"/>
    <x v="3"/>
    <x v="3"/>
    <x v="953"/>
    <n v="4866"/>
    <n v="10"/>
    <x v="958"/>
    <x v="984"/>
    <x v="2"/>
  </r>
  <r>
    <d v="2023-06-05T00:00:00"/>
    <x v="3"/>
    <x v="0"/>
    <x v="1"/>
    <x v="954"/>
    <n v="2496"/>
    <n v="10"/>
    <x v="959"/>
    <x v="985"/>
    <x v="2"/>
  </r>
  <r>
    <d v="2023-07-06T00:00:00"/>
    <x v="1"/>
    <x v="0"/>
    <x v="2"/>
    <x v="955"/>
    <n v="1089"/>
    <n v="15"/>
    <x v="960"/>
    <x v="986"/>
    <x v="2"/>
  </r>
  <r>
    <d v="2022-08-25T00:00:00"/>
    <x v="3"/>
    <x v="1"/>
    <x v="0"/>
    <x v="956"/>
    <n v="3775"/>
    <n v="10"/>
    <x v="961"/>
    <x v="987"/>
    <x v="1"/>
  </r>
  <r>
    <d v="2023-05-09T00:00:00"/>
    <x v="1"/>
    <x v="0"/>
    <x v="2"/>
    <x v="957"/>
    <n v="11645"/>
    <n v="5"/>
    <x v="962"/>
    <x v="988"/>
    <x v="2"/>
  </r>
  <r>
    <d v="2022-01-04T00:00:00"/>
    <x v="0"/>
    <x v="1"/>
    <x v="2"/>
    <x v="958"/>
    <n v="10156"/>
    <n v="5"/>
    <x v="963"/>
    <x v="989"/>
    <x v="1"/>
  </r>
  <r>
    <d v="2023-10-28T00:00:00"/>
    <x v="3"/>
    <x v="3"/>
    <x v="0"/>
    <x v="959"/>
    <n v="1609"/>
    <n v="15"/>
    <x v="964"/>
    <x v="990"/>
    <x v="2"/>
  </r>
  <r>
    <d v="2023-03-18T00:00:00"/>
    <x v="3"/>
    <x v="3"/>
    <x v="2"/>
    <x v="960"/>
    <n v="1164"/>
    <n v="10"/>
    <x v="965"/>
    <x v="991"/>
    <x v="2"/>
  </r>
  <r>
    <d v="2022-01-29T00:00:00"/>
    <x v="0"/>
    <x v="1"/>
    <x v="2"/>
    <x v="961"/>
    <n v="5689"/>
    <n v="10"/>
    <x v="966"/>
    <x v="992"/>
    <x v="1"/>
  </r>
  <r>
    <d v="2023-09-02T00:00:00"/>
    <x v="3"/>
    <x v="3"/>
    <x v="3"/>
    <x v="962"/>
    <n v="3663"/>
    <n v="20"/>
    <x v="967"/>
    <x v="993"/>
    <x v="2"/>
  </r>
  <r>
    <d v="2024-03-15T00:00:00"/>
    <x v="1"/>
    <x v="2"/>
    <x v="2"/>
    <x v="904"/>
    <n v="8515"/>
    <n v="10"/>
    <x v="968"/>
    <x v="994"/>
    <x v="0"/>
  </r>
  <r>
    <d v="2022-03-16T00:00:00"/>
    <x v="1"/>
    <x v="2"/>
    <x v="2"/>
    <x v="963"/>
    <n v="3303"/>
    <n v="5"/>
    <x v="969"/>
    <x v="995"/>
    <x v="1"/>
  </r>
  <r>
    <d v="2024-04-17T00:00:00"/>
    <x v="3"/>
    <x v="3"/>
    <x v="2"/>
    <x v="964"/>
    <n v="8802"/>
    <n v="0"/>
    <x v="970"/>
    <x v="996"/>
    <x v="0"/>
  </r>
  <r>
    <d v="2022-05-08T00:00:00"/>
    <x v="1"/>
    <x v="1"/>
    <x v="2"/>
    <x v="965"/>
    <n v="1531"/>
    <n v="0"/>
    <x v="971"/>
    <x v="997"/>
    <x v="1"/>
  </r>
  <r>
    <d v="2022-02-11T00:00:00"/>
    <x v="2"/>
    <x v="1"/>
    <x v="0"/>
    <x v="966"/>
    <n v="8259"/>
    <n v="0"/>
    <x v="972"/>
    <x v="998"/>
    <x v="1"/>
  </r>
  <r>
    <d v="2022-02-10T00:00:00"/>
    <x v="3"/>
    <x v="3"/>
    <x v="1"/>
    <x v="967"/>
    <n v="3011"/>
    <n v="0"/>
    <x v="973"/>
    <x v="999"/>
    <x v="1"/>
  </r>
  <r>
    <d v="2024-07-22T00:00:00"/>
    <x v="0"/>
    <x v="0"/>
    <x v="3"/>
    <x v="968"/>
    <n v="6881"/>
    <n v="10"/>
    <x v="974"/>
    <x v="1000"/>
    <x v="0"/>
  </r>
  <r>
    <d v="2022-02-03T00:00:00"/>
    <x v="2"/>
    <x v="2"/>
    <x v="2"/>
    <x v="969"/>
    <n v="8005"/>
    <n v="10"/>
    <x v="975"/>
    <x v="1001"/>
    <x v="1"/>
  </r>
  <r>
    <d v="2024-11-06T00:00:00"/>
    <x v="3"/>
    <x v="0"/>
    <x v="2"/>
    <x v="970"/>
    <n v="721"/>
    <n v="20"/>
    <x v="976"/>
    <x v="1002"/>
    <x v="0"/>
  </r>
  <r>
    <d v="2024-09-24T00:00:00"/>
    <x v="0"/>
    <x v="1"/>
    <x v="0"/>
    <x v="971"/>
    <n v="10265"/>
    <n v="10"/>
    <x v="977"/>
    <x v="1003"/>
    <x v="0"/>
  </r>
  <r>
    <d v="2023-08-11T00:00:00"/>
    <x v="1"/>
    <x v="1"/>
    <x v="1"/>
    <x v="972"/>
    <n v="1246"/>
    <n v="0"/>
    <x v="978"/>
    <x v="1004"/>
    <x v="2"/>
  </r>
  <r>
    <d v="2022-12-08T00:00:00"/>
    <x v="0"/>
    <x v="0"/>
    <x v="2"/>
    <x v="973"/>
    <n v="9678"/>
    <n v="15"/>
    <x v="979"/>
    <x v="1005"/>
    <x v="1"/>
  </r>
  <r>
    <d v="2022-01-27T00:00:00"/>
    <x v="2"/>
    <x v="3"/>
    <x v="0"/>
    <x v="974"/>
    <n v="2134"/>
    <n v="15"/>
    <x v="980"/>
    <x v="1006"/>
    <x v="1"/>
  </r>
  <r>
    <d v="2023-10-08T00:00:00"/>
    <x v="1"/>
    <x v="0"/>
    <x v="3"/>
    <x v="975"/>
    <n v="1864"/>
    <n v="5"/>
    <x v="981"/>
    <x v="1007"/>
    <x v="2"/>
  </r>
  <r>
    <d v="2024-01-01T00:00:00"/>
    <x v="3"/>
    <x v="0"/>
    <x v="3"/>
    <x v="350"/>
    <n v="7632"/>
    <n v="5"/>
    <x v="982"/>
    <x v="1008"/>
    <x v="0"/>
  </r>
  <r>
    <d v="2022-06-17T00:00:00"/>
    <x v="1"/>
    <x v="2"/>
    <x v="2"/>
    <x v="976"/>
    <n v="5244"/>
    <n v="10"/>
    <x v="983"/>
    <x v="1009"/>
    <x v="1"/>
  </r>
  <r>
    <d v="2023-09-02T00:00:00"/>
    <x v="3"/>
    <x v="2"/>
    <x v="2"/>
    <x v="977"/>
    <n v="10439"/>
    <n v="15"/>
    <x v="984"/>
    <x v="1010"/>
    <x v="2"/>
  </r>
  <r>
    <d v="2022-09-25T00:00:00"/>
    <x v="3"/>
    <x v="0"/>
    <x v="1"/>
    <x v="978"/>
    <n v="1608"/>
    <n v="0"/>
    <x v="985"/>
    <x v="1011"/>
    <x v="1"/>
  </r>
  <r>
    <d v="2024-03-31T00:00:00"/>
    <x v="0"/>
    <x v="0"/>
    <x v="1"/>
    <x v="979"/>
    <n v="3286"/>
    <n v="0"/>
    <x v="986"/>
    <x v="1012"/>
    <x v="0"/>
  </r>
  <r>
    <d v="2023-03-31T00:00:00"/>
    <x v="0"/>
    <x v="1"/>
    <x v="2"/>
    <x v="980"/>
    <n v="686"/>
    <n v="0"/>
    <x v="987"/>
    <x v="1013"/>
    <x v="2"/>
  </r>
  <r>
    <d v="2024-06-24T00:00:00"/>
    <x v="0"/>
    <x v="2"/>
    <x v="0"/>
    <x v="981"/>
    <n v="6431"/>
    <n v="10"/>
    <x v="104"/>
    <x v="1014"/>
    <x v="0"/>
  </r>
  <r>
    <d v="2024-07-10T00:00:00"/>
    <x v="2"/>
    <x v="2"/>
    <x v="1"/>
    <x v="982"/>
    <n v="9653"/>
    <n v="10"/>
    <x v="988"/>
    <x v="1015"/>
    <x v="0"/>
  </r>
  <r>
    <d v="2024-09-07T00:00:00"/>
    <x v="2"/>
    <x v="1"/>
    <x v="2"/>
    <x v="983"/>
    <n v="3558"/>
    <n v="20"/>
    <x v="989"/>
    <x v="1016"/>
    <x v="0"/>
  </r>
  <r>
    <d v="2023-12-03T00:00:00"/>
    <x v="0"/>
    <x v="3"/>
    <x v="1"/>
    <x v="984"/>
    <n v="6421"/>
    <n v="0"/>
    <x v="990"/>
    <x v="1017"/>
    <x v="2"/>
  </r>
  <r>
    <d v="2023-09-26T00:00:00"/>
    <x v="2"/>
    <x v="2"/>
    <x v="2"/>
    <x v="985"/>
    <n v="5111"/>
    <n v="0"/>
    <x v="991"/>
    <x v="1018"/>
    <x v="2"/>
  </r>
  <r>
    <d v="2022-05-10T00:00:00"/>
    <x v="1"/>
    <x v="2"/>
    <x v="3"/>
    <x v="986"/>
    <n v="6874"/>
    <n v="10"/>
    <x v="540"/>
    <x v="1019"/>
    <x v="1"/>
  </r>
  <r>
    <d v="2024-10-16T00:00:00"/>
    <x v="1"/>
    <x v="3"/>
    <x v="2"/>
    <x v="987"/>
    <n v="6997"/>
    <n v="10"/>
    <x v="992"/>
    <x v="1020"/>
    <x v="0"/>
  </r>
  <r>
    <d v="2024-03-29T00:00:00"/>
    <x v="2"/>
    <x v="2"/>
    <x v="3"/>
    <x v="988"/>
    <n v="4233"/>
    <n v="20"/>
    <x v="993"/>
    <x v="1021"/>
    <x v="0"/>
  </r>
  <r>
    <d v="2023-11-24T00:00:00"/>
    <x v="2"/>
    <x v="2"/>
    <x v="1"/>
    <x v="989"/>
    <n v="11339"/>
    <n v="20"/>
    <x v="994"/>
    <x v="1022"/>
    <x v="2"/>
  </r>
  <r>
    <d v="2024-03-04T00:00:00"/>
    <x v="1"/>
    <x v="3"/>
    <x v="2"/>
    <x v="990"/>
    <n v="1739"/>
    <n v="5"/>
    <x v="995"/>
    <x v="1023"/>
    <x v="0"/>
  </r>
  <r>
    <d v="2022-01-29T00:00:00"/>
    <x v="3"/>
    <x v="3"/>
    <x v="1"/>
    <x v="991"/>
    <n v="6469"/>
    <n v="15"/>
    <x v="641"/>
    <x v="1024"/>
    <x v="1"/>
  </r>
  <r>
    <d v="2022-05-29T00:00:00"/>
    <x v="1"/>
    <x v="0"/>
    <x v="3"/>
    <x v="992"/>
    <n v="11934"/>
    <n v="0"/>
    <x v="996"/>
    <x v="1025"/>
    <x v="1"/>
  </r>
  <r>
    <d v="2022-01-11T00:00:00"/>
    <x v="1"/>
    <x v="1"/>
    <x v="2"/>
    <x v="993"/>
    <n v="4780"/>
    <n v="0"/>
    <x v="997"/>
    <x v="1026"/>
    <x v="1"/>
  </r>
  <r>
    <d v="2023-11-07T00:00:00"/>
    <x v="2"/>
    <x v="1"/>
    <x v="1"/>
    <x v="994"/>
    <n v="355"/>
    <n v="20"/>
    <x v="998"/>
    <x v="1027"/>
    <x v="2"/>
  </r>
  <r>
    <d v="2022-07-06T00:00:00"/>
    <x v="1"/>
    <x v="3"/>
    <x v="3"/>
    <x v="995"/>
    <n v="3624"/>
    <n v="20"/>
    <x v="999"/>
    <x v="1028"/>
    <x v="1"/>
  </r>
  <r>
    <d v="2024-03-17T00:00:00"/>
    <x v="2"/>
    <x v="3"/>
    <x v="1"/>
    <x v="996"/>
    <n v="7077"/>
    <n v="5"/>
    <x v="1000"/>
    <x v="1029"/>
    <x v="0"/>
  </r>
  <r>
    <d v="2024-01-14T00:00:00"/>
    <x v="2"/>
    <x v="2"/>
    <x v="0"/>
    <x v="997"/>
    <n v="405"/>
    <n v="15"/>
    <x v="1001"/>
    <x v="1030"/>
    <x v="0"/>
  </r>
  <r>
    <d v="2022-04-08T00:00:00"/>
    <x v="0"/>
    <x v="0"/>
    <x v="3"/>
    <x v="998"/>
    <n v="3501"/>
    <n v="5"/>
    <x v="1002"/>
    <x v="1031"/>
    <x v="1"/>
  </r>
  <r>
    <d v="2022-02-24T00:00:00"/>
    <x v="1"/>
    <x v="0"/>
    <x v="3"/>
    <x v="999"/>
    <n v="969"/>
    <n v="15"/>
    <x v="1003"/>
    <x v="1032"/>
    <x v="1"/>
  </r>
  <r>
    <d v="2023-09-15T00:00:00"/>
    <x v="3"/>
    <x v="3"/>
    <x v="3"/>
    <x v="1000"/>
    <n v="9234"/>
    <n v="0"/>
    <x v="1004"/>
    <x v="1033"/>
    <x v="2"/>
  </r>
  <r>
    <d v="2023-10-26T00:00:00"/>
    <x v="0"/>
    <x v="2"/>
    <x v="2"/>
    <x v="1001"/>
    <n v="1266"/>
    <n v="5"/>
    <x v="1005"/>
    <x v="1034"/>
    <x v="2"/>
  </r>
  <r>
    <d v="2024-01-28T00:00:00"/>
    <x v="2"/>
    <x v="2"/>
    <x v="2"/>
    <x v="1002"/>
    <n v="607"/>
    <n v="20"/>
    <x v="1006"/>
    <x v="1035"/>
    <x v="0"/>
  </r>
  <r>
    <d v="2023-02-10T00:00:00"/>
    <x v="2"/>
    <x v="1"/>
    <x v="2"/>
    <x v="1003"/>
    <n v="2438"/>
    <n v="5"/>
    <x v="1007"/>
    <x v="1036"/>
    <x v="2"/>
  </r>
  <r>
    <d v="2022-03-10T00:00:00"/>
    <x v="3"/>
    <x v="1"/>
    <x v="0"/>
    <x v="1004"/>
    <n v="11956"/>
    <n v="5"/>
    <x v="1008"/>
    <x v="1037"/>
    <x v="1"/>
  </r>
  <r>
    <d v="2024-01-21T00:00:00"/>
    <x v="2"/>
    <x v="2"/>
    <x v="0"/>
    <x v="1005"/>
    <n v="409"/>
    <n v="0"/>
    <x v="1009"/>
    <x v="1038"/>
    <x v="0"/>
  </r>
  <r>
    <d v="2024-08-15T00:00:00"/>
    <x v="1"/>
    <x v="1"/>
    <x v="3"/>
    <x v="1006"/>
    <n v="3932"/>
    <n v="20"/>
    <x v="1010"/>
    <x v="1039"/>
    <x v="0"/>
  </r>
  <r>
    <d v="2022-12-31T00:00:00"/>
    <x v="0"/>
    <x v="3"/>
    <x v="0"/>
    <x v="1007"/>
    <n v="7028"/>
    <n v="20"/>
    <x v="1011"/>
    <x v="1040"/>
    <x v="1"/>
  </r>
  <r>
    <d v="2023-04-27T00:00:00"/>
    <x v="2"/>
    <x v="2"/>
    <x v="1"/>
    <x v="1008"/>
    <n v="5984"/>
    <n v="10"/>
    <x v="1012"/>
    <x v="1041"/>
    <x v="2"/>
  </r>
  <r>
    <d v="2022-07-20T00:00:00"/>
    <x v="2"/>
    <x v="1"/>
    <x v="3"/>
    <x v="1009"/>
    <n v="6799"/>
    <n v="10"/>
    <x v="1013"/>
    <x v="1042"/>
    <x v="1"/>
  </r>
  <r>
    <d v="2022-06-03T00:00:00"/>
    <x v="3"/>
    <x v="0"/>
    <x v="3"/>
    <x v="1010"/>
    <n v="2215"/>
    <n v="10"/>
    <x v="1014"/>
    <x v="1043"/>
    <x v="1"/>
  </r>
  <r>
    <d v="2022-03-14T00:00:00"/>
    <x v="1"/>
    <x v="2"/>
    <x v="1"/>
    <x v="1011"/>
    <n v="856"/>
    <n v="0"/>
    <x v="1015"/>
    <x v="1044"/>
    <x v="1"/>
  </r>
  <r>
    <d v="2023-12-14T00:00:00"/>
    <x v="2"/>
    <x v="2"/>
    <x v="3"/>
    <x v="1012"/>
    <n v="7919"/>
    <n v="5"/>
    <x v="1016"/>
    <x v="1045"/>
    <x v="2"/>
  </r>
  <r>
    <d v="2022-10-23T00:00:00"/>
    <x v="3"/>
    <x v="0"/>
    <x v="0"/>
    <x v="1013"/>
    <n v="404"/>
    <n v="20"/>
    <x v="1017"/>
    <x v="1046"/>
    <x v="1"/>
  </r>
  <r>
    <d v="2024-11-06T00:00:00"/>
    <x v="2"/>
    <x v="3"/>
    <x v="2"/>
    <x v="970"/>
    <n v="2347"/>
    <n v="20"/>
    <x v="1018"/>
    <x v="1047"/>
    <x v="0"/>
  </r>
  <r>
    <d v="2022-03-02T00:00:00"/>
    <x v="3"/>
    <x v="0"/>
    <x v="1"/>
    <x v="1014"/>
    <n v="445"/>
    <n v="5"/>
    <x v="1019"/>
    <x v="1048"/>
    <x v="1"/>
  </r>
  <r>
    <d v="2024-07-27T00:00:00"/>
    <x v="3"/>
    <x v="2"/>
    <x v="0"/>
    <x v="70"/>
    <n v="11255"/>
    <n v="20"/>
    <x v="1020"/>
    <x v="1049"/>
    <x v="0"/>
  </r>
  <r>
    <d v="2022-02-11T00:00:00"/>
    <x v="1"/>
    <x v="3"/>
    <x v="1"/>
    <x v="1015"/>
    <n v="1173"/>
    <n v="5"/>
    <x v="1021"/>
    <x v="1050"/>
    <x v="1"/>
  </r>
  <r>
    <d v="2022-01-25T00:00:00"/>
    <x v="2"/>
    <x v="1"/>
    <x v="1"/>
    <x v="1016"/>
    <n v="598"/>
    <n v="0"/>
    <x v="1022"/>
    <x v="1051"/>
    <x v="1"/>
  </r>
  <r>
    <d v="2024-11-28T00:00:00"/>
    <x v="1"/>
    <x v="1"/>
    <x v="3"/>
    <x v="1017"/>
    <n v="3538"/>
    <n v="0"/>
    <x v="1023"/>
    <x v="1052"/>
    <x v="0"/>
  </r>
  <r>
    <d v="2022-05-11T00:00:00"/>
    <x v="3"/>
    <x v="1"/>
    <x v="3"/>
    <x v="1018"/>
    <n v="9137"/>
    <n v="0"/>
    <x v="1024"/>
    <x v="1053"/>
    <x v="1"/>
  </r>
  <r>
    <d v="2022-04-18T00:00:00"/>
    <x v="0"/>
    <x v="2"/>
    <x v="0"/>
    <x v="1019"/>
    <n v="6682"/>
    <n v="5"/>
    <x v="1025"/>
    <x v="1054"/>
    <x v="1"/>
  </r>
  <r>
    <d v="2022-06-21T00:00:00"/>
    <x v="2"/>
    <x v="0"/>
    <x v="1"/>
    <x v="1020"/>
    <n v="11570"/>
    <n v="5"/>
    <x v="1026"/>
    <x v="1055"/>
    <x v="1"/>
  </r>
  <r>
    <d v="2022-04-12T00:00:00"/>
    <x v="0"/>
    <x v="3"/>
    <x v="3"/>
    <x v="1021"/>
    <n v="2811"/>
    <n v="15"/>
    <x v="1027"/>
    <x v="1056"/>
    <x v="1"/>
  </r>
  <r>
    <d v="2024-05-15T00:00:00"/>
    <x v="2"/>
    <x v="1"/>
    <x v="3"/>
    <x v="1022"/>
    <n v="6896"/>
    <n v="20"/>
    <x v="1028"/>
    <x v="1057"/>
    <x v="0"/>
  </r>
  <r>
    <d v="2023-06-08T00:00:00"/>
    <x v="1"/>
    <x v="3"/>
    <x v="1"/>
    <x v="1023"/>
    <n v="1083"/>
    <n v="20"/>
    <x v="1029"/>
    <x v="1058"/>
    <x v="2"/>
  </r>
  <r>
    <d v="2022-10-02T00:00:00"/>
    <x v="1"/>
    <x v="2"/>
    <x v="0"/>
    <x v="1024"/>
    <n v="5292"/>
    <n v="15"/>
    <x v="1030"/>
    <x v="1059"/>
    <x v="1"/>
  </r>
  <r>
    <d v="2024-12-03T00:00:00"/>
    <x v="1"/>
    <x v="1"/>
    <x v="0"/>
    <x v="1025"/>
    <n v="670"/>
    <n v="15"/>
    <x v="1031"/>
    <x v="1060"/>
    <x v="0"/>
  </r>
  <r>
    <d v="2024-03-27T00:00:00"/>
    <x v="1"/>
    <x v="2"/>
    <x v="1"/>
    <x v="1026"/>
    <n v="786"/>
    <n v="0"/>
    <x v="1032"/>
    <x v="1061"/>
    <x v="0"/>
  </r>
  <r>
    <d v="2024-08-14T00:00:00"/>
    <x v="1"/>
    <x v="0"/>
    <x v="0"/>
    <x v="1027"/>
    <n v="7678"/>
    <n v="15"/>
    <x v="702"/>
    <x v="1062"/>
    <x v="0"/>
  </r>
  <r>
    <d v="2024-11-06T00:00:00"/>
    <x v="0"/>
    <x v="2"/>
    <x v="3"/>
    <x v="1028"/>
    <n v="10529"/>
    <n v="5"/>
    <x v="491"/>
    <x v="1063"/>
    <x v="0"/>
  </r>
  <r>
    <d v="2022-11-26T00:00:00"/>
    <x v="1"/>
    <x v="2"/>
    <x v="1"/>
    <x v="1029"/>
    <n v="3496"/>
    <n v="10"/>
    <x v="1033"/>
    <x v="1064"/>
    <x v="1"/>
  </r>
  <r>
    <d v="2022-01-12T00:00:00"/>
    <x v="3"/>
    <x v="0"/>
    <x v="3"/>
    <x v="1030"/>
    <n v="9852"/>
    <n v="5"/>
    <x v="1034"/>
    <x v="1065"/>
    <x v="1"/>
  </r>
  <r>
    <d v="2022-08-04T00:00:00"/>
    <x v="3"/>
    <x v="3"/>
    <x v="2"/>
    <x v="1031"/>
    <n v="4587"/>
    <n v="15"/>
    <x v="949"/>
    <x v="1066"/>
    <x v="1"/>
  </r>
  <r>
    <d v="2022-12-05T00:00:00"/>
    <x v="0"/>
    <x v="0"/>
    <x v="2"/>
    <x v="1032"/>
    <n v="2561"/>
    <n v="20"/>
    <x v="1035"/>
    <x v="1067"/>
    <x v="1"/>
  </r>
  <r>
    <d v="2023-10-23T00:00:00"/>
    <x v="2"/>
    <x v="0"/>
    <x v="0"/>
    <x v="1033"/>
    <n v="11113"/>
    <n v="5"/>
    <x v="93"/>
    <x v="1068"/>
    <x v="2"/>
  </r>
  <r>
    <d v="2023-01-09T00:00:00"/>
    <x v="3"/>
    <x v="2"/>
    <x v="2"/>
    <x v="1034"/>
    <n v="9448"/>
    <n v="20"/>
    <x v="1036"/>
    <x v="1069"/>
    <x v="2"/>
  </r>
  <r>
    <d v="2024-09-02T00:00:00"/>
    <x v="2"/>
    <x v="3"/>
    <x v="3"/>
    <x v="1035"/>
    <n v="8872"/>
    <n v="5"/>
    <x v="1037"/>
    <x v="1070"/>
    <x v="0"/>
  </r>
  <r>
    <d v="2023-12-11T00:00:00"/>
    <x v="0"/>
    <x v="1"/>
    <x v="2"/>
    <x v="1036"/>
    <n v="538"/>
    <n v="20"/>
    <x v="1038"/>
    <x v="1071"/>
    <x v="2"/>
  </r>
  <r>
    <d v="2023-04-11T00:00:00"/>
    <x v="2"/>
    <x v="0"/>
    <x v="3"/>
    <x v="1037"/>
    <n v="7143"/>
    <n v="5"/>
    <x v="1039"/>
    <x v="1072"/>
    <x v="2"/>
  </r>
  <r>
    <d v="2023-05-04T00:00:00"/>
    <x v="2"/>
    <x v="3"/>
    <x v="0"/>
    <x v="1038"/>
    <n v="1405"/>
    <n v="20"/>
    <x v="1040"/>
    <x v="1073"/>
    <x v="2"/>
  </r>
  <r>
    <d v="2022-02-16T00:00:00"/>
    <x v="2"/>
    <x v="0"/>
    <x v="0"/>
    <x v="1039"/>
    <n v="1686"/>
    <n v="10"/>
    <x v="1041"/>
    <x v="1074"/>
    <x v="1"/>
  </r>
  <r>
    <d v="2024-02-17T00:00:00"/>
    <x v="2"/>
    <x v="0"/>
    <x v="3"/>
    <x v="1040"/>
    <n v="11044"/>
    <n v="0"/>
    <x v="1042"/>
    <x v="1075"/>
    <x v="0"/>
  </r>
  <r>
    <d v="2024-11-05T00:00:00"/>
    <x v="0"/>
    <x v="0"/>
    <x v="2"/>
    <x v="1041"/>
    <n v="10741"/>
    <n v="5"/>
    <x v="1043"/>
    <x v="1076"/>
    <x v="0"/>
  </r>
  <r>
    <d v="2023-12-12T00:00:00"/>
    <x v="3"/>
    <x v="0"/>
    <x v="0"/>
    <x v="1042"/>
    <n v="10019"/>
    <n v="10"/>
    <x v="1044"/>
    <x v="1077"/>
    <x v="2"/>
  </r>
  <r>
    <d v="2023-02-05T00:00:00"/>
    <x v="1"/>
    <x v="2"/>
    <x v="1"/>
    <x v="1043"/>
    <n v="1967"/>
    <n v="0"/>
    <x v="1045"/>
    <x v="1078"/>
    <x v="2"/>
  </r>
  <r>
    <d v="2024-09-07T00:00:00"/>
    <x v="2"/>
    <x v="3"/>
    <x v="0"/>
    <x v="1044"/>
    <n v="2991"/>
    <n v="5"/>
    <x v="1046"/>
    <x v="1079"/>
    <x v="0"/>
  </r>
  <r>
    <d v="2022-09-07T00:00:00"/>
    <x v="3"/>
    <x v="3"/>
    <x v="2"/>
    <x v="1045"/>
    <n v="8056"/>
    <n v="10"/>
    <x v="1047"/>
    <x v="1080"/>
    <x v="1"/>
  </r>
  <r>
    <d v="2023-01-26T00:00:00"/>
    <x v="3"/>
    <x v="3"/>
    <x v="1"/>
    <x v="1046"/>
    <n v="2296"/>
    <n v="10"/>
    <x v="1048"/>
    <x v="1081"/>
    <x v="2"/>
  </r>
  <r>
    <d v="2022-12-01T00:00:00"/>
    <x v="0"/>
    <x v="0"/>
    <x v="2"/>
    <x v="1047"/>
    <n v="1725"/>
    <n v="10"/>
    <x v="1049"/>
    <x v="1082"/>
    <x v="1"/>
  </r>
  <r>
    <d v="2023-09-21T00:00:00"/>
    <x v="3"/>
    <x v="2"/>
    <x v="3"/>
    <x v="1048"/>
    <n v="11304"/>
    <n v="15"/>
    <x v="1050"/>
    <x v="1083"/>
    <x v="2"/>
  </r>
  <r>
    <d v="2022-05-17T00:00:00"/>
    <x v="0"/>
    <x v="0"/>
    <x v="1"/>
    <x v="1049"/>
    <n v="8323"/>
    <n v="20"/>
    <x v="1051"/>
    <x v="1084"/>
    <x v="1"/>
  </r>
  <r>
    <d v="2024-06-01T00:00:00"/>
    <x v="2"/>
    <x v="0"/>
    <x v="2"/>
    <x v="1050"/>
    <n v="7149"/>
    <n v="0"/>
    <x v="1052"/>
    <x v="1085"/>
    <x v="0"/>
  </r>
  <r>
    <d v="2023-11-19T00:00:00"/>
    <x v="2"/>
    <x v="3"/>
    <x v="1"/>
    <x v="1051"/>
    <n v="3547"/>
    <n v="20"/>
    <x v="1053"/>
    <x v="1086"/>
    <x v="2"/>
  </r>
  <r>
    <d v="2024-04-06T00:00:00"/>
    <x v="1"/>
    <x v="0"/>
    <x v="2"/>
    <x v="1052"/>
    <n v="2892"/>
    <n v="20"/>
    <x v="661"/>
    <x v="1087"/>
    <x v="0"/>
  </r>
  <r>
    <d v="2023-12-28T00:00:00"/>
    <x v="1"/>
    <x v="1"/>
    <x v="1"/>
    <x v="1053"/>
    <n v="1790"/>
    <n v="20"/>
    <x v="1054"/>
    <x v="1088"/>
    <x v="2"/>
  </r>
  <r>
    <d v="2023-08-17T00:00:00"/>
    <x v="1"/>
    <x v="0"/>
    <x v="2"/>
    <x v="1054"/>
    <n v="1524"/>
    <n v="10"/>
    <x v="1055"/>
    <x v="1089"/>
    <x v="2"/>
  </r>
  <r>
    <d v="2024-09-16T00:00:00"/>
    <x v="3"/>
    <x v="1"/>
    <x v="3"/>
    <x v="1055"/>
    <n v="2887"/>
    <n v="20"/>
    <x v="1056"/>
    <x v="1090"/>
    <x v="0"/>
  </r>
  <r>
    <d v="2023-01-07T00:00:00"/>
    <x v="2"/>
    <x v="0"/>
    <x v="1"/>
    <x v="1056"/>
    <n v="8014"/>
    <n v="15"/>
    <x v="1057"/>
    <x v="1091"/>
    <x v="2"/>
  </r>
  <r>
    <d v="2024-07-23T00:00:00"/>
    <x v="0"/>
    <x v="2"/>
    <x v="1"/>
    <x v="1057"/>
    <n v="3364"/>
    <n v="5"/>
    <x v="1058"/>
    <x v="1092"/>
    <x v="0"/>
  </r>
  <r>
    <d v="2024-09-21T00:00:00"/>
    <x v="1"/>
    <x v="2"/>
    <x v="1"/>
    <x v="1058"/>
    <n v="8104"/>
    <n v="10"/>
    <x v="1059"/>
    <x v="1093"/>
    <x v="0"/>
  </r>
  <r>
    <d v="2023-02-06T00:00:00"/>
    <x v="0"/>
    <x v="3"/>
    <x v="1"/>
    <x v="1059"/>
    <n v="1132"/>
    <n v="0"/>
    <x v="1060"/>
    <x v="1094"/>
    <x v="2"/>
  </r>
  <r>
    <d v="2023-09-07T00:00:00"/>
    <x v="0"/>
    <x v="0"/>
    <x v="3"/>
    <x v="1060"/>
    <n v="2740"/>
    <n v="5"/>
    <x v="1061"/>
    <x v="1095"/>
    <x v="2"/>
  </r>
  <r>
    <d v="2024-09-21T00:00:00"/>
    <x v="1"/>
    <x v="1"/>
    <x v="1"/>
    <x v="1061"/>
    <n v="5095"/>
    <n v="5"/>
    <x v="1062"/>
    <x v="1096"/>
    <x v="0"/>
  </r>
  <r>
    <d v="2023-09-12T00:00:00"/>
    <x v="2"/>
    <x v="1"/>
    <x v="0"/>
    <x v="1062"/>
    <n v="1946"/>
    <n v="5"/>
    <x v="1063"/>
    <x v="1097"/>
    <x v="2"/>
  </r>
  <r>
    <d v="2022-07-07T00:00:00"/>
    <x v="1"/>
    <x v="0"/>
    <x v="3"/>
    <x v="1063"/>
    <n v="740"/>
    <n v="20"/>
    <x v="1064"/>
    <x v="1098"/>
    <x v="1"/>
  </r>
  <r>
    <d v="2022-05-11T00:00:00"/>
    <x v="0"/>
    <x v="1"/>
    <x v="0"/>
    <x v="1064"/>
    <n v="6256"/>
    <n v="20"/>
    <x v="1065"/>
    <x v="1099"/>
    <x v="1"/>
  </r>
  <r>
    <d v="2024-03-15T00:00:00"/>
    <x v="1"/>
    <x v="2"/>
    <x v="1"/>
    <x v="1065"/>
    <n v="10021"/>
    <n v="10"/>
    <x v="1066"/>
    <x v="1100"/>
    <x v="0"/>
  </r>
  <r>
    <d v="2024-07-24T00:00:00"/>
    <x v="0"/>
    <x v="1"/>
    <x v="2"/>
    <x v="1066"/>
    <n v="11457"/>
    <n v="20"/>
    <x v="1067"/>
    <x v="1101"/>
    <x v="0"/>
  </r>
  <r>
    <d v="2024-09-12T00:00:00"/>
    <x v="0"/>
    <x v="3"/>
    <x v="0"/>
    <x v="1067"/>
    <n v="2667"/>
    <n v="20"/>
    <x v="145"/>
    <x v="1102"/>
    <x v="0"/>
  </r>
  <r>
    <d v="2022-07-02T00:00:00"/>
    <x v="1"/>
    <x v="2"/>
    <x v="1"/>
    <x v="1068"/>
    <n v="6996"/>
    <n v="20"/>
    <x v="1068"/>
    <x v="1103"/>
    <x v="1"/>
  </r>
  <r>
    <d v="2024-09-09T00:00:00"/>
    <x v="3"/>
    <x v="2"/>
    <x v="0"/>
    <x v="1069"/>
    <n v="11778"/>
    <n v="10"/>
    <x v="1069"/>
    <x v="1104"/>
    <x v="0"/>
  </r>
  <r>
    <d v="2022-12-30T00:00:00"/>
    <x v="1"/>
    <x v="2"/>
    <x v="1"/>
    <x v="1070"/>
    <n v="5490"/>
    <n v="10"/>
    <x v="1070"/>
    <x v="1105"/>
    <x v="1"/>
  </r>
  <r>
    <d v="2022-02-08T00:00:00"/>
    <x v="3"/>
    <x v="0"/>
    <x v="1"/>
    <x v="1071"/>
    <n v="4963"/>
    <n v="15"/>
    <x v="1071"/>
    <x v="1106"/>
    <x v="1"/>
  </r>
  <r>
    <d v="2023-05-12T00:00:00"/>
    <x v="0"/>
    <x v="0"/>
    <x v="1"/>
    <x v="1072"/>
    <n v="7362"/>
    <n v="15"/>
    <x v="1072"/>
    <x v="1107"/>
    <x v="2"/>
  </r>
  <r>
    <d v="2024-09-08T00:00:00"/>
    <x v="0"/>
    <x v="2"/>
    <x v="2"/>
    <x v="537"/>
    <n v="4631"/>
    <n v="15"/>
    <x v="1073"/>
    <x v="1108"/>
    <x v="0"/>
  </r>
  <r>
    <d v="2024-07-09T00:00:00"/>
    <x v="3"/>
    <x v="0"/>
    <x v="0"/>
    <x v="1073"/>
    <n v="9796"/>
    <n v="15"/>
    <x v="1074"/>
    <x v="1109"/>
    <x v="0"/>
  </r>
  <r>
    <d v="2023-12-23T00:00:00"/>
    <x v="0"/>
    <x v="1"/>
    <x v="3"/>
    <x v="1074"/>
    <n v="3334"/>
    <n v="5"/>
    <x v="329"/>
    <x v="1110"/>
    <x v="2"/>
  </r>
  <r>
    <d v="2022-01-16T00:00:00"/>
    <x v="3"/>
    <x v="0"/>
    <x v="3"/>
    <x v="610"/>
    <n v="9677"/>
    <n v="5"/>
    <x v="1075"/>
    <x v="1111"/>
    <x v="1"/>
  </r>
  <r>
    <d v="2023-05-08T00:00:00"/>
    <x v="3"/>
    <x v="0"/>
    <x v="3"/>
    <x v="1075"/>
    <n v="3562"/>
    <n v="15"/>
    <x v="164"/>
    <x v="1112"/>
    <x v="2"/>
  </r>
  <r>
    <d v="2024-06-12T00:00:00"/>
    <x v="0"/>
    <x v="2"/>
    <x v="3"/>
    <x v="1076"/>
    <n v="2407"/>
    <n v="15"/>
    <x v="1076"/>
    <x v="1113"/>
    <x v="0"/>
  </r>
  <r>
    <d v="2022-11-07T00:00:00"/>
    <x v="2"/>
    <x v="3"/>
    <x v="1"/>
    <x v="1077"/>
    <n v="7336"/>
    <n v="0"/>
    <x v="1077"/>
    <x v="1114"/>
    <x v="1"/>
  </r>
  <r>
    <d v="2024-01-09T00:00:00"/>
    <x v="3"/>
    <x v="3"/>
    <x v="0"/>
    <x v="1017"/>
    <n v="10332"/>
    <n v="5"/>
    <x v="169"/>
    <x v="1115"/>
    <x v="0"/>
  </r>
  <r>
    <d v="2023-06-30T00:00:00"/>
    <x v="1"/>
    <x v="3"/>
    <x v="0"/>
    <x v="1078"/>
    <n v="4620"/>
    <n v="0"/>
    <x v="1078"/>
    <x v="1116"/>
    <x v="2"/>
  </r>
  <r>
    <d v="2023-02-18T00:00:00"/>
    <x v="1"/>
    <x v="1"/>
    <x v="2"/>
    <x v="1079"/>
    <n v="6238"/>
    <n v="0"/>
    <x v="1079"/>
    <x v="1117"/>
    <x v="2"/>
  </r>
  <r>
    <d v="2022-09-08T00:00:00"/>
    <x v="0"/>
    <x v="0"/>
    <x v="0"/>
    <x v="1080"/>
    <n v="3047"/>
    <n v="20"/>
    <x v="1080"/>
    <x v="1118"/>
    <x v="1"/>
  </r>
  <r>
    <d v="2024-01-29T00:00:00"/>
    <x v="2"/>
    <x v="3"/>
    <x v="0"/>
    <x v="1081"/>
    <n v="4977"/>
    <n v="10"/>
    <x v="1081"/>
    <x v="1119"/>
    <x v="0"/>
  </r>
  <r>
    <d v="2024-11-28T00:00:00"/>
    <x v="0"/>
    <x v="2"/>
    <x v="0"/>
    <x v="1082"/>
    <n v="8272"/>
    <n v="5"/>
    <x v="1082"/>
    <x v="1120"/>
    <x v="0"/>
  </r>
  <r>
    <d v="2024-03-24T00:00:00"/>
    <x v="2"/>
    <x v="3"/>
    <x v="2"/>
    <x v="1083"/>
    <n v="4564"/>
    <n v="15"/>
    <x v="1083"/>
    <x v="1121"/>
    <x v="0"/>
  </r>
  <r>
    <d v="2022-01-29T00:00:00"/>
    <x v="3"/>
    <x v="3"/>
    <x v="3"/>
    <x v="1084"/>
    <n v="3433"/>
    <n v="15"/>
    <x v="1084"/>
    <x v="1122"/>
    <x v="1"/>
  </r>
  <r>
    <d v="2024-08-15T00:00:00"/>
    <x v="3"/>
    <x v="0"/>
    <x v="0"/>
    <x v="1085"/>
    <n v="11912"/>
    <n v="10"/>
    <x v="1085"/>
    <x v="1123"/>
    <x v="0"/>
  </r>
  <r>
    <d v="2023-04-22T00:00:00"/>
    <x v="3"/>
    <x v="0"/>
    <x v="2"/>
    <x v="1086"/>
    <n v="1765"/>
    <n v="5"/>
    <x v="1086"/>
    <x v="1124"/>
    <x v="2"/>
  </r>
  <r>
    <d v="2022-11-14T00:00:00"/>
    <x v="3"/>
    <x v="0"/>
    <x v="2"/>
    <x v="1087"/>
    <n v="4409"/>
    <n v="15"/>
    <x v="1087"/>
    <x v="1125"/>
    <x v="1"/>
  </r>
  <r>
    <d v="2022-09-02T00:00:00"/>
    <x v="1"/>
    <x v="1"/>
    <x v="1"/>
    <x v="1088"/>
    <n v="2511"/>
    <n v="15"/>
    <x v="1088"/>
    <x v="1126"/>
    <x v="1"/>
  </r>
  <r>
    <d v="2024-01-18T00:00:00"/>
    <x v="1"/>
    <x v="1"/>
    <x v="2"/>
    <x v="1089"/>
    <n v="5839"/>
    <n v="20"/>
    <x v="1006"/>
    <x v="1127"/>
    <x v="0"/>
  </r>
  <r>
    <d v="2023-11-28T00:00:00"/>
    <x v="0"/>
    <x v="3"/>
    <x v="3"/>
    <x v="1090"/>
    <n v="11296"/>
    <n v="0"/>
    <x v="1089"/>
    <x v="1128"/>
    <x v="2"/>
  </r>
  <r>
    <d v="2022-09-29T00:00:00"/>
    <x v="2"/>
    <x v="0"/>
    <x v="0"/>
    <x v="1091"/>
    <n v="10035"/>
    <n v="15"/>
    <x v="1090"/>
    <x v="1129"/>
    <x v="1"/>
  </r>
  <r>
    <d v="2023-01-12T00:00:00"/>
    <x v="3"/>
    <x v="3"/>
    <x v="2"/>
    <x v="1092"/>
    <n v="1989"/>
    <n v="5"/>
    <x v="1091"/>
    <x v="1130"/>
    <x v="2"/>
  </r>
  <r>
    <d v="2022-09-23T00:00:00"/>
    <x v="3"/>
    <x v="2"/>
    <x v="3"/>
    <x v="797"/>
    <n v="10063"/>
    <n v="10"/>
    <x v="1092"/>
    <x v="1131"/>
    <x v="1"/>
  </r>
  <r>
    <d v="2024-07-14T00:00:00"/>
    <x v="2"/>
    <x v="2"/>
    <x v="2"/>
    <x v="1093"/>
    <n v="8027"/>
    <n v="20"/>
    <x v="1093"/>
    <x v="1132"/>
    <x v="0"/>
  </r>
  <r>
    <d v="2024-07-09T00:00:00"/>
    <x v="2"/>
    <x v="0"/>
    <x v="2"/>
    <x v="1094"/>
    <n v="8064"/>
    <n v="5"/>
    <x v="1094"/>
    <x v="1133"/>
    <x v="0"/>
  </r>
  <r>
    <d v="2022-12-06T00:00:00"/>
    <x v="0"/>
    <x v="0"/>
    <x v="2"/>
    <x v="1095"/>
    <n v="4841"/>
    <n v="20"/>
    <x v="1095"/>
    <x v="1134"/>
    <x v="1"/>
  </r>
  <r>
    <d v="2023-01-24T00:00:00"/>
    <x v="2"/>
    <x v="2"/>
    <x v="2"/>
    <x v="31"/>
    <n v="11771"/>
    <n v="0"/>
    <x v="1096"/>
    <x v="1135"/>
    <x v="2"/>
  </r>
  <r>
    <d v="2023-07-31T00:00:00"/>
    <x v="3"/>
    <x v="0"/>
    <x v="2"/>
    <x v="1096"/>
    <n v="3841"/>
    <n v="15"/>
    <x v="1097"/>
    <x v="1136"/>
    <x v="2"/>
  </r>
  <r>
    <d v="2022-01-03T00:00:00"/>
    <x v="3"/>
    <x v="1"/>
    <x v="3"/>
    <x v="1097"/>
    <n v="11515"/>
    <n v="5"/>
    <x v="1098"/>
    <x v="1137"/>
    <x v="1"/>
  </r>
  <r>
    <d v="2023-01-11T00:00:00"/>
    <x v="3"/>
    <x v="1"/>
    <x v="0"/>
    <x v="1098"/>
    <n v="1118"/>
    <n v="10"/>
    <x v="1099"/>
    <x v="1138"/>
    <x v="2"/>
  </r>
  <r>
    <d v="2022-11-20T00:00:00"/>
    <x v="3"/>
    <x v="0"/>
    <x v="0"/>
    <x v="1099"/>
    <n v="4821"/>
    <n v="0"/>
    <x v="1100"/>
    <x v="1139"/>
    <x v="1"/>
  </r>
  <r>
    <d v="2022-05-26T00:00:00"/>
    <x v="3"/>
    <x v="2"/>
    <x v="0"/>
    <x v="1100"/>
    <n v="1424"/>
    <n v="0"/>
    <x v="1101"/>
    <x v="1140"/>
    <x v="1"/>
  </r>
  <r>
    <d v="2022-10-20T00:00:00"/>
    <x v="0"/>
    <x v="3"/>
    <x v="0"/>
    <x v="1101"/>
    <n v="5960"/>
    <n v="20"/>
    <x v="1102"/>
    <x v="1141"/>
    <x v="1"/>
  </r>
  <r>
    <d v="2023-03-08T00:00:00"/>
    <x v="3"/>
    <x v="0"/>
    <x v="3"/>
    <x v="1102"/>
    <n v="5941"/>
    <n v="0"/>
    <x v="1103"/>
    <x v="1142"/>
    <x v="2"/>
  </r>
  <r>
    <d v="2023-12-06T00:00:00"/>
    <x v="0"/>
    <x v="0"/>
    <x v="1"/>
    <x v="1103"/>
    <n v="1429"/>
    <n v="5"/>
    <x v="1104"/>
    <x v="1143"/>
    <x v="2"/>
  </r>
  <r>
    <d v="2024-08-06T00:00:00"/>
    <x v="3"/>
    <x v="3"/>
    <x v="1"/>
    <x v="1104"/>
    <n v="2002"/>
    <n v="20"/>
    <x v="1105"/>
    <x v="1144"/>
    <x v="0"/>
  </r>
  <r>
    <d v="2023-08-08T00:00:00"/>
    <x v="1"/>
    <x v="0"/>
    <x v="3"/>
    <x v="1105"/>
    <n v="2301"/>
    <n v="0"/>
    <x v="1106"/>
    <x v="1145"/>
    <x v="2"/>
  </r>
  <r>
    <d v="2023-02-03T00:00:00"/>
    <x v="1"/>
    <x v="3"/>
    <x v="3"/>
    <x v="1106"/>
    <n v="7212"/>
    <n v="10"/>
    <x v="1107"/>
    <x v="1146"/>
    <x v="2"/>
  </r>
  <r>
    <d v="2024-03-27T00:00:00"/>
    <x v="1"/>
    <x v="2"/>
    <x v="2"/>
    <x v="1107"/>
    <n v="4178"/>
    <n v="5"/>
    <x v="1108"/>
    <x v="1147"/>
    <x v="0"/>
  </r>
  <r>
    <d v="2024-08-21T00:00:00"/>
    <x v="1"/>
    <x v="1"/>
    <x v="2"/>
    <x v="1108"/>
    <n v="7532"/>
    <n v="10"/>
    <x v="600"/>
    <x v="1148"/>
    <x v="0"/>
  </r>
  <r>
    <d v="2022-07-06T00:00:00"/>
    <x v="0"/>
    <x v="2"/>
    <x v="2"/>
    <x v="1109"/>
    <n v="10298"/>
    <n v="10"/>
    <x v="1109"/>
    <x v="1149"/>
    <x v="1"/>
  </r>
  <r>
    <d v="2022-03-02T00:00:00"/>
    <x v="0"/>
    <x v="1"/>
    <x v="0"/>
    <x v="1110"/>
    <n v="11439"/>
    <n v="20"/>
    <x v="748"/>
    <x v="1150"/>
    <x v="1"/>
  </r>
  <r>
    <d v="2024-07-27T00:00:00"/>
    <x v="2"/>
    <x v="3"/>
    <x v="2"/>
    <x v="1111"/>
    <n v="6631"/>
    <n v="15"/>
    <x v="1110"/>
    <x v="1151"/>
    <x v="0"/>
  </r>
  <r>
    <d v="2023-12-11T00:00:00"/>
    <x v="3"/>
    <x v="1"/>
    <x v="1"/>
    <x v="1112"/>
    <n v="6335"/>
    <n v="20"/>
    <x v="891"/>
    <x v="1152"/>
    <x v="2"/>
  </r>
  <r>
    <d v="2024-03-17T00:00:00"/>
    <x v="1"/>
    <x v="2"/>
    <x v="0"/>
    <x v="1113"/>
    <n v="11701"/>
    <n v="5"/>
    <x v="1111"/>
    <x v="1153"/>
    <x v="0"/>
  </r>
  <r>
    <d v="2022-01-11T00:00:00"/>
    <x v="0"/>
    <x v="1"/>
    <x v="2"/>
    <x v="1114"/>
    <n v="10644"/>
    <n v="5"/>
    <x v="1112"/>
    <x v="1154"/>
    <x v="1"/>
  </r>
  <r>
    <d v="2024-12-21T00:00:00"/>
    <x v="3"/>
    <x v="3"/>
    <x v="0"/>
    <x v="1115"/>
    <n v="6823"/>
    <n v="20"/>
    <x v="1113"/>
    <x v="1155"/>
    <x v="0"/>
  </r>
  <r>
    <d v="2022-08-14T00:00:00"/>
    <x v="3"/>
    <x v="1"/>
    <x v="1"/>
    <x v="868"/>
    <n v="8411"/>
    <n v="15"/>
    <x v="1114"/>
    <x v="1156"/>
    <x v="1"/>
  </r>
  <r>
    <d v="2023-07-18T00:00:00"/>
    <x v="0"/>
    <x v="0"/>
    <x v="2"/>
    <x v="1116"/>
    <n v="9036"/>
    <n v="20"/>
    <x v="553"/>
    <x v="1157"/>
    <x v="2"/>
  </r>
  <r>
    <d v="2024-02-11T00:00:00"/>
    <x v="1"/>
    <x v="2"/>
    <x v="1"/>
    <x v="1117"/>
    <n v="2701"/>
    <n v="5"/>
    <x v="871"/>
    <x v="1158"/>
    <x v="0"/>
  </r>
  <r>
    <d v="2024-06-03T00:00:00"/>
    <x v="2"/>
    <x v="0"/>
    <x v="1"/>
    <x v="902"/>
    <n v="10856"/>
    <n v="15"/>
    <x v="1115"/>
    <x v="1159"/>
    <x v="0"/>
  </r>
  <r>
    <d v="2022-08-14T00:00:00"/>
    <x v="3"/>
    <x v="3"/>
    <x v="1"/>
    <x v="1118"/>
    <n v="9781"/>
    <n v="5"/>
    <x v="1116"/>
    <x v="1160"/>
    <x v="1"/>
  </r>
  <r>
    <d v="2024-04-04T00:00:00"/>
    <x v="2"/>
    <x v="1"/>
    <x v="2"/>
    <x v="1119"/>
    <n v="10367"/>
    <n v="15"/>
    <x v="1117"/>
    <x v="1161"/>
    <x v="0"/>
  </r>
  <r>
    <d v="2022-08-06T00:00:00"/>
    <x v="1"/>
    <x v="0"/>
    <x v="3"/>
    <x v="1120"/>
    <n v="9274"/>
    <n v="15"/>
    <x v="1118"/>
    <x v="1162"/>
    <x v="1"/>
  </r>
  <r>
    <d v="2024-07-25T00:00:00"/>
    <x v="1"/>
    <x v="0"/>
    <x v="2"/>
    <x v="1121"/>
    <n v="839"/>
    <n v="20"/>
    <x v="1119"/>
    <x v="1163"/>
    <x v="0"/>
  </r>
  <r>
    <d v="2024-01-23T00:00:00"/>
    <x v="2"/>
    <x v="1"/>
    <x v="1"/>
    <x v="1122"/>
    <n v="11274"/>
    <n v="20"/>
    <x v="1120"/>
    <x v="1164"/>
    <x v="0"/>
  </r>
  <r>
    <d v="2023-05-21T00:00:00"/>
    <x v="1"/>
    <x v="1"/>
    <x v="2"/>
    <x v="1123"/>
    <n v="5915"/>
    <n v="20"/>
    <x v="1121"/>
    <x v="1165"/>
    <x v="2"/>
  </r>
  <r>
    <d v="2022-09-16T00:00:00"/>
    <x v="3"/>
    <x v="2"/>
    <x v="1"/>
    <x v="1124"/>
    <n v="11160"/>
    <n v="15"/>
    <x v="492"/>
    <x v="1166"/>
    <x v="1"/>
  </r>
  <r>
    <d v="2022-02-23T00:00:00"/>
    <x v="2"/>
    <x v="0"/>
    <x v="3"/>
    <x v="1125"/>
    <n v="3256"/>
    <n v="15"/>
    <x v="1122"/>
    <x v="1167"/>
    <x v="1"/>
  </r>
  <r>
    <d v="2024-12-06T00:00:00"/>
    <x v="1"/>
    <x v="0"/>
    <x v="0"/>
    <x v="1126"/>
    <n v="8377"/>
    <n v="5"/>
    <x v="1123"/>
    <x v="1168"/>
    <x v="0"/>
  </r>
  <r>
    <d v="2023-12-28T00:00:00"/>
    <x v="2"/>
    <x v="3"/>
    <x v="3"/>
    <x v="1127"/>
    <n v="4022"/>
    <n v="10"/>
    <x v="1124"/>
    <x v="1169"/>
    <x v="2"/>
  </r>
  <r>
    <d v="2023-11-20T00:00:00"/>
    <x v="3"/>
    <x v="2"/>
    <x v="3"/>
    <x v="1128"/>
    <n v="10325"/>
    <n v="20"/>
    <x v="1125"/>
    <x v="1170"/>
    <x v="2"/>
  </r>
  <r>
    <d v="2024-11-09T00:00:00"/>
    <x v="1"/>
    <x v="3"/>
    <x v="0"/>
    <x v="1129"/>
    <n v="5387"/>
    <n v="5"/>
    <x v="1126"/>
    <x v="1171"/>
    <x v="0"/>
  </r>
  <r>
    <d v="2023-02-23T00:00:00"/>
    <x v="3"/>
    <x v="0"/>
    <x v="2"/>
    <x v="1130"/>
    <n v="10638"/>
    <n v="5"/>
    <x v="1127"/>
    <x v="1172"/>
    <x v="2"/>
  </r>
  <r>
    <d v="2023-11-21T00:00:00"/>
    <x v="1"/>
    <x v="3"/>
    <x v="0"/>
    <x v="1131"/>
    <n v="6760"/>
    <n v="0"/>
    <x v="1128"/>
    <x v="1173"/>
    <x v="2"/>
  </r>
  <r>
    <d v="2024-04-29T00:00:00"/>
    <x v="0"/>
    <x v="0"/>
    <x v="2"/>
    <x v="1132"/>
    <n v="2470"/>
    <n v="20"/>
    <x v="1129"/>
    <x v="1174"/>
    <x v="0"/>
  </r>
  <r>
    <d v="2022-03-03T00:00:00"/>
    <x v="1"/>
    <x v="0"/>
    <x v="2"/>
    <x v="1133"/>
    <n v="3691"/>
    <n v="5"/>
    <x v="1130"/>
    <x v="1175"/>
    <x v="1"/>
  </r>
  <r>
    <d v="2022-08-04T00:00:00"/>
    <x v="2"/>
    <x v="3"/>
    <x v="1"/>
    <x v="1134"/>
    <n v="7242"/>
    <n v="0"/>
    <x v="1131"/>
    <x v="1176"/>
    <x v="1"/>
  </r>
  <r>
    <d v="2022-01-03T00:00:00"/>
    <x v="1"/>
    <x v="3"/>
    <x v="1"/>
    <x v="1135"/>
    <n v="1916"/>
    <n v="20"/>
    <x v="1132"/>
    <x v="1177"/>
    <x v="1"/>
  </r>
  <r>
    <d v="2022-06-09T00:00:00"/>
    <x v="3"/>
    <x v="1"/>
    <x v="0"/>
    <x v="1136"/>
    <n v="9408"/>
    <n v="15"/>
    <x v="1133"/>
    <x v="1178"/>
    <x v="1"/>
  </r>
  <r>
    <d v="2024-02-20T00:00:00"/>
    <x v="3"/>
    <x v="1"/>
    <x v="3"/>
    <x v="1137"/>
    <n v="6758"/>
    <n v="0"/>
    <x v="1134"/>
    <x v="1179"/>
    <x v="0"/>
  </r>
  <r>
    <d v="2024-06-11T00:00:00"/>
    <x v="1"/>
    <x v="1"/>
    <x v="0"/>
    <x v="1138"/>
    <n v="3056"/>
    <n v="15"/>
    <x v="1135"/>
    <x v="1180"/>
    <x v="0"/>
  </r>
  <r>
    <d v="2022-11-25T00:00:00"/>
    <x v="2"/>
    <x v="0"/>
    <x v="2"/>
    <x v="1139"/>
    <n v="7153"/>
    <n v="10"/>
    <x v="1136"/>
    <x v="1181"/>
    <x v="1"/>
  </r>
  <r>
    <d v="2023-08-03T00:00:00"/>
    <x v="0"/>
    <x v="3"/>
    <x v="1"/>
    <x v="1140"/>
    <n v="8009"/>
    <n v="10"/>
    <x v="1137"/>
    <x v="1182"/>
    <x v="2"/>
  </r>
  <r>
    <d v="2024-08-09T00:00:00"/>
    <x v="2"/>
    <x v="2"/>
    <x v="0"/>
    <x v="1141"/>
    <n v="2236"/>
    <n v="10"/>
    <x v="1138"/>
    <x v="1183"/>
    <x v="0"/>
  </r>
  <r>
    <d v="2023-09-27T00:00:00"/>
    <x v="0"/>
    <x v="0"/>
    <x v="0"/>
    <x v="1142"/>
    <n v="3391"/>
    <n v="10"/>
    <x v="1139"/>
    <x v="1184"/>
    <x v="2"/>
  </r>
  <r>
    <d v="2024-09-14T00:00:00"/>
    <x v="3"/>
    <x v="2"/>
    <x v="1"/>
    <x v="1143"/>
    <n v="1268"/>
    <n v="5"/>
    <x v="1140"/>
    <x v="1185"/>
    <x v="0"/>
  </r>
  <r>
    <d v="2024-07-09T00:00:00"/>
    <x v="2"/>
    <x v="3"/>
    <x v="1"/>
    <x v="1144"/>
    <n v="7597"/>
    <n v="10"/>
    <x v="78"/>
    <x v="1186"/>
    <x v="0"/>
  </r>
  <r>
    <d v="2024-01-08T00:00:00"/>
    <x v="0"/>
    <x v="0"/>
    <x v="1"/>
    <x v="1145"/>
    <n v="11856"/>
    <n v="5"/>
    <x v="1141"/>
    <x v="1187"/>
    <x v="0"/>
  </r>
  <r>
    <d v="2022-06-19T00:00:00"/>
    <x v="1"/>
    <x v="2"/>
    <x v="2"/>
    <x v="1146"/>
    <n v="3503"/>
    <n v="5"/>
    <x v="1142"/>
    <x v="1188"/>
    <x v="1"/>
  </r>
  <r>
    <d v="2023-06-05T00:00:00"/>
    <x v="3"/>
    <x v="2"/>
    <x v="1"/>
    <x v="1147"/>
    <n v="6799"/>
    <n v="20"/>
    <x v="1050"/>
    <x v="1189"/>
    <x v="2"/>
  </r>
  <r>
    <d v="2022-02-09T00:00:00"/>
    <x v="1"/>
    <x v="1"/>
    <x v="3"/>
    <x v="1148"/>
    <n v="5473"/>
    <n v="5"/>
    <x v="1136"/>
    <x v="1190"/>
    <x v="1"/>
  </r>
  <r>
    <d v="2024-08-12T00:00:00"/>
    <x v="3"/>
    <x v="1"/>
    <x v="0"/>
    <x v="1149"/>
    <n v="1189"/>
    <n v="5"/>
    <x v="1143"/>
    <x v="1191"/>
    <x v="0"/>
  </r>
  <r>
    <d v="2024-09-10T00:00:00"/>
    <x v="2"/>
    <x v="1"/>
    <x v="1"/>
    <x v="1150"/>
    <n v="9284"/>
    <n v="10"/>
    <x v="1144"/>
    <x v="1192"/>
    <x v="0"/>
  </r>
  <r>
    <d v="2024-09-01T00:00:00"/>
    <x v="2"/>
    <x v="0"/>
    <x v="1"/>
    <x v="1151"/>
    <n v="11950"/>
    <n v="5"/>
    <x v="1145"/>
    <x v="1193"/>
    <x v="0"/>
  </r>
  <r>
    <d v="2022-02-07T00:00:00"/>
    <x v="3"/>
    <x v="3"/>
    <x v="2"/>
    <x v="1152"/>
    <n v="9473"/>
    <n v="15"/>
    <x v="1146"/>
    <x v="1194"/>
    <x v="1"/>
  </r>
  <r>
    <d v="2022-11-24T00:00:00"/>
    <x v="3"/>
    <x v="3"/>
    <x v="2"/>
    <x v="1153"/>
    <n v="7682"/>
    <n v="10"/>
    <x v="1147"/>
    <x v="1195"/>
    <x v="1"/>
  </r>
  <r>
    <d v="2024-07-02T00:00:00"/>
    <x v="3"/>
    <x v="1"/>
    <x v="0"/>
    <x v="1154"/>
    <n v="3831"/>
    <n v="0"/>
    <x v="1148"/>
    <x v="1196"/>
    <x v="0"/>
  </r>
  <r>
    <d v="2023-03-30T00:00:00"/>
    <x v="2"/>
    <x v="1"/>
    <x v="3"/>
    <x v="1155"/>
    <n v="1101"/>
    <n v="10"/>
    <x v="1149"/>
    <x v="1197"/>
    <x v="2"/>
  </r>
  <r>
    <d v="2022-02-06T00:00:00"/>
    <x v="0"/>
    <x v="1"/>
    <x v="0"/>
    <x v="1156"/>
    <n v="8534"/>
    <n v="5"/>
    <x v="1150"/>
    <x v="1198"/>
    <x v="1"/>
  </r>
  <r>
    <d v="2024-08-30T00:00:00"/>
    <x v="1"/>
    <x v="2"/>
    <x v="1"/>
    <x v="1157"/>
    <n v="3649"/>
    <n v="15"/>
    <x v="1151"/>
    <x v="1199"/>
    <x v="0"/>
  </r>
  <r>
    <d v="2024-03-06T00:00:00"/>
    <x v="1"/>
    <x v="1"/>
    <x v="3"/>
    <x v="1158"/>
    <n v="8305"/>
    <n v="10"/>
    <x v="1152"/>
    <x v="1200"/>
    <x v="0"/>
  </r>
  <r>
    <d v="2024-08-30T00:00:00"/>
    <x v="2"/>
    <x v="2"/>
    <x v="3"/>
    <x v="1159"/>
    <n v="10269"/>
    <n v="15"/>
    <x v="1153"/>
    <x v="1201"/>
    <x v="0"/>
  </r>
  <r>
    <d v="2023-08-16T00:00:00"/>
    <x v="1"/>
    <x v="3"/>
    <x v="3"/>
    <x v="1160"/>
    <n v="3501"/>
    <n v="0"/>
    <x v="1154"/>
    <x v="1202"/>
    <x v="2"/>
  </r>
  <r>
    <d v="2024-11-29T00:00:00"/>
    <x v="3"/>
    <x v="0"/>
    <x v="3"/>
    <x v="1161"/>
    <n v="649"/>
    <n v="0"/>
    <x v="1155"/>
    <x v="1203"/>
    <x v="0"/>
  </r>
  <r>
    <d v="2022-08-12T00:00:00"/>
    <x v="0"/>
    <x v="0"/>
    <x v="0"/>
    <x v="1162"/>
    <n v="10059"/>
    <n v="20"/>
    <x v="1156"/>
    <x v="1204"/>
    <x v="1"/>
  </r>
  <r>
    <d v="2022-11-14T00:00:00"/>
    <x v="1"/>
    <x v="0"/>
    <x v="2"/>
    <x v="1163"/>
    <n v="9621"/>
    <n v="20"/>
    <x v="1157"/>
    <x v="1205"/>
    <x v="1"/>
  </r>
  <r>
    <d v="2022-12-15T00:00:00"/>
    <x v="0"/>
    <x v="0"/>
    <x v="2"/>
    <x v="1164"/>
    <n v="11451"/>
    <n v="10"/>
    <x v="1158"/>
    <x v="1206"/>
    <x v="1"/>
  </r>
  <r>
    <d v="2022-04-25T00:00:00"/>
    <x v="3"/>
    <x v="2"/>
    <x v="1"/>
    <x v="1165"/>
    <n v="10272"/>
    <n v="20"/>
    <x v="1159"/>
    <x v="1207"/>
    <x v="1"/>
  </r>
  <r>
    <d v="2023-11-29T00:00:00"/>
    <x v="1"/>
    <x v="2"/>
    <x v="2"/>
    <x v="1166"/>
    <n v="883"/>
    <n v="15"/>
    <x v="1160"/>
    <x v="1208"/>
    <x v="2"/>
  </r>
  <r>
    <d v="2024-11-29T00:00:00"/>
    <x v="2"/>
    <x v="1"/>
    <x v="2"/>
    <x v="1167"/>
    <n v="3677"/>
    <n v="20"/>
    <x v="1161"/>
    <x v="1209"/>
    <x v="0"/>
  </r>
  <r>
    <d v="2022-02-09T00:00:00"/>
    <x v="0"/>
    <x v="2"/>
    <x v="2"/>
    <x v="1168"/>
    <n v="6328"/>
    <n v="15"/>
    <x v="1162"/>
    <x v="1210"/>
    <x v="1"/>
  </r>
  <r>
    <d v="2022-08-04T00:00:00"/>
    <x v="3"/>
    <x v="1"/>
    <x v="2"/>
    <x v="1169"/>
    <n v="7994"/>
    <n v="20"/>
    <x v="1163"/>
    <x v="1211"/>
    <x v="1"/>
  </r>
  <r>
    <d v="2022-12-02T00:00:00"/>
    <x v="0"/>
    <x v="1"/>
    <x v="1"/>
    <x v="1170"/>
    <n v="6496"/>
    <n v="20"/>
    <x v="1164"/>
    <x v="1212"/>
    <x v="1"/>
  </r>
  <r>
    <d v="2022-04-02T00:00:00"/>
    <x v="1"/>
    <x v="0"/>
    <x v="0"/>
    <x v="1171"/>
    <n v="7383"/>
    <n v="20"/>
    <x v="1165"/>
    <x v="1213"/>
    <x v="1"/>
  </r>
  <r>
    <d v="2022-12-19T00:00:00"/>
    <x v="1"/>
    <x v="2"/>
    <x v="3"/>
    <x v="1172"/>
    <n v="3701"/>
    <n v="5"/>
    <x v="161"/>
    <x v="1214"/>
    <x v="1"/>
  </r>
  <r>
    <d v="2023-07-25T00:00:00"/>
    <x v="2"/>
    <x v="2"/>
    <x v="2"/>
    <x v="1173"/>
    <n v="3485"/>
    <n v="5"/>
    <x v="1166"/>
    <x v="1215"/>
    <x v="2"/>
  </r>
  <r>
    <d v="2024-03-26T00:00:00"/>
    <x v="3"/>
    <x v="1"/>
    <x v="0"/>
    <x v="1174"/>
    <n v="10686"/>
    <n v="20"/>
    <x v="1167"/>
    <x v="1216"/>
    <x v="0"/>
  </r>
  <r>
    <d v="2024-02-20T00:00:00"/>
    <x v="3"/>
    <x v="1"/>
    <x v="2"/>
    <x v="1175"/>
    <n v="5585"/>
    <n v="15"/>
    <x v="1168"/>
    <x v="1217"/>
    <x v="0"/>
  </r>
  <r>
    <d v="2022-12-29T00:00:00"/>
    <x v="2"/>
    <x v="3"/>
    <x v="2"/>
    <x v="1176"/>
    <n v="9654"/>
    <n v="10"/>
    <x v="1169"/>
    <x v="1218"/>
    <x v="1"/>
  </r>
  <r>
    <d v="2023-07-11T00:00:00"/>
    <x v="2"/>
    <x v="3"/>
    <x v="3"/>
    <x v="1177"/>
    <n v="7072"/>
    <n v="0"/>
    <x v="1170"/>
    <x v="1219"/>
    <x v="2"/>
  </r>
  <r>
    <d v="2022-12-22T00:00:00"/>
    <x v="3"/>
    <x v="1"/>
    <x v="3"/>
    <x v="1178"/>
    <n v="8790"/>
    <n v="5"/>
    <x v="1171"/>
    <x v="1220"/>
    <x v="1"/>
  </r>
  <r>
    <d v="2022-07-10T00:00:00"/>
    <x v="0"/>
    <x v="3"/>
    <x v="3"/>
    <x v="1179"/>
    <n v="3647"/>
    <n v="20"/>
    <x v="1172"/>
    <x v="1221"/>
    <x v="1"/>
  </r>
  <r>
    <d v="2023-02-26T00:00:00"/>
    <x v="0"/>
    <x v="3"/>
    <x v="2"/>
    <x v="1180"/>
    <n v="10431"/>
    <n v="0"/>
    <x v="1173"/>
    <x v="1222"/>
    <x v="2"/>
  </r>
  <r>
    <d v="2023-12-01T00:00:00"/>
    <x v="2"/>
    <x v="1"/>
    <x v="2"/>
    <x v="1181"/>
    <n v="1088"/>
    <n v="5"/>
    <x v="1174"/>
    <x v="1223"/>
    <x v="2"/>
  </r>
  <r>
    <d v="2022-01-07T00:00:00"/>
    <x v="0"/>
    <x v="1"/>
    <x v="2"/>
    <x v="1182"/>
    <n v="5245"/>
    <n v="10"/>
    <x v="116"/>
    <x v="1224"/>
    <x v="1"/>
  </r>
  <r>
    <d v="2022-05-13T00:00:00"/>
    <x v="3"/>
    <x v="2"/>
    <x v="3"/>
    <x v="1183"/>
    <n v="3189"/>
    <n v="15"/>
    <x v="1175"/>
    <x v="1225"/>
    <x v="1"/>
  </r>
  <r>
    <d v="2023-07-11T00:00:00"/>
    <x v="1"/>
    <x v="1"/>
    <x v="1"/>
    <x v="1184"/>
    <n v="9869"/>
    <n v="20"/>
    <x v="1176"/>
    <x v="1226"/>
    <x v="2"/>
  </r>
  <r>
    <d v="2024-04-05T00:00:00"/>
    <x v="1"/>
    <x v="1"/>
    <x v="0"/>
    <x v="1185"/>
    <n v="5573"/>
    <n v="10"/>
    <x v="1177"/>
    <x v="1227"/>
    <x v="0"/>
  </r>
  <r>
    <d v="2024-01-31T00:00:00"/>
    <x v="0"/>
    <x v="0"/>
    <x v="1"/>
    <x v="306"/>
    <n v="10441"/>
    <n v="5"/>
    <x v="1178"/>
    <x v="1228"/>
    <x v="0"/>
  </r>
  <r>
    <d v="2024-11-20T00:00:00"/>
    <x v="2"/>
    <x v="2"/>
    <x v="2"/>
    <x v="1186"/>
    <n v="3572"/>
    <n v="20"/>
    <x v="1179"/>
    <x v="1229"/>
    <x v="0"/>
  </r>
  <r>
    <d v="2023-06-19T00:00:00"/>
    <x v="2"/>
    <x v="2"/>
    <x v="2"/>
    <x v="1187"/>
    <n v="9369"/>
    <n v="0"/>
    <x v="1180"/>
    <x v="1230"/>
    <x v="2"/>
  </r>
  <r>
    <d v="2023-03-02T00:00:00"/>
    <x v="2"/>
    <x v="2"/>
    <x v="1"/>
    <x v="1188"/>
    <n v="5534"/>
    <n v="15"/>
    <x v="1181"/>
    <x v="1231"/>
    <x v="2"/>
  </r>
  <r>
    <d v="2023-11-03T00:00:00"/>
    <x v="2"/>
    <x v="0"/>
    <x v="2"/>
    <x v="1189"/>
    <n v="10069"/>
    <n v="5"/>
    <x v="1182"/>
    <x v="1232"/>
    <x v="2"/>
  </r>
  <r>
    <d v="2022-12-29T00:00:00"/>
    <x v="2"/>
    <x v="1"/>
    <x v="0"/>
    <x v="1190"/>
    <n v="7202"/>
    <n v="15"/>
    <x v="1183"/>
    <x v="1233"/>
    <x v="1"/>
  </r>
  <r>
    <d v="2022-03-23T00:00:00"/>
    <x v="0"/>
    <x v="2"/>
    <x v="2"/>
    <x v="1191"/>
    <n v="11631"/>
    <n v="20"/>
    <x v="1181"/>
    <x v="1234"/>
    <x v="1"/>
  </r>
  <r>
    <d v="2022-12-22T00:00:00"/>
    <x v="1"/>
    <x v="2"/>
    <x v="0"/>
    <x v="1192"/>
    <n v="7912"/>
    <n v="10"/>
    <x v="1184"/>
    <x v="1235"/>
    <x v="1"/>
  </r>
  <r>
    <d v="2023-08-12T00:00:00"/>
    <x v="1"/>
    <x v="3"/>
    <x v="1"/>
    <x v="1193"/>
    <n v="2792"/>
    <n v="15"/>
    <x v="1185"/>
    <x v="1236"/>
    <x v="2"/>
  </r>
  <r>
    <d v="2022-10-22T00:00:00"/>
    <x v="0"/>
    <x v="2"/>
    <x v="1"/>
    <x v="1194"/>
    <n v="11247"/>
    <n v="0"/>
    <x v="1186"/>
    <x v="1237"/>
    <x v="1"/>
  </r>
  <r>
    <d v="2024-12-05T00:00:00"/>
    <x v="2"/>
    <x v="1"/>
    <x v="2"/>
    <x v="1195"/>
    <n v="7045"/>
    <n v="5"/>
    <x v="1187"/>
    <x v="1238"/>
    <x v="0"/>
  </r>
  <r>
    <d v="2022-01-17T00:00:00"/>
    <x v="0"/>
    <x v="1"/>
    <x v="0"/>
    <x v="1196"/>
    <n v="10395"/>
    <n v="0"/>
    <x v="1188"/>
    <x v="1239"/>
    <x v="1"/>
  </r>
  <r>
    <d v="2022-12-26T00:00:00"/>
    <x v="1"/>
    <x v="3"/>
    <x v="2"/>
    <x v="1197"/>
    <n v="9874"/>
    <n v="15"/>
    <x v="1189"/>
    <x v="1240"/>
    <x v="1"/>
  </r>
  <r>
    <d v="2024-05-15T00:00:00"/>
    <x v="3"/>
    <x v="2"/>
    <x v="3"/>
    <x v="1198"/>
    <n v="4540"/>
    <n v="10"/>
    <x v="1190"/>
    <x v="1241"/>
    <x v="0"/>
  </r>
  <r>
    <d v="2023-12-01T00:00:00"/>
    <x v="0"/>
    <x v="2"/>
    <x v="3"/>
    <x v="1199"/>
    <n v="2622"/>
    <n v="10"/>
    <x v="1191"/>
    <x v="1242"/>
    <x v="2"/>
  </r>
  <r>
    <d v="2023-03-24T00:00:00"/>
    <x v="2"/>
    <x v="2"/>
    <x v="3"/>
    <x v="1200"/>
    <n v="11048"/>
    <n v="0"/>
    <x v="1192"/>
    <x v="1243"/>
    <x v="2"/>
  </r>
  <r>
    <d v="2024-05-05T00:00:00"/>
    <x v="1"/>
    <x v="0"/>
    <x v="3"/>
    <x v="1201"/>
    <n v="5598"/>
    <n v="20"/>
    <x v="1193"/>
    <x v="1244"/>
    <x v="0"/>
  </r>
  <r>
    <d v="2022-12-31T00:00:00"/>
    <x v="1"/>
    <x v="2"/>
    <x v="2"/>
    <x v="1202"/>
    <n v="2161"/>
    <n v="20"/>
    <x v="1194"/>
    <x v="1245"/>
    <x v="1"/>
  </r>
  <r>
    <d v="2023-11-06T00:00:00"/>
    <x v="1"/>
    <x v="1"/>
    <x v="3"/>
    <x v="1203"/>
    <n v="6920"/>
    <n v="10"/>
    <x v="1195"/>
    <x v="1246"/>
    <x v="2"/>
  </r>
  <r>
    <d v="2024-10-04T00:00:00"/>
    <x v="1"/>
    <x v="1"/>
    <x v="0"/>
    <x v="1204"/>
    <n v="10358"/>
    <n v="0"/>
    <x v="1196"/>
    <x v="1247"/>
    <x v="0"/>
  </r>
  <r>
    <d v="2023-04-12T00:00:00"/>
    <x v="2"/>
    <x v="0"/>
    <x v="1"/>
    <x v="1205"/>
    <n v="4347"/>
    <n v="0"/>
    <x v="1197"/>
    <x v="1248"/>
    <x v="2"/>
  </r>
  <r>
    <d v="2023-02-18T00:00:00"/>
    <x v="3"/>
    <x v="0"/>
    <x v="1"/>
    <x v="1206"/>
    <n v="7881"/>
    <n v="0"/>
    <x v="1198"/>
    <x v="1249"/>
    <x v="2"/>
  </r>
  <r>
    <d v="2023-08-09T00:00:00"/>
    <x v="1"/>
    <x v="2"/>
    <x v="3"/>
    <x v="1207"/>
    <n v="7620"/>
    <n v="15"/>
    <x v="1199"/>
    <x v="1250"/>
    <x v="2"/>
  </r>
  <r>
    <d v="2024-09-20T00:00:00"/>
    <x v="0"/>
    <x v="3"/>
    <x v="3"/>
    <x v="1208"/>
    <n v="11667"/>
    <n v="20"/>
    <x v="1200"/>
    <x v="1251"/>
    <x v="0"/>
  </r>
  <r>
    <d v="2023-07-26T00:00:00"/>
    <x v="3"/>
    <x v="0"/>
    <x v="3"/>
    <x v="1209"/>
    <n v="1398"/>
    <n v="20"/>
    <x v="1201"/>
    <x v="1252"/>
    <x v="2"/>
  </r>
  <r>
    <d v="2022-12-01T00:00:00"/>
    <x v="1"/>
    <x v="0"/>
    <x v="2"/>
    <x v="1210"/>
    <n v="5547"/>
    <n v="15"/>
    <x v="1202"/>
    <x v="1253"/>
    <x v="1"/>
  </r>
  <r>
    <d v="2022-02-06T00:00:00"/>
    <x v="3"/>
    <x v="2"/>
    <x v="1"/>
    <x v="1211"/>
    <n v="2034"/>
    <n v="5"/>
    <x v="1203"/>
    <x v="1254"/>
    <x v="1"/>
  </r>
  <r>
    <d v="2024-09-15T00:00:00"/>
    <x v="0"/>
    <x v="2"/>
    <x v="3"/>
    <x v="1212"/>
    <n v="4963"/>
    <n v="15"/>
    <x v="1204"/>
    <x v="1255"/>
    <x v="0"/>
  </r>
  <r>
    <d v="2022-10-05T00:00:00"/>
    <x v="1"/>
    <x v="0"/>
    <x v="0"/>
    <x v="1213"/>
    <n v="6209"/>
    <n v="0"/>
    <x v="1205"/>
    <x v="1256"/>
    <x v="1"/>
  </r>
  <r>
    <d v="2024-07-04T00:00:00"/>
    <x v="0"/>
    <x v="3"/>
    <x v="3"/>
    <x v="1214"/>
    <n v="3716"/>
    <n v="15"/>
    <x v="1206"/>
    <x v="1257"/>
    <x v="0"/>
  </r>
  <r>
    <d v="2023-04-29T00:00:00"/>
    <x v="2"/>
    <x v="0"/>
    <x v="1"/>
    <x v="926"/>
    <n v="6602"/>
    <n v="0"/>
    <x v="1207"/>
    <x v="1258"/>
    <x v="2"/>
  </r>
  <r>
    <d v="2024-01-01T00:00:00"/>
    <x v="1"/>
    <x v="2"/>
    <x v="3"/>
    <x v="1215"/>
    <n v="7893"/>
    <n v="10"/>
    <x v="1208"/>
    <x v="1259"/>
    <x v="0"/>
  </r>
  <r>
    <d v="2022-07-11T00:00:00"/>
    <x v="1"/>
    <x v="2"/>
    <x v="1"/>
    <x v="1216"/>
    <n v="980"/>
    <n v="0"/>
    <x v="1209"/>
    <x v="1260"/>
    <x v="1"/>
  </r>
  <r>
    <d v="2024-11-06T00:00:00"/>
    <x v="1"/>
    <x v="0"/>
    <x v="3"/>
    <x v="1217"/>
    <n v="8463"/>
    <n v="20"/>
    <x v="1210"/>
    <x v="1261"/>
    <x v="0"/>
  </r>
  <r>
    <d v="2023-06-08T00:00:00"/>
    <x v="1"/>
    <x v="3"/>
    <x v="0"/>
    <x v="1218"/>
    <n v="2370"/>
    <n v="15"/>
    <x v="1211"/>
    <x v="1262"/>
    <x v="2"/>
  </r>
  <r>
    <d v="2024-07-06T00:00:00"/>
    <x v="2"/>
    <x v="0"/>
    <x v="3"/>
    <x v="405"/>
    <n v="6968"/>
    <n v="0"/>
    <x v="1212"/>
    <x v="1263"/>
    <x v="0"/>
  </r>
  <r>
    <d v="2023-02-05T00:00:00"/>
    <x v="1"/>
    <x v="0"/>
    <x v="0"/>
    <x v="1219"/>
    <n v="8301"/>
    <n v="5"/>
    <x v="1213"/>
    <x v="1264"/>
    <x v="2"/>
  </r>
  <r>
    <d v="2024-06-04T00:00:00"/>
    <x v="3"/>
    <x v="2"/>
    <x v="0"/>
    <x v="1220"/>
    <n v="10221"/>
    <n v="10"/>
    <x v="1214"/>
    <x v="1265"/>
    <x v="0"/>
  </r>
  <r>
    <d v="2023-12-06T00:00:00"/>
    <x v="1"/>
    <x v="3"/>
    <x v="3"/>
    <x v="1221"/>
    <n v="2491"/>
    <n v="5"/>
    <x v="1215"/>
    <x v="1266"/>
    <x v="2"/>
  </r>
  <r>
    <d v="2022-01-22T00:00:00"/>
    <x v="2"/>
    <x v="1"/>
    <x v="0"/>
    <x v="1222"/>
    <n v="9159"/>
    <n v="5"/>
    <x v="1216"/>
    <x v="1267"/>
    <x v="1"/>
  </r>
  <r>
    <d v="2023-04-19T00:00:00"/>
    <x v="1"/>
    <x v="3"/>
    <x v="2"/>
    <x v="1223"/>
    <n v="10104"/>
    <n v="5"/>
    <x v="1217"/>
    <x v="1268"/>
    <x v="2"/>
  </r>
  <r>
    <d v="2022-07-29T00:00:00"/>
    <x v="3"/>
    <x v="0"/>
    <x v="3"/>
    <x v="1224"/>
    <n v="7886"/>
    <n v="10"/>
    <x v="1218"/>
    <x v="1269"/>
    <x v="1"/>
  </r>
  <r>
    <d v="2022-11-02T00:00:00"/>
    <x v="2"/>
    <x v="0"/>
    <x v="3"/>
    <x v="1225"/>
    <n v="9172"/>
    <n v="10"/>
    <x v="1219"/>
    <x v="1270"/>
    <x v="1"/>
  </r>
  <r>
    <d v="2023-12-05T00:00:00"/>
    <x v="2"/>
    <x v="0"/>
    <x v="0"/>
    <x v="1226"/>
    <n v="9464"/>
    <n v="10"/>
    <x v="1220"/>
    <x v="1271"/>
    <x v="2"/>
  </r>
  <r>
    <d v="2023-11-18T00:00:00"/>
    <x v="3"/>
    <x v="3"/>
    <x v="0"/>
    <x v="1227"/>
    <n v="3146"/>
    <n v="10"/>
    <x v="52"/>
    <x v="1272"/>
    <x v="2"/>
  </r>
  <r>
    <d v="2022-10-12T00:00:00"/>
    <x v="3"/>
    <x v="2"/>
    <x v="3"/>
    <x v="1228"/>
    <n v="10624"/>
    <n v="5"/>
    <x v="1221"/>
    <x v="1273"/>
    <x v="1"/>
  </r>
  <r>
    <d v="2023-12-17T00:00:00"/>
    <x v="3"/>
    <x v="0"/>
    <x v="2"/>
    <x v="1229"/>
    <n v="2763"/>
    <n v="20"/>
    <x v="1222"/>
    <x v="1274"/>
    <x v="2"/>
  </r>
  <r>
    <d v="2024-02-02T00:00:00"/>
    <x v="3"/>
    <x v="0"/>
    <x v="0"/>
    <x v="1230"/>
    <n v="7137"/>
    <n v="20"/>
    <x v="1223"/>
    <x v="1275"/>
    <x v="0"/>
  </r>
  <r>
    <d v="2024-08-05T00:00:00"/>
    <x v="3"/>
    <x v="3"/>
    <x v="0"/>
    <x v="1231"/>
    <n v="11021"/>
    <n v="10"/>
    <x v="1224"/>
    <x v="1276"/>
    <x v="0"/>
  </r>
  <r>
    <d v="2023-01-16T00:00:00"/>
    <x v="2"/>
    <x v="1"/>
    <x v="1"/>
    <x v="1232"/>
    <n v="10995"/>
    <n v="15"/>
    <x v="1225"/>
    <x v="1277"/>
    <x v="2"/>
  </r>
  <r>
    <d v="2023-04-05T00:00:00"/>
    <x v="2"/>
    <x v="1"/>
    <x v="2"/>
    <x v="1233"/>
    <n v="5222"/>
    <n v="0"/>
    <x v="1226"/>
    <x v="1278"/>
    <x v="2"/>
  </r>
  <r>
    <d v="2024-10-27T00:00:00"/>
    <x v="1"/>
    <x v="2"/>
    <x v="2"/>
    <x v="1234"/>
    <n v="4692"/>
    <n v="15"/>
    <x v="1227"/>
    <x v="1279"/>
    <x v="0"/>
  </r>
  <r>
    <d v="2022-01-29T00:00:00"/>
    <x v="1"/>
    <x v="2"/>
    <x v="3"/>
    <x v="1235"/>
    <n v="3483"/>
    <n v="15"/>
    <x v="1228"/>
    <x v="1280"/>
    <x v="1"/>
  </r>
  <r>
    <d v="2024-06-25T00:00:00"/>
    <x v="0"/>
    <x v="0"/>
    <x v="2"/>
    <x v="1236"/>
    <n v="3467"/>
    <n v="15"/>
    <x v="1229"/>
    <x v="1281"/>
    <x v="0"/>
  </r>
  <r>
    <d v="2024-11-22T00:00:00"/>
    <x v="1"/>
    <x v="3"/>
    <x v="3"/>
    <x v="1237"/>
    <n v="3297"/>
    <n v="20"/>
    <x v="1230"/>
    <x v="1282"/>
    <x v="0"/>
  </r>
  <r>
    <d v="2024-05-28T00:00:00"/>
    <x v="1"/>
    <x v="0"/>
    <x v="1"/>
    <x v="1238"/>
    <n v="6821"/>
    <n v="0"/>
    <x v="1231"/>
    <x v="1283"/>
    <x v="0"/>
  </r>
  <r>
    <d v="2022-03-20T00:00:00"/>
    <x v="3"/>
    <x v="2"/>
    <x v="2"/>
    <x v="1239"/>
    <n v="3527"/>
    <n v="15"/>
    <x v="1232"/>
    <x v="1284"/>
    <x v="1"/>
  </r>
  <r>
    <d v="2024-08-04T00:00:00"/>
    <x v="3"/>
    <x v="3"/>
    <x v="0"/>
    <x v="1240"/>
    <n v="6864"/>
    <n v="10"/>
    <x v="1233"/>
    <x v="1285"/>
    <x v="0"/>
  </r>
  <r>
    <d v="2023-04-04T00:00:00"/>
    <x v="1"/>
    <x v="3"/>
    <x v="1"/>
    <x v="1241"/>
    <n v="10644"/>
    <n v="20"/>
    <x v="1234"/>
    <x v="1286"/>
    <x v="2"/>
  </r>
  <r>
    <d v="2023-07-24T00:00:00"/>
    <x v="0"/>
    <x v="2"/>
    <x v="3"/>
    <x v="1242"/>
    <n v="10220"/>
    <n v="10"/>
    <x v="1235"/>
    <x v="1287"/>
    <x v="2"/>
  </r>
  <r>
    <d v="2024-01-08T00:00:00"/>
    <x v="3"/>
    <x v="1"/>
    <x v="1"/>
    <x v="1243"/>
    <n v="2324"/>
    <n v="10"/>
    <x v="1236"/>
    <x v="1288"/>
    <x v="0"/>
  </r>
  <r>
    <d v="2023-05-31T00:00:00"/>
    <x v="1"/>
    <x v="1"/>
    <x v="3"/>
    <x v="1228"/>
    <n v="629"/>
    <n v="15"/>
    <x v="1237"/>
    <x v="1289"/>
    <x v="2"/>
  </r>
  <r>
    <d v="2023-02-01T00:00:00"/>
    <x v="1"/>
    <x v="3"/>
    <x v="1"/>
    <x v="1244"/>
    <n v="2786"/>
    <n v="10"/>
    <x v="1238"/>
    <x v="1290"/>
    <x v="2"/>
  </r>
  <r>
    <d v="2022-02-08T00:00:00"/>
    <x v="2"/>
    <x v="0"/>
    <x v="3"/>
    <x v="1245"/>
    <n v="1455"/>
    <n v="0"/>
    <x v="1239"/>
    <x v="1291"/>
    <x v="1"/>
  </r>
  <r>
    <d v="2024-06-05T00:00:00"/>
    <x v="0"/>
    <x v="1"/>
    <x v="2"/>
    <x v="1246"/>
    <n v="10382"/>
    <n v="10"/>
    <x v="648"/>
    <x v="1292"/>
    <x v="0"/>
  </r>
  <r>
    <d v="2024-03-07T00:00:00"/>
    <x v="2"/>
    <x v="0"/>
    <x v="0"/>
    <x v="1247"/>
    <n v="4777"/>
    <n v="15"/>
    <x v="1240"/>
    <x v="1293"/>
    <x v="0"/>
  </r>
  <r>
    <d v="2022-06-06T00:00:00"/>
    <x v="0"/>
    <x v="1"/>
    <x v="3"/>
    <x v="1248"/>
    <n v="2485"/>
    <n v="10"/>
    <x v="1241"/>
    <x v="1294"/>
    <x v="1"/>
  </r>
  <r>
    <d v="2024-06-02T00:00:00"/>
    <x v="3"/>
    <x v="1"/>
    <x v="1"/>
    <x v="1249"/>
    <n v="7386"/>
    <n v="20"/>
    <x v="1242"/>
    <x v="1295"/>
    <x v="0"/>
  </r>
  <r>
    <d v="2024-08-31T00:00:00"/>
    <x v="0"/>
    <x v="0"/>
    <x v="3"/>
    <x v="1250"/>
    <n v="2617"/>
    <n v="20"/>
    <x v="1243"/>
    <x v="1296"/>
    <x v="0"/>
  </r>
  <r>
    <d v="2024-11-11T00:00:00"/>
    <x v="1"/>
    <x v="2"/>
    <x v="3"/>
    <x v="1251"/>
    <n v="3921"/>
    <n v="20"/>
    <x v="1244"/>
    <x v="1297"/>
    <x v="0"/>
  </r>
  <r>
    <d v="2024-04-28T00:00:00"/>
    <x v="1"/>
    <x v="1"/>
    <x v="3"/>
    <x v="335"/>
    <n v="4791"/>
    <n v="5"/>
    <x v="1245"/>
    <x v="1298"/>
    <x v="0"/>
  </r>
  <r>
    <d v="2024-01-18T00:00:00"/>
    <x v="0"/>
    <x v="1"/>
    <x v="1"/>
    <x v="902"/>
    <n v="2811"/>
    <n v="20"/>
    <x v="1246"/>
    <x v="1299"/>
    <x v="0"/>
  </r>
  <r>
    <d v="2024-09-15T00:00:00"/>
    <x v="0"/>
    <x v="0"/>
    <x v="0"/>
    <x v="1252"/>
    <n v="8142"/>
    <n v="20"/>
    <x v="745"/>
    <x v="1300"/>
    <x v="0"/>
  </r>
  <r>
    <d v="2022-01-21T00:00:00"/>
    <x v="0"/>
    <x v="2"/>
    <x v="2"/>
    <x v="1253"/>
    <n v="8941"/>
    <n v="5"/>
    <x v="1247"/>
    <x v="1301"/>
    <x v="1"/>
  </r>
  <r>
    <d v="2022-10-30T00:00:00"/>
    <x v="2"/>
    <x v="1"/>
    <x v="0"/>
    <x v="1254"/>
    <n v="9846"/>
    <n v="20"/>
    <x v="1248"/>
    <x v="1302"/>
    <x v="1"/>
  </r>
  <r>
    <d v="2024-05-18T00:00:00"/>
    <x v="0"/>
    <x v="1"/>
    <x v="3"/>
    <x v="1255"/>
    <n v="8148"/>
    <n v="15"/>
    <x v="1249"/>
    <x v="1303"/>
    <x v="0"/>
  </r>
  <r>
    <d v="2022-03-25T00:00:00"/>
    <x v="3"/>
    <x v="2"/>
    <x v="1"/>
    <x v="1256"/>
    <n v="5704"/>
    <n v="20"/>
    <x v="1250"/>
    <x v="1304"/>
    <x v="1"/>
  </r>
  <r>
    <d v="2023-07-24T00:00:00"/>
    <x v="2"/>
    <x v="1"/>
    <x v="0"/>
    <x v="1257"/>
    <n v="5693"/>
    <n v="20"/>
    <x v="1251"/>
    <x v="1305"/>
    <x v="2"/>
  </r>
  <r>
    <d v="2024-07-22T00:00:00"/>
    <x v="2"/>
    <x v="2"/>
    <x v="3"/>
    <x v="1258"/>
    <n v="1593"/>
    <n v="5"/>
    <x v="1252"/>
    <x v="1306"/>
    <x v="0"/>
  </r>
  <r>
    <d v="2024-10-05T00:00:00"/>
    <x v="0"/>
    <x v="2"/>
    <x v="2"/>
    <x v="1259"/>
    <n v="2765"/>
    <n v="15"/>
    <x v="1253"/>
    <x v="1307"/>
    <x v="0"/>
  </r>
  <r>
    <d v="2024-03-03T00:00:00"/>
    <x v="3"/>
    <x v="0"/>
    <x v="2"/>
    <x v="1260"/>
    <n v="11594"/>
    <n v="10"/>
    <x v="1254"/>
    <x v="1308"/>
    <x v="0"/>
  </r>
  <r>
    <d v="2024-03-02T00:00:00"/>
    <x v="2"/>
    <x v="3"/>
    <x v="2"/>
    <x v="1261"/>
    <n v="10341"/>
    <n v="0"/>
    <x v="1255"/>
    <x v="1309"/>
    <x v="0"/>
  </r>
  <r>
    <d v="2023-05-07T00:00:00"/>
    <x v="1"/>
    <x v="2"/>
    <x v="3"/>
    <x v="1262"/>
    <n v="3475"/>
    <n v="15"/>
    <x v="1256"/>
    <x v="1310"/>
    <x v="2"/>
  </r>
  <r>
    <d v="2022-07-27T00:00:00"/>
    <x v="2"/>
    <x v="0"/>
    <x v="1"/>
    <x v="1263"/>
    <n v="8149"/>
    <n v="10"/>
    <x v="1257"/>
    <x v="1311"/>
    <x v="1"/>
  </r>
  <r>
    <d v="2024-12-19T00:00:00"/>
    <x v="0"/>
    <x v="3"/>
    <x v="0"/>
    <x v="1264"/>
    <n v="11691"/>
    <n v="15"/>
    <x v="1258"/>
    <x v="1312"/>
    <x v="0"/>
  </r>
  <r>
    <d v="2023-03-06T00:00:00"/>
    <x v="3"/>
    <x v="1"/>
    <x v="2"/>
    <x v="1265"/>
    <n v="9725"/>
    <n v="10"/>
    <x v="359"/>
    <x v="1313"/>
    <x v="2"/>
  </r>
  <r>
    <d v="2024-09-11T00:00:00"/>
    <x v="0"/>
    <x v="3"/>
    <x v="3"/>
    <x v="1266"/>
    <n v="9929"/>
    <n v="10"/>
    <x v="1259"/>
    <x v="1314"/>
    <x v="0"/>
  </r>
  <r>
    <d v="2023-06-04T00:00:00"/>
    <x v="1"/>
    <x v="2"/>
    <x v="3"/>
    <x v="1267"/>
    <n v="11844"/>
    <n v="15"/>
    <x v="1260"/>
    <x v="1315"/>
    <x v="2"/>
  </r>
  <r>
    <d v="2023-08-14T00:00:00"/>
    <x v="1"/>
    <x v="2"/>
    <x v="0"/>
    <x v="1268"/>
    <n v="8744"/>
    <n v="5"/>
    <x v="1261"/>
    <x v="1316"/>
    <x v="2"/>
  </r>
  <r>
    <d v="2024-11-16T00:00:00"/>
    <x v="1"/>
    <x v="2"/>
    <x v="2"/>
    <x v="1269"/>
    <n v="8510"/>
    <n v="15"/>
    <x v="1262"/>
    <x v="1317"/>
    <x v="0"/>
  </r>
  <r>
    <d v="2022-07-18T00:00:00"/>
    <x v="0"/>
    <x v="2"/>
    <x v="3"/>
    <x v="1270"/>
    <n v="3059"/>
    <n v="15"/>
    <x v="1263"/>
    <x v="1318"/>
    <x v="1"/>
  </r>
  <r>
    <d v="2023-01-22T00:00:00"/>
    <x v="2"/>
    <x v="2"/>
    <x v="0"/>
    <x v="1271"/>
    <n v="5555"/>
    <n v="10"/>
    <x v="1264"/>
    <x v="1319"/>
    <x v="2"/>
  </r>
  <r>
    <d v="2022-12-15T00:00:00"/>
    <x v="0"/>
    <x v="0"/>
    <x v="1"/>
    <x v="1272"/>
    <n v="8714"/>
    <n v="0"/>
    <x v="1265"/>
    <x v="1320"/>
    <x v="1"/>
  </r>
  <r>
    <d v="2024-08-17T00:00:00"/>
    <x v="3"/>
    <x v="2"/>
    <x v="1"/>
    <x v="1273"/>
    <n v="302"/>
    <n v="10"/>
    <x v="1266"/>
    <x v="1321"/>
    <x v="0"/>
  </r>
  <r>
    <d v="2023-11-24T00:00:00"/>
    <x v="2"/>
    <x v="0"/>
    <x v="1"/>
    <x v="1274"/>
    <n v="8430"/>
    <n v="20"/>
    <x v="1267"/>
    <x v="1322"/>
    <x v="2"/>
  </r>
  <r>
    <d v="2023-01-13T00:00:00"/>
    <x v="1"/>
    <x v="1"/>
    <x v="2"/>
    <x v="1275"/>
    <n v="1559"/>
    <n v="15"/>
    <x v="1268"/>
    <x v="1323"/>
    <x v="2"/>
  </r>
  <r>
    <d v="2024-06-17T00:00:00"/>
    <x v="0"/>
    <x v="2"/>
    <x v="0"/>
    <x v="1276"/>
    <n v="8490"/>
    <n v="15"/>
    <x v="1269"/>
    <x v="1324"/>
    <x v="0"/>
  </r>
  <r>
    <d v="2024-07-04T00:00:00"/>
    <x v="1"/>
    <x v="2"/>
    <x v="0"/>
    <x v="1277"/>
    <n v="4623"/>
    <n v="5"/>
    <x v="1270"/>
    <x v="1325"/>
    <x v="0"/>
  </r>
  <r>
    <d v="2023-06-11T00:00:00"/>
    <x v="1"/>
    <x v="3"/>
    <x v="3"/>
    <x v="1278"/>
    <n v="6073"/>
    <n v="10"/>
    <x v="992"/>
    <x v="1326"/>
    <x v="2"/>
  </r>
  <r>
    <d v="2024-01-04T00:00:00"/>
    <x v="3"/>
    <x v="1"/>
    <x v="3"/>
    <x v="1279"/>
    <n v="2868"/>
    <n v="5"/>
    <x v="1271"/>
    <x v="1327"/>
    <x v="0"/>
  </r>
  <r>
    <d v="2022-07-25T00:00:00"/>
    <x v="2"/>
    <x v="2"/>
    <x v="3"/>
    <x v="1280"/>
    <n v="2185"/>
    <n v="15"/>
    <x v="1272"/>
    <x v="1328"/>
    <x v="1"/>
  </r>
  <r>
    <d v="2023-03-31T00:00:00"/>
    <x v="3"/>
    <x v="2"/>
    <x v="0"/>
    <x v="1281"/>
    <n v="7360"/>
    <n v="10"/>
    <x v="1273"/>
    <x v="1329"/>
    <x v="2"/>
  </r>
  <r>
    <d v="2023-06-05T00:00:00"/>
    <x v="3"/>
    <x v="1"/>
    <x v="3"/>
    <x v="1282"/>
    <n v="8144"/>
    <n v="10"/>
    <x v="1274"/>
    <x v="1330"/>
    <x v="2"/>
  </r>
  <r>
    <d v="2024-10-13T00:00:00"/>
    <x v="3"/>
    <x v="0"/>
    <x v="0"/>
    <x v="1283"/>
    <n v="6411"/>
    <n v="20"/>
    <x v="1275"/>
    <x v="1331"/>
    <x v="0"/>
  </r>
  <r>
    <d v="2024-08-13T00:00:00"/>
    <x v="1"/>
    <x v="2"/>
    <x v="0"/>
    <x v="1284"/>
    <n v="9791"/>
    <n v="20"/>
    <x v="1276"/>
    <x v="1332"/>
    <x v="0"/>
  </r>
  <r>
    <d v="2023-12-27T00:00:00"/>
    <x v="3"/>
    <x v="3"/>
    <x v="1"/>
    <x v="1285"/>
    <n v="2638"/>
    <n v="0"/>
    <x v="1277"/>
    <x v="1333"/>
    <x v="2"/>
  </r>
  <r>
    <d v="2024-10-10T00:00:00"/>
    <x v="3"/>
    <x v="2"/>
    <x v="3"/>
    <x v="1286"/>
    <n v="9568"/>
    <n v="20"/>
    <x v="36"/>
    <x v="1334"/>
    <x v="0"/>
  </r>
  <r>
    <d v="2023-05-16T00:00:00"/>
    <x v="2"/>
    <x v="3"/>
    <x v="1"/>
    <x v="1287"/>
    <n v="4058"/>
    <n v="10"/>
    <x v="1278"/>
    <x v="1335"/>
    <x v="2"/>
  </r>
  <r>
    <d v="2022-04-27T00:00:00"/>
    <x v="2"/>
    <x v="3"/>
    <x v="2"/>
    <x v="1288"/>
    <n v="11673"/>
    <n v="20"/>
    <x v="584"/>
    <x v="1336"/>
    <x v="1"/>
  </r>
  <r>
    <d v="2023-01-21T00:00:00"/>
    <x v="3"/>
    <x v="2"/>
    <x v="2"/>
    <x v="1289"/>
    <n v="5110"/>
    <n v="0"/>
    <x v="1279"/>
    <x v="1337"/>
    <x v="2"/>
  </r>
  <r>
    <d v="2023-08-07T00:00:00"/>
    <x v="2"/>
    <x v="2"/>
    <x v="2"/>
    <x v="1290"/>
    <n v="9439"/>
    <n v="15"/>
    <x v="1280"/>
    <x v="1338"/>
    <x v="2"/>
  </r>
  <r>
    <d v="2023-01-30T00:00:00"/>
    <x v="2"/>
    <x v="3"/>
    <x v="0"/>
    <x v="1291"/>
    <n v="7091"/>
    <n v="20"/>
    <x v="1281"/>
    <x v="1339"/>
    <x v="2"/>
  </r>
  <r>
    <d v="2024-12-23T00:00:00"/>
    <x v="3"/>
    <x v="1"/>
    <x v="0"/>
    <x v="1292"/>
    <n v="7471"/>
    <n v="10"/>
    <x v="1282"/>
    <x v="1340"/>
    <x v="0"/>
  </r>
  <r>
    <d v="2023-12-22T00:00:00"/>
    <x v="1"/>
    <x v="1"/>
    <x v="0"/>
    <x v="1293"/>
    <n v="3031"/>
    <n v="15"/>
    <x v="1283"/>
    <x v="1341"/>
    <x v="2"/>
  </r>
  <r>
    <d v="2022-03-13T00:00:00"/>
    <x v="3"/>
    <x v="2"/>
    <x v="3"/>
    <x v="1294"/>
    <n v="1169"/>
    <n v="10"/>
    <x v="1284"/>
    <x v="1342"/>
    <x v="1"/>
  </r>
  <r>
    <d v="2022-10-01T00:00:00"/>
    <x v="2"/>
    <x v="0"/>
    <x v="1"/>
    <x v="1295"/>
    <n v="5466"/>
    <n v="15"/>
    <x v="1285"/>
    <x v="1343"/>
    <x v="1"/>
  </r>
  <r>
    <d v="2022-12-04T00:00:00"/>
    <x v="1"/>
    <x v="1"/>
    <x v="0"/>
    <x v="1296"/>
    <n v="393"/>
    <n v="10"/>
    <x v="1286"/>
    <x v="1344"/>
    <x v="1"/>
  </r>
  <r>
    <d v="2023-08-30T00:00:00"/>
    <x v="0"/>
    <x v="2"/>
    <x v="1"/>
    <x v="1297"/>
    <n v="3287"/>
    <n v="20"/>
    <x v="1287"/>
    <x v="1345"/>
    <x v="2"/>
  </r>
  <r>
    <d v="2022-06-15T00:00:00"/>
    <x v="1"/>
    <x v="1"/>
    <x v="1"/>
    <x v="1298"/>
    <n v="10267"/>
    <n v="20"/>
    <x v="1066"/>
    <x v="1346"/>
    <x v="1"/>
  </r>
  <r>
    <d v="2022-01-11T00:00:00"/>
    <x v="2"/>
    <x v="0"/>
    <x v="1"/>
    <x v="1299"/>
    <n v="10752"/>
    <n v="0"/>
    <x v="1288"/>
    <x v="1347"/>
    <x v="1"/>
  </r>
  <r>
    <d v="2023-12-30T00:00:00"/>
    <x v="1"/>
    <x v="2"/>
    <x v="3"/>
    <x v="1300"/>
    <n v="8927"/>
    <n v="15"/>
    <x v="1289"/>
    <x v="1348"/>
    <x v="2"/>
  </r>
  <r>
    <d v="2024-03-11T00:00:00"/>
    <x v="3"/>
    <x v="0"/>
    <x v="3"/>
    <x v="1301"/>
    <n v="5247"/>
    <n v="0"/>
    <x v="1290"/>
    <x v="1349"/>
    <x v="0"/>
  </r>
  <r>
    <d v="2022-04-12T00:00:00"/>
    <x v="0"/>
    <x v="2"/>
    <x v="2"/>
    <x v="1302"/>
    <n v="6951"/>
    <n v="5"/>
    <x v="1291"/>
    <x v="1350"/>
    <x v="1"/>
  </r>
  <r>
    <d v="2024-02-18T00:00:00"/>
    <x v="0"/>
    <x v="0"/>
    <x v="2"/>
    <x v="1303"/>
    <n v="7279"/>
    <n v="20"/>
    <x v="920"/>
    <x v="1351"/>
    <x v="0"/>
  </r>
  <r>
    <d v="2022-08-02T00:00:00"/>
    <x v="0"/>
    <x v="1"/>
    <x v="1"/>
    <x v="1304"/>
    <n v="7094"/>
    <n v="15"/>
    <x v="1292"/>
    <x v="1352"/>
    <x v="1"/>
  </r>
  <r>
    <d v="2023-02-05T00:00:00"/>
    <x v="2"/>
    <x v="1"/>
    <x v="2"/>
    <x v="1305"/>
    <n v="6824"/>
    <n v="0"/>
    <x v="1288"/>
    <x v="1353"/>
    <x v="2"/>
  </r>
  <r>
    <d v="2023-08-11T00:00:00"/>
    <x v="2"/>
    <x v="0"/>
    <x v="1"/>
    <x v="1306"/>
    <n v="3444"/>
    <n v="0"/>
    <x v="1293"/>
    <x v="1354"/>
    <x v="2"/>
  </r>
  <r>
    <d v="2024-06-07T00:00:00"/>
    <x v="0"/>
    <x v="0"/>
    <x v="3"/>
    <x v="1307"/>
    <n v="3887"/>
    <n v="5"/>
    <x v="1294"/>
    <x v="1355"/>
    <x v="0"/>
  </r>
  <r>
    <d v="2024-12-05T00:00:00"/>
    <x v="1"/>
    <x v="0"/>
    <x v="3"/>
    <x v="1308"/>
    <n v="376"/>
    <n v="0"/>
    <x v="674"/>
    <x v="1356"/>
    <x v="0"/>
  </r>
  <r>
    <d v="2023-08-15T00:00:00"/>
    <x v="0"/>
    <x v="2"/>
    <x v="3"/>
    <x v="1309"/>
    <n v="9307"/>
    <n v="10"/>
    <x v="1295"/>
    <x v="1357"/>
    <x v="2"/>
  </r>
  <r>
    <d v="2022-04-02T00:00:00"/>
    <x v="1"/>
    <x v="1"/>
    <x v="0"/>
    <x v="1310"/>
    <n v="9259"/>
    <n v="20"/>
    <x v="377"/>
    <x v="1358"/>
    <x v="1"/>
  </r>
  <r>
    <d v="2023-11-04T00:00:00"/>
    <x v="1"/>
    <x v="2"/>
    <x v="1"/>
    <x v="1311"/>
    <n v="6853"/>
    <n v="0"/>
    <x v="1296"/>
    <x v="1359"/>
    <x v="2"/>
  </r>
  <r>
    <d v="2023-12-15T00:00:00"/>
    <x v="2"/>
    <x v="1"/>
    <x v="3"/>
    <x v="1312"/>
    <n v="8597"/>
    <n v="0"/>
    <x v="1297"/>
    <x v="1360"/>
    <x v="2"/>
  </r>
  <r>
    <d v="2024-07-24T00:00:00"/>
    <x v="1"/>
    <x v="3"/>
    <x v="1"/>
    <x v="1313"/>
    <n v="6994"/>
    <n v="5"/>
    <x v="104"/>
    <x v="1361"/>
    <x v="0"/>
  </r>
  <r>
    <d v="2022-08-30T00:00:00"/>
    <x v="0"/>
    <x v="2"/>
    <x v="2"/>
    <x v="1314"/>
    <n v="3173"/>
    <n v="10"/>
    <x v="1298"/>
    <x v="1362"/>
    <x v="1"/>
  </r>
  <r>
    <d v="2022-01-02T00:00:00"/>
    <x v="2"/>
    <x v="1"/>
    <x v="2"/>
    <x v="1315"/>
    <n v="3646"/>
    <n v="0"/>
    <x v="1299"/>
    <x v="1363"/>
    <x v="1"/>
  </r>
  <r>
    <d v="2022-08-13T00:00:00"/>
    <x v="3"/>
    <x v="1"/>
    <x v="3"/>
    <x v="1316"/>
    <n v="7324"/>
    <n v="20"/>
    <x v="1300"/>
    <x v="1364"/>
    <x v="1"/>
  </r>
  <r>
    <d v="2024-03-11T00:00:00"/>
    <x v="3"/>
    <x v="2"/>
    <x v="1"/>
    <x v="1317"/>
    <n v="3448"/>
    <n v="20"/>
    <x v="1301"/>
    <x v="1365"/>
    <x v="0"/>
  </r>
  <r>
    <d v="2023-08-12T00:00:00"/>
    <x v="2"/>
    <x v="2"/>
    <x v="3"/>
    <x v="639"/>
    <n v="11640"/>
    <n v="0"/>
    <x v="1302"/>
    <x v="1366"/>
    <x v="2"/>
  </r>
  <r>
    <d v="2022-04-26T00:00:00"/>
    <x v="0"/>
    <x v="1"/>
    <x v="2"/>
    <x v="1318"/>
    <n v="9957"/>
    <n v="10"/>
    <x v="1303"/>
    <x v="1367"/>
    <x v="1"/>
  </r>
  <r>
    <d v="2024-07-06T00:00:00"/>
    <x v="3"/>
    <x v="2"/>
    <x v="3"/>
    <x v="1319"/>
    <n v="11079"/>
    <n v="20"/>
    <x v="1304"/>
    <x v="1368"/>
    <x v="0"/>
  </r>
  <r>
    <d v="2022-07-13T00:00:00"/>
    <x v="3"/>
    <x v="0"/>
    <x v="1"/>
    <x v="1320"/>
    <n v="544"/>
    <n v="20"/>
    <x v="1305"/>
    <x v="1369"/>
    <x v="1"/>
  </r>
  <r>
    <d v="2024-05-20T00:00:00"/>
    <x v="1"/>
    <x v="2"/>
    <x v="2"/>
    <x v="1321"/>
    <n v="2925"/>
    <n v="10"/>
    <x v="1306"/>
    <x v="1370"/>
    <x v="0"/>
  </r>
  <r>
    <d v="2022-03-31T00:00:00"/>
    <x v="1"/>
    <x v="2"/>
    <x v="0"/>
    <x v="1322"/>
    <n v="4149"/>
    <n v="10"/>
    <x v="1307"/>
    <x v="1371"/>
    <x v="1"/>
  </r>
  <r>
    <d v="2022-05-02T00:00:00"/>
    <x v="0"/>
    <x v="2"/>
    <x v="2"/>
    <x v="1323"/>
    <n v="9897"/>
    <n v="0"/>
    <x v="1308"/>
    <x v="1372"/>
    <x v="1"/>
  </r>
  <r>
    <d v="2022-05-23T00:00:00"/>
    <x v="2"/>
    <x v="1"/>
    <x v="0"/>
    <x v="1324"/>
    <n v="9473"/>
    <n v="15"/>
    <x v="1309"/>
    <x v="1373"/>
    <x v="1"/>
  </r>
  <r>
    <d v="2024-09-20T00:00:00"/>
    <x v="0"/>
    <x v="0"/>
    <x v="3"/>
    <x v="1325"/>
    <n v="8037"/>
    <n v="5"/>
    <x v="1310"/>
    <x v="1374"/>
    <x v="0"/>
  </r>
  <r>
    <d v="2022-04-16T00:00:00"/>
    <x v="2"/>
    <x v="3"/>
    <x v="3"/>
    <x v="1326"/>
    <n v="8633"/>
    <n v="15"/>
    <x v="1311"/>
    <x v="1375"/>
    <x v="1"/>
  </r>
  <r>
    <d v="2024-06-05T00:00:00"/>
    <x v="3"/>
    <x v="3"/>
    <x v="1"/>
    <x v="1327"/>
    <n v="1192"/>
    <n v="15"/>
    <x v="1312"/>
    <x v="1376"/>
    <x v="0"/>
  </r>
  <r>
    <d v="2023-03-04T00:00:00"/>
    <x v="1"/>
    <x v="0"/>
    <x v="0"/>
    <x v="1328"/>
    <n v="5787"/>
    <n v="20"/>
    <x v="1313"/>
    <x v="1377"/>
    <x v="2"/>
  </r>
  <r>
    <d v="2022-11-13T00:00:00"/>
    <x v="0"/>
    <x v="0"/>
    <x v="3"/>
    <x v="1329"/>
    <n v="7551"/>
    <n v="10"/>
    <x v="173"/>
    <x v="1378"/>
    <x v="1"/>
  </r>
  <r>
    <d v="2023-09-27T00:00:00"/>
    <x v="0"/>
    <x v="0"/>
    <x v="0"/>
    <x v="1330"/>
    <n v="7610"/>
    <n v="20"/>
    <x v="1314"/>
    <x v="1379"/>
    <x v="2"/>
  </r>
  <r>
    <d v="2022-01-09T00:00:00"/>
    <x v="2"/>
    <x v="1"/>
    <x v="3"/>
    <x v="1331"/>
    <n v="2699"/>
    <n v="5"/>
    <x v="1315"/>
    <x v="1380"/>
    <x v="1"/>
  </r>
  <r>
    <d v="2024-02-13T00:00:00"/>
    <x v="2"/>
    <x v="3"/>
    <x v="2"/>
    <x v="1332"/>
    <n v="4940"/>
    <n v="0"/>
    <x v="1316"/>
    <x v="1381"/>
    <x v="0"/>
  </r>
  <r>
    <d v="2022-08-11T00:00:00"/>
    <x v="0"/>
    <x v="0"/>
    <x v="3"/>
    <x v="1333"/>
    <n v="3260"/>
    <n v="5"/>
    <x v="1317"/>
    <x v="1382"/>
    <x v="1"/>
  </r>
  <r>
    <d v="2023-07-07T00:00:00"/>
    <x v="2"/>
    <x v="1"/>
    <x v="1"/>
    <x v="1334"/>
    <n v="10691"/>
    <n v="20"/>
    <x v="1318"/>
    <x v="1383"/>
    <x v="2"/>
  </r>
  <r>
    <d v="2023-12-17T00:00:00"/>
    <x v="0"/>
    <x v="3"/>
    <x v="2"/>
    <x v="1335"/>
    <n v="7625"/>
    <n v="20"/>
    <x v="1319"/>
    <x v="1384"/>
    <x v="2"/>
  </r>
  <r>
    <d v="2022-04-21T00:00:00"/>
    <x v="0"/>
    <x v="2"/>
    <x v="1"/>
    <x v="1336"/>
    <n v="1769"/>
    <n v="20"/>
    <x v="1320"/>
    <x v="1385"/>
    <x v="1"/>
  </r>
  <r>
    <d v="2022-09-08T00:00:00"/>
    <x v="0"/>
    <x v="1"/>
    <x v="2"/>
    <x v="1337"/>
    <n v="11192"/>
    <n v="20"/>
    <x v="1321"/>
    <x v="1386"/>
    <x v="1"/>
  </r>
  <r>
    <d v="2023-01-18T00:00:00"/>
    <x v="3"/>
    <x v="3"/>
    <x v="0"/>
    <x v="1338"/>
    <n v="11497"/>
    <n v="15"/>
    <x v="1322"/>
    <x v="1387"/>
    <x v="2"/>
  </r>
  <r>
    <d v="2022-01-07T00:00:00"/>
    <x v="2"/>
    <x v="1"/>
    <x v="1"/>
    <x v="1339"/>
    <n v="3674"/>
    <n v="0"/>
    <x v="1323"/>
    <x v="1388"/>
    <x v="1"/>
  </r>
  <r>
    <d v="2023-04-04T00:00:00"/>
    <x v="1"/>
    <x v="3"/>
    <x v="3"/>
    <x v="1340"/>
    <n v="9147"/>
    <n v="15"/>
    <x v="1324"/>
    <x v="1389"/>
    <x v="2"/>
  </r>
  <r>
    <d v="2022-07-27T00:00:00"/>
    <x v="1"/>
    <x v="3"/>
    <x v="0"/>
    <x v="1341"/>
    <n v="11260"/>
    <n v="20"/>
    <x v="1325"/>
    <x v="1390"/>
    <x v="1"/>
  </r>
  <r>
    <d v="2024-06-18T00:00:00"/>
    <x v="2"/>
    <x v="2"/>
    <x v="3"/>
    <x v="513"/>
    <n v="8534"/>
    <n v="10"/>
    <x v="1326"/>
    <x v="1391"/>
    <x v="0"/>
  </r>
  <r>
    <d v="2022-01-22T00:00:00"/>
    <x v="0"/>
    <x v="1"/>
    <x v="2"/>
    <x v="1244"/>
    <n v="10803"/>
    <n v="15"/>
    <x v="1327"/>
    <x v="1392"/>
    <x v="1"/>
  </r>
  <r>
    <d v="2023-02-14T00:00:00"/>
    <x v="1"/>
    <x v="0"/>
    <x v="2"/>
    <x v="1342"/>
    <n v="8223"/>
    <n v="20"/>
    <x v="315"/>
    <x v="1393"/>
    <x v="2"/>
  </r>
  <r>
    <d v="2024-06-13T00:00:00"/>
    <x v="1"/>
    <x v="2"/>
    <x v="3"/>
    <x v="1343"/>
    <n v="5422"/>
    <n v="20"/>
    <x v="1328"/>
    <x v="1394"/>
    <x v="0"/>
  </r>
  <r>
    <d v="2023-05-30T00:00:00"/>
    <x v="2"/>
    <x v="2"/>
    <x v="3"/>
    <x v="557"/>
    <n v="10152"/>
    <n v="0"/>
    <x v="736"/>
    <x v="1395"/>
    <x v="2"/>
  </r>
  <r>
    <d v="2024-03-19T00:00:00"/>
    <x v="1"/>
    <x v="3"/>
    <x v="0"/>
    <x v="1344"/>
    <n v="5687"/>
    <n v="5"/>
    <x v="1329"/>
    <x v="1396"/>
    <x v="0"/>
  </r>
  <r>
    <d v="2024-05-23T00:00:00"/>
    <x v="0"/>
    <x v="0"/>
    <x v="3"/>
    <x v="1345"/>
    <n v="7931"/>
    <n v="15"/>
    <x v="1330"/>
    <x v="1397"/>
    <x v="0"/>
  </r>
  <r>
    <d v="2022-01-14T00:00:00"/>
    <x v="2"/>
    <x v="1"/>
    <x v="1"/>
    <x v="1346"/>
    <n v="7526"/>
    <n v="15"/>
    <x v="1331"/>
    <x v="1398"/>
    <x v="1"/>
  </r>
  <r>
    <d v="2024-08-28T00:00:00"/>
    <x v="0"/>
    <x v="0"/>
    <x v="1"/>
    <x v="1347"/>
    <n v="5408"/>
    <n v="15"/>
    <x v="1332"/>
    <x v="1399"/>
    <x v="0"/>
  </r>
  <r>
    <d v="2024-09-04T00:00:00"/>
    <x v="1"/>
    <x v="0"/>
    <x v="3"/>
    <x v="1348"/>
    <n v="2524"/>
    <n v="20"/>
    <x v="1333"/>
    <x v="1400"/>
    <x v="0"/>
  </r>
  <r>
    <d v="2024-10-10T00:00:00"/>
    <x v="1"/>
    <x v="0"/>
    <x v="1"/>
    <x v="36"/>
    <n v="2410"/>
    <n v="0"/>
    <x v="1334"/>
    <x v="1401"/>
    <x v="0"/>
  </r>
  <r>
    <d v="2024-11-01T00:00:00"/>
    <x v="0"/>
    <x v="0"/>
    <x v="3"/>
    <x v="1349"/>
    <n v="1257"/>
    <n v="20"/>
    <x v="1335"/>
    <x v="1402"/>
    <x v="0"/>
  </r>
  <r>
    <d v="2022-03-28T00:00:00"/>
    <x v="3"/>
    <x v="0"/>
    <x v="0"/>
    <x v="1350"/>
    <n v="7446"/>
    <n v="20"/>
    <x v="1336"/>
    <x v="1403"/>
    <x v="1"/>
  </r>
  <r>
    <d v="2024-06-27T00:00:00"/>
    <x v="1"/>
    <x v="3"/>
    <x v="1"/>
    <x v="141"/>
    <n v="860"/>
    <n v="10"/>
    <x v="1337"/>
    <x v="1404"/>
    <x v="0"/>
  </r>
  <r>
    <d v="2022-05-02T00:00:00"/>
    <x v="3"/>
    <x v="3"/>
    <x v="1"/>
    <x v="1351"/>
    <n v="9822"/>
    <n v="0"/>
    <x v="1338"/>
    <x v="1405"/>
    <x v="1"/>
  </r>
  <r>
    <d v="2024-01-20T00:00:00"/>
    <x v="1"/>
    <x v="2"/>
    <x v="3"/>
    <x v="1352"/>
    <n v="7713"/>
    <n v="15"/>
    <x v="1339"/>
    <x v="1406"/>
    <x v="0"/>
  </r>
  <r>
    <d v="2023-11-16T00:00:00"/>
    <x v="3"/>
    <x v="3"/>
    <x v="1"/>
    <x v="1353"/>
    <n v="1612"/>
    <n v="5"/>
    <x v="1340"/>
    <x v="1407"/>
    <x v="2"/>
  </r>
  <r>
    <d v="2022-11-05T00:00:00"/>
    <x v="3"/>
    <x v="2"/>
    <x v="2"/>
    <x v="1354"/>
    <n v="2121"/>
    <n v="15"/>
    <x v="1341"/>
    <x v="1408"/>
    <x v="1"/>
  </r>
  <r>
    <d v="2023-11-26T00:00:00"/>
    <x v="3"/>
    <x v="2"/>
    <x v="0"/>
    <x v="1355"/>
    <n v="11494"/>
    <n v="20"/>
    <x v="1342"/>
    <x v="1409"/>
    <x v="2"/>
  </r>
  <r>
    <d v="2022-10-15T00:00:00"/>
    <x v="0"/>
    <x v="1"/>
    <x v="0"/>
    <x v="1356"/>
    <n v="11895"/>
    <n v="0"/>
    <x v="1343"/>
    <x v="1410"/>
    <x v="1"/>
  </r>
  <r>
    <d v="2022-11-03T00:00:00"/>
    <x v="3"/>
    <x v="0"/>
    <x v="1"/>
    <x v="1357"/>
    <n v="5946"/>
    <n v="0"/>
    <x v="1344"/>
    <x v="1411"/>
    <x v="1"/>
  </r>
  <r>
    <d v="2024-07-02T00:00:00"/>
    <x v="3"/>
    <x v="3"/>
    <x v="1"/>
    <x v="1358"/>
    <n v="5245"/>
    <n v="0"/>
    <x v="1345"/>
    <x v="1412"/>
    <x v="0"/>
  </r>
  <r>
    <d v="2023-10-24T00:00:00"/>
    <x v="3"/>
    <x v="1"/>
    <x v="2"/>
    <x v="1359"/>
    <n v="5674"/>
    <n v="10"/>
    <x v="1346"/>
    <x v="1413"/>
    <x v="2"/>
  </r>
  <r>
    <d v="2023-07-03T00:00:00"/>
    <x v="1"/>
    <x v="3"/>
    <x v="2"/>
    <x v="1360"/>
    <n v="2951"/>
    <n v="15"/>
    <x v="1347"/>
    <x v="1414"/>
    <x v="2"/>
  </r>
  <r>
    <d v="2022-11-08T00:00:00"/>
    <x v="3"/>
    <x v="2"/>
    <x v="1"/>
    <x v="1361"/>
    <n v="10306"/>
    <n v="10"/>
    <x v="1348"/>
    <x v="1415"/>
    <x v="1"/>
  </r>
  <r>
    <d v="2024-05-22T00:00:00"/>
    <x v="1"/>
    <x v="3"/>
    <x v="1"/>
    <x v="1169"/>
    <n v="10233"/>
    <n v="5"/>
    <x v="1349"/>
    <x v="1416"/>
    <x v="0"/>
  </r>
  <r>
    <d v="2024-12-18T00:00:00"/>
    <x v="3"/>
    <x v="0"/>
    <x v="2"/>
    <x v="1362"/>
    <n v="5001"/>
    <n v="20"/>
    <x v="1350"/>
    <x v="1417"/>
    <x v="0"/>
  </r>
  <r>
    <d v="2024-07-12T00:00:00"/>
    <x v="3"/>
    <x v="2"/>
    <x v="3"/>
    <x v="1363"/>
    <n v="3177"/>
    <n v="10"/>
    <x v="1351"/>
    <x v="1418"/>
    <x v="0"/>
  </r>
  <r>
    <d v="2024-01-25T00:00:00"/>
    <x v="0"/>
    <x v="2"/>
    <x v="2"/>
    <x v="80"/>
    <n v="5882"/>
    <n v="10"/>
    <x v="596"/>
    <x v="1419"/>
    <x v="0"/>
  </r>
  <r>
    <d v="2022-02-04T00:00:00"/>
    <x v="1"/>
    <x v="1"/>
    <x v="3"/>
    <x v="1364"/>
    <n v="11762"/>
    <n v="20"/>
    <x v="1352"/>
    <x v="1420"/>
    <x v="1"/>
  </r>
  <r>
    <d v="2023-03-21T00:00:00"/>
    <x v="3"/>
    <x v="0"/>
    <x v="0"/>
    <x v="1365"/>
    <n v="5690"/>
    <n v="0"/>
    <x v="1353"/>
    <x v="1421"/>
    <x v="2"/>
  </r>
  <r>
    <d v="2022-04-03T00:00:00"/>
    <x v="1"/>
    <x v="2"/>
    <x v="0"/>
    <x v="1366"/>
    <n v="4383"/>
    <n v="20"/>
    <x v="1354"/>
    <x v="1422"/>
    <x v="1"/>
  </r>
  <r>
    <d v="2022-12-19T00:00:00"/>
    <x v="1"/>
    <x v="0"/>
    <x v="2"/>
    <x v="1367"/>
    <n v="1045"/>
    <n v="15"/>
    <x v="1355"/>
    <x v="1423"/>
    <x v="1"/>
  </r>
  <r>
    <d v="2024-06-21T00:00:00"/>
    <x v="2"/>
    <x v="3"/>
    <x v="3"/>
    <x v="1368"/>
    <n v="9049"/>
    <n v="20"/>
    <x v="1356"/>
    <x v="1424"/>
    <x v="0"/>
  </r>
  <r>
    <d v="2024-05-11T00:00:00"/>
    <x v="0"/>
    <x v="0"/>
    <x v="2"/>
    <x v="1369"/>
    <n v="11793"/>
    <n v="0"/>
    <x v="1357"/>
    <x v="1425"/>
    <x v="0"/>
  </r>
  <r>
    <d v="2022-06-08T00:00:00"/>
    <x v="0"/>
    <x v="2"/>
    <x v="2"/>
    <x v="1370"/>
    <n v="1241"/>
    <n v="20"/>
    <x v="1358"/>
    <x v="1426"/>
    <x v="1"/>
  </r>
  <r>
    <d v="2024-08-14T00:00:00"/>
    <x v="0"/>
    <x v="1"/>
    <x v="3"/>
    <x v="1371"/>
    <n v="4323"/>
    <n v="10"/>
    <x v="1359"/>
    <x v="1427"/>
    <x v="0"/>
  </r>
  <r>
    <d v="2022-01-24T00:00:00"/>
    <x v="2"/>
    <x v="2"/>
    <x v="2"/>
    <x v="1372"/>
    <n v="2596"/>
    <n v="5"/>
    <x v="1360"/>
    <x v="1428"/>
    <x v="1"/>
  </r>
  <r>
    <d v="2023-02-08T00:00:00"/>
    <x v="2"/>
    <x v="0"/>
    <x v="0"/>
    <x v="1373"/>
    <n v="1239"/>
    <n v="10"/>
    <x v="728"/>
    <x v="1429"/>
    <x v="2"/>
  </r>
  <r>
    <d v="2024-03-15T00:00:00"/>
    <x v="0"/>
    <x v="0"/>
    <x v="1"/>
    <x v="1374"/>
    <n v="1910"/>
    <n v="5"/>
    <x v="1361"/>
    <x v="1430"/>
    <x v="0"/>
  </r>
  <r>
    <d v="2023-05-31T00:00:00"/>
    <x v="2"/>
    <x v="2"/>
    <x v="1"/>
    <x v="1375"/>
    <n v="6600"/>
    <n v="20"/>
    <x v="1362"/>
    <x v="1431"/>
    <x v="2"/>
  </r>
  <r>
    <d v="2024-01-02T00:00:00"/>
    <x v="2"/>
    <x v="0"/>
    <x v="2"/>
    <x v="1376"/>
    <n v="2025"/>
    <n v="15"/>
    <x v="1363"/>
    <x v="1432"/>
    <x v="0"/>
  </r>
  <r>
    <d v="2023-06-16T00:00:00"/>
    <x v="2"/>
    <x v="3"/>
    <x v="3"/>
    <x v="1377"/>
    <n v="9476"/>
    <n v="20"/>
    <x v="1364"/>
    <x v="1433"/>
    <x v="2"/>
  </r>
  <r>
    <d v="2024-08-13T00:00:00"/>
    <x v="0"/>
    <x v="2"/>
    <x v="3"/>
    <x v="1378"/>
    <n v="10079"/>
    <n v="0"/>
    <x v="1365"/>
    <x v="1434"/>
    <x v="0"/>
  </r>
  <r>
    <d v="2022-06-01T00:00:00"/>
    <x v="0"/>
    <x v="1"/>
    <x v="0"/>
    <x v="1379"/>
    <n v="9828"/>
    <n v="20"/>
    <x v="1366"/>
    <x v="1435"/>
    <x v="1"/>
  </r>
  <r>
    <d v="2024-08-04T00:00:00"/>
    <x v="0"/>
    <x v="2"/>
    <x v="3"/>
    <x v="1380"/>
    <n v="11629"/>
    <n v="5"/>
    <x v="1367"/>
    <x v="1436"/>
    <x v="0"/>
  </r>
  <r>
    <d v="2023-08-31T00:00:00"/>
    <x v="2"/>
    <x v="3"/>
    <x v="3"/>
    <x v="1381"/>
    <n v="9153"/>
    <n v="10"/>
    <x v="1368"/>
    <x v="1437"/>
    <x v="2"/>
  </r>
  <r>
    <d v="2023-02-24T00:00:00"/>
    <x v="0"/>
    <x v="3"/>
    <x v="0"/>
    <x v="1382"/>
    <n v="7487"/>
    <n v="15"/>
    <x v="1369"/>
    <x v="1438"/>
    <x v="2"/>
  </r>
  <r>
    <d v="2024-05-15T00:00:00"/>
    <x v="2"/>
    <x v="3"/>
    <x v="2"/>
    <x v="1383"/>
    <n v="332"/>
    <n v="20"/>
    <x v="1370"/>
    <x v="1439"/>
    <x v="0"/>
  </r>
  <r>
    <d v="2023-08-01T00:00:00"/>
    <x v="3"/>
    <x v="3"/>
    <x v="1"/>
    <x v="1384"/>
    <n v="6285"/>
    <n v="20"/>
    <x v="1371"/>
    <x v="1440"/>
    <x v="2"/>
  </r>
  <r>
    <d v="2022-12-01T00:00:00"/>
    <x v="2"/>
    <x v="3"/>
    <x v="0"/>
    <x v="1385"/>
    <n v="3714"/>
    <n v="10"/>
    <x v="1372"/>
    <x v="1441"/>
    <x v="1"/>
  </r>
  <r>
    <d v="2024-07-20T00:00:00"/>
    <x v="1"/>
    <x v="1"/>
    <x v="2"/>
    <x v="1386"/>
    <n v="1456"/>
    <n v="15"/>
    <x v="1373"/>
    <x v="1442"/>
    <x v="0"/>
  </r>
  <r>
    <d v="2022-10-22T00:00:00"/>
    <x v="0"/>
    <x v="0"/>
    <x v="0"/>
    <x v="1387"/>
    <n v="3426"/>
    <n v="20"/>
    <x v="1374"/>
    <x v="1443"/>
    <x v="1"/>
  </r>
  <r>
    <d v="2024-01-25T00:00:00"/>
    <x v="0"/>
    <x v="3"/>
    <x v="2"/>
    <x v="1388"/>
    <n v="8552"/>
    <n v="20"/>
    <x v="1375"/>
    <x v="1444"/>
    <x v="0"/>
  </r>
  <r>
    <d v="2022-07-05T00:00:00"/>
    <x v="1"/>
    <x v="3"/>
    <x v="0"/>
    <x v="659"/>
    <n v="1843"/>
    <n v="5"/>
    <x v="1376"/>
    <x v="1445"/>
    <x v="1"/>
  </r>
  <r>
    <d v="2023-09-29T00:00:00"/>
    <x v="2"/>
    <x v="2"/>
    <x v="2"/>
    <x v="1389"/>
    <n v="571"/>
    <n v="5"/>
    <x v="1377"/>
    <x v="1446"/>
    <x v="2"/>
  </r>
  <r>
    <d v="2023-06-14T00:00:00"/>
    <x v="3"/>
    <x v="1"/>
    <x v="0"/>
    <x v="1390"/>
    <n v="5595"/>
    <n v="0"/>
    <x v="1378"/>
    <x v="1447"/>
    <x v="2"/>
  </r>
  <r>
    <d v="2022-01-21T00:00:00"/>
    <x v="1"/>
    <x v="1"/>
    <x v="2"/>
    <x v="1165"/>
    <n v="4376"/>
    <n v="10"/>
    <x v="1379"/>
    <x v="1448"/>
    <x v="1"/>
  </r>
  <r>
    <d v="2024-06-29T00:00:00"/>
    <x v="1"/>
    <x v="0"/>
    <x v="0"/>
    <x v="487"/>
    <n v="11880"/>
    <n v="15"/>
    <x v="1380"/>
    <x v="1449"/>
    <x v="0"/>
  </r>
  <r>
    <d v="2024-05-16T00:00:00"/>
    <x v="2"/>
    <x v="1"/>
    <x v="1"/>
    <x v="1391"/>
    <n v="6202"/>
    <n v="20"/>
    <x v="1381"/>
    <x v="1450"/>
    <x v="0"/>
  </r>
  <r>
    <d v="2024-03-04T00:00:00"/>
    <x v="0"/>
    <x v="2"/>
    <x v="1"/>
    <x v="1013"/>
    <n v="11244"/>
    <n v="20"/>
    <x v="1382"/>
    <x v="1451"/>
    <x v="0"/>
  </r>
  <r>
    <d v="2022-04-10T00:00:00"/>
    <x v="2"/>
    <x v="2"/>
    <x v="3"/>
    <x v="1329"/>
    <n v="3009"/>
    <n v="0"/>
    <x v="1383"/>
    <x v="1452"/>
    <x v="1"/>
  </r>
  <r>
    <d v="2024-01-22T00:00:00"/>
    <x v="1"/>
    <x v="0"/>
    <x v="2"/>
    <x v="1392"/>
    <n v="9646"/>
    <n v="20"/>
    <x v="1384"/>
    <x v="1453"/>
    <x v="0"/>
  </r>
  <r>
    <d v="2023-04-23T00:00:00"/>
    <x v="1"/>
    <x v="2"/>
    <x v="0"/>
    <x v="1393"/>
    <n v="5521"/>
    <n v="10"/>
    <x v="1385"/>
    <x v="1454"/>
    <x v="2"/>
  </r>
  <r>
    <d v="2024-07-28T00:00:00"/>
    <x v="0"/>
    <x v="3"/>
    <x v="2"/>
    <x v="1394"/>
    <n v="10237"/>
    <n v="0"/>
    <x v="1386"/>
    <x v="1455"/>
    <x v="0"/>
  </r>
  <r>
    <d v="2023-06-10T00:00:00"/>
    <x v="0"/>
    <x v="3"/>
    <x v="1"/>
    <x v="1395"/>
    <n v="11924"/>
    <n v="10"/>
    <x v="1387"/>
    <x v="1456"/>
    <x v="2"/>
  </r>
  <r>
    <d v="2022-11-30T00:00:00"/>
    <x v="0"/>
    <x v="2"/>
    <x v="2"/>
    <x v="1396"/>
    <n v="8829"/>
    <n v="0"/>
    <x v="1388"/>
    <x v="1457"/>
    <x v="1"/>
  </r>
  <r>
    <d v="2022-01-02T00:00:00"/>
    <x v="2"/>
    <x v="0"/>
    <x v="0"/>
    <x v="1397"/>
    <n v="7022"/>
    <n v="20"/>
    <x v="1389"/>
    <x v="1458"/>
    <x v="1"/>
  </r>
  <r>
    <d v="2023-01-10T00:00:00"/>
    <x v="0"/>
    <x v="1"/>
    <x v="2"/>
    <x v="1398"/>
    <n v="8501"/>
    <n v="0"/>
    <x v="1390"/>
    <x v="1459"/>
    <x v="2"/>
  </r>
  <r>
    <d v="2022-10-20T00:00:00"/>
    <x v="1"/>
    <x v="0"/>
    <x v="0"/>
    <x v="1399"/>
    <n v="4444"/>
    <n v="5"/>
    <x v="1391"/>
    <x v="1460"/>
    <x v="1"/>
  </r>
  <r>
    <d v="2024-04-16T00:00:00"/>
    <x v="1"/>
    <x v="1"/>
    <x v="1"/>
    <x v="1400"/>
    <n v="5906"/>
    <n v="15"/>
    <x v="1392"/>
    <x v="1461"/>
    <x v="0"/>
  </r>
  <r>
    <d v="2024-10-01T00:00:00"/>
    <x v="3"/>
    <x v="2"/>
    <x v="1"/>
    <x v="1401"/>
    <n v="7066"/>
    <n v="20"/>
    <x v="1393"/>
    <x v="1462"/>
    <x v="0"/>
  </r>
  <r>
    <d v="2023-07-07T00:00:00"/>
    <x v="2"/>
    <x v="2"/>
    <x v="1"/>
    <x v="1402"/>
    <n v="1030"/>
    <n v="15"/>
    <x v="1394"/>
    <x v="1463"/>
    <x v="2"/>
  </r>
  <r>
    <d v="2022-11-14T00:00:00"/>
    <x v="3"/>
    <x v="3"/>
    <x v="3"/>
    <x v="1403"/>
    <n v="5190"/>
    <n v="20"/>
    <x v="1395"/>
    <x v="1464"/>
    <x v="1"/>
  </r>
  <r>
    <d v="2023-01-16T00:00:00"/>
    <x v="1"/>
    <x v="1"/>
    <x v="1"/>
    <x v="1404"/>
    <n v="1948"/>
    <n v="15"/>
    <x v="1396"/>
    <x v="1465"/>
    <x v="2"/>
  </r>
  <r>
    <d v="2022-01-14T00:00:00"/>
    <x v="3"/>
    <x v="0"/>
    <x v="2"/>
    <x v="1405"/>
    <n v="4528"/>
    <n v="5"/>
    <x v="1099"/>
    <x v="1466"/>
    <x v="1"/>
  </r>
  <r>
    <d v="2023-05-19T00:00:00"/>
    <x v="1"/>
    <x v="2"/>
    <x v="3"/>
    <x v="1406"/>
    <n v="2430"/>
    <n v="15"/>
    <x v="1397"/>
    <x v="1467"/>
    <x v="2"/>
  </r>
  <r>
    <d v="2022-08-19T00:00:00"/>
    <x v="3"/>
    <x v="0"/>
    <x v="1"/>
    <x v="1407"/>
    <n v="10888"/>
    <n v="0"/>
    <x v="1398"/>
    <x v="1468"/>
    <x v="1"/>
  </r>
  <r>
    <d v="2022-05-10T00:00:00"/>
    <x v="0"/>
    <x v="3"/>
    <x v="2"/>
    <x v="1408"/>
    <n v="4666"/>
    <n v="15"/>
    <x v="1399"/>
    <x v="1469"/>
    <x v="1"/>
  </r>
  <r>
    <d v="2024-04-17T00:00:00"/>
    <x v="3"/>
    <x v="1"/>
    <x v="2"/>
    <x v="1409"/>
    <n v="1806"/>
    <n v="20"/>
    <x v="1400"/>
    <x v="1470"/>
    <x v="0"/>
  </r>
  <r>
    <d v="2024-06-09T00:00:00"/>
    <x v="0"/>
    <x v="1"/>
    <x v="2"/>
    <x v="1410"/>
    <n v="2458"/>
    <n v="10"/>
    <x v="1401"/>
    <x v="1471"/>
    <x v="0"/>
  </r>
  <r>
    <d v="2022-01-28T00:00:00"/>
    <x v="0"/>
    <x v="2"/>
    <x v="0"/>
    <x v="1411"/>
    <n v="3216"/>
    <n v="15"/>
    <x v="1402"/>
    <x v="1472"/>
    <x v="1"/>
  </r>
  <r>
    <d v="2022-03-07T00:00:00"/>
    <x v="2"/>
    <x v="1"/>
    <x v="3"/>
    <x v="1154"/>
    <n v="3529"/>
    <n v="15"/>
    <x v="1403"/>
    <x v="1473"/>
    <x v="1"/>
  </r>
  <r>
    <d v="2022-09-18T00:00:00"/>
    <x v="0"/>
    <x v="2"/>
    <x v="2"/>
    <x v="1412"/>
    <n v="10158"/>
    <n v="15"/>
    <x v="1404"/>
    <x v="1474"/>
    <x v="1"/>
  </r>
  <r>
    <d v="2023-04-05T00:00:00"/>
    <x v="0"/>
    <x v="3"/>
    <x v="0"/>
    <x v="1413"/>
    <n v="6565"/>
    <n v="20"/>
    <x v="1405"/>
    <x v="1475"/>
    <x v="2"/>
  </r>
  <r>
    <d v="2022-10-28T00:00:00"/>
    <x v="3"/>
    <x v="1"/>
    <x v="1"/>
    <x v="1414"/>
    <n v="4436"/>
    <n v="15"/>
    <x v="1406"/>
    <x v="1476"/>
    <x v="1"/>
  </r>
  <r>
    <d v="2024-07-07T00:00:00"/>
    <x v="1"/>
    <x v="2"/>
    <x v="2"/>
    <x v="1415"/>
    <n v="11461"/>
    <n v="20"/>
    <x v="1407"/>
    <x v="1477"/>
    <x v="0"/>
  </r>
  <r>
    <d v="2022-10-14T00:00:00"/>
    <x v="2"/>
    <x v="0"/>
    <x v="0"/>
    <x v="1416"/>
    <n v="2989"/>
    <n v="20"/>
    <x v="1408"/>
    <x v="1478"/>
    <x v="1"/>
  </r>
  <r>
    <d v="2024-10-30T00:00:00"/>
    <x v="0"/>
    <x v="2"/>
    <x v="2"/>
    <x v="1417"/>
    <n v="7490"/>
    <n v="10"/>
    <x v="1409"/>
    <x v="1479"/>
    <x v="0"/>
  </r>
  <r>
    <d v="2023-09-22T00:00:00"/>
    <x v="2"/>
    <x v="1"/>
    <x v="3"/>
    <x v="1418"/>
    <n v="10818"/>
    <n v="0"/>
    <x v="1410"/>
    <x v="1480"/>
    <x v="2"/>
  </r>
  <r>
    <d v="2022-09-27T00:00:00"/>
    <x v="3"/>
    <x v="3"/>
    <x v="3"/>
    <x v="1419"/>
    <n v="3110"/>
    <n v="20"/>
    <x v="1411"/>
    <x v="1481"/>
    <x v="1"/>
  </r>
  <r>
    <d v="2023-08-15T00:00:00"/>
    <x v="0"/>
    <x v="1"/>
    <x v="1"/>
    <x v="1420"/>
    <n v="11008"/>
    <n v="5"/>
    <x v="1412"/>
    <x v="1482"/>
    <x v="2"/>
  </r>
  <r>
    <d v="2024-04-23T00:00:00"/>
    <x v="3"/>
    <x v="1"/>
    <x v="2"/>
    <x v="1421"/>
    <n v="11963"/>
    <n v="15"/>
    <x v="1413"/>
    <x v="1483"/>
    <x v="0"/>
  </r>
  <r>
    <d v="2024-05-11T00:00:00"/>
    <x v="2"/>
    <x v="2"/>
    <x v="0"/>
    <x v="1422"/>
    <n v="6452"/>
    <n v="5"/>
    <x v="1414"/>
    <x v="1484"/>
    <x v="0"/>
  </r>
  <r>
    <d v="2022-05-13T00:00:00"/>
    <x v="3"/>
    <x v="0"/>
    <x v="1"/>
    <x v="1423"/>
    <n v="312"/>
    <n v="15"/>
    <x v="1415"/>
    <x v="1485"/>
    <x v="1"/>
  </r>
  <r>
    <d v="2024-08-29T00:00:00"/>
    <x v="2"/>
    <x v="1"/>
    <x v="2"/>
    <x v="1424"/>
    <n v="11462"/>
    <n v="10"/>
    <x v="1416"/>
    <x v="1486"/>
    <x v="0"/>
  </r>
  <r>
    <d v="2023-05-28T00:00:00"/>
    <x v="3"/>
    <x v="0"/>
    <x v="1"/>
    <x v="1425"/>
    <n v="6238"/>
    <n v="20"/>
    <x v="1417"/>
    <x v="1487"/>
    <x v="2"/>
  </r>
  <r>
    <d v="2022-11-09T00:00:00"/>
    <x v="2"/>
    <x v="2"/>
    <x v="0"/>
    <x v="1426"/>
    <n v="8299"/>
    <n v="0"/>
    <x v="1418"/>
    <x v="1488"/>
    <x v="1"/>
  </r>
  <r>
    <d v="2023-07-30T00:00:00"/>
    <x v="1"/>
    <x v="0"/>
    <x v="1"/>
    <x v="1427"/>
    <n v="7519"/>
    <n v="20"/>
    <x v="1419"/>
    <x v="1489"/>
    <x v="2"/>
  </r>
  <r>
    <d v="2024-06-04T00:00:00"/>
    <x v="3"/>
    <x v="2"/>
    <x v="1"/>
    <x v="1428"/>
    <n v="5628"/>
    <n v="15"/>
    <x v="1109"/>
    <x v="1490"/>
    <x v="0"/>
  </r>
  <r>
    <d v="2023-11-18T00:00:00"/>
    <x v="3"/>
    <x v="3"/>
    <x v="1"/>
    <x v="1429"/>
    <n v="3921"/>
    <n v="0"/>
    <x v="278"/>
    <x v="1491"/>
    <x v="2"/>
  </r>
  <r>
    <d v="2022-06-14T00:00:00"/>
    <x v="1"/>
    <x v="0"/>
    <x v="2"/>
    <x v="1430"/>
    <n v="3983"/>
    <n v="20"/>
    <x v="1420"/>
    <x v="1492"/>
    <x v="1"/>
  </r>
  <r>
    <d v="2022-11-01T00:00:00"/>
    <x v="1"/>
    <x v="0"/>
    <x v="0"/>
    <x v="1431"/>
    <n v="8172"/>
    <n v="0"/>
    <x v="1421"/>
    <x v="1493"/>
    <x v="1"/>
  </r>
  <r>
    <d v="2022-06-05T00:00:00"/>
    <x v="3"/>
    <x v="3"/>
    <x v="3"/>
    <x v="1432"/>
    <n v="11965"/>
    <n v="15"/>
    <x v="1422"/>
    <x v="1494"/>
    <x v="1"/>
  </r>
  <r>
    <d v="2023-09-12T00:00:00"/>
    <x v="1"/>
    <x v="0"/>
    <x v="2"/>
    <x v="1433"/>
    <n v="5610"/>
    <n v="10"/>
    <x v="1423"/>
    <x v="1495"/>
    <x v="2"/>
  </r>
  <r>
    <d v="2024-08-14T00:00:00"/>
    <x v="0"/>
    <x v="3"/>
    <x v="3"/>
    <x v="1434"/>
    <n v="11614"/>
    <n v="10"/>
    <x v="1424"/>
    <x v="1496"/>
    <x v="0"/>
  </r>
  <r>
    <d v="2022-11-30T00:00:00"/>
    <x v="2"/>
    <x v="1"/>
    <x v="3"/>
    <x v="1435"/>
    <n v="11956"/>
    <n v="20"/>
    <x v="1425"/>
    <x v="1497"/>
    <x v="1"/>
  </r>
  <r>
    <d v="2024-08-26T00:00:00"/>
    <x v="2"/>
    <x v="2"/>
    <x v="2"/>
    <x v="1436"/>
    <n v="952"/>
    <n v="5"/>
    <x v="1426"/>
    <x v="1498"/>
    <x v="0"/>
  </r>
  <r>
    <d v="2023-05-26T00:00:00"/>
    <x v="2"/>
    <x v="3"/>
    <x v="2"/>
    <x v="1437"/>
    <n v="6099"/>
    <n v="15"/>
    <x v="1427"/>
    <x v="1499"/>
    <x v="2"/>
  </r>
  <r>
    <d v="2024-11-09T00:00:00"/>
    <x v="0"/>
    <x v="0"/>
    <x v="0"/>
    <x v="1438"/>
    <n v="9112"/>
    <n v="20"/>
    <x v="1428"/>
    <x v="1500"/>
    <x v="0"/>
  </r>
  <r>
    <d v="2022-10-09T00:00:00"/>
    <x v="1"/>
    <x v="3"/>
    <x v="0"/>
    <x v="1439"/>
    <n v="4090"/>
    <n v="20"/>
    <x v="1429"/>
    <x v="1501"/>
    <x v="1"/>
  </r>
  <r>
    <d v="2024-03-07T00:00:00"/>
    <x v="1"/>
    <x v="0"/>
    <x v="1"/>
    <x v="1440"/>
    <n v="1945"/>
    <n v="10"/>
    <x v="1430"/>
    <x v="1502"/>
    <x v="0"/>
  </r>
  <r>
    <d v="2024-10-21T00:00:00"/>
    <x v="3"/>
    <x v="1"/>
    <x v="3"/>
    <x v="1441"/>
    <n v="10735"/>
    <n v="0"/>
    <x v="1431"/>
    <x v="1503"/>
    <x v="0"/>
  </r>
  <r>
    <d v="2022-04-29T00:00:00"/>
    <x v="1"/>
    <x v="3"/>
    <x v="0"/>
    <x v="1442"/>
    <n v="4812"/>
    <n v="15"/>
    <x v="1432"/>
    <x v="1504"/>
    <x v="1"/>
  </r>
  <r>
    <d v="2024-11-24T00:00:00"/>
    <x v="3"/>
    <x v="1"/>
    <x v="1"/>
    <x v="1443"/>
    <n v="5059"/>
    <n v="0"/>
    <x v="1433"/>
    <x v="1505"/>
    <x v="0"/>
  </r>
  <r>
    <d v="2022-07-17T00:00:00"/>
    <x v="0"/>
    <x v="2"/>
    <x v="0"/>
    <x v="1444"/>
    <n v="11983"/>
    <n v="15"/>
    <x v="1434"/>
    <x v="1506"/>
    <x v="1"/>
  </r>
  <r>
    <d v="2023-04-30T00:00:00"/>
    <x v="2"/>
    <x v="0"/>
    <x v="2"/>
    <x v="1445"/>
    <n v="6174"/>
    <n v="5"/>
    <x v="1435"/>
    <x v="1507"/>
    <x v="2"/>
  </r>
  <r>
    <d v="2024-12-18T00:00:00"/>
    <x v="2"/>
    <x v="0"/>
    <x v="0"/>
    <x v="1446"/>
    <n v="3988"/>
    <n v="10"/>
    <x v="1436"/>
    <x v="1508"/>
    <x v="0"/>
  </r>
  <r>
    <d v="2024-04-16T00:00:00"/>
    <x v="2"/>
    <x v="1"/>
    <x v="3"/>
    <x v="1447"/>
    <n v="7989"/>
    <n v="5"/>
    <x v="1437"/>
    <x v="1509"/>
    <x v="0"/>
  </r>
  <r>
    <d v="2024-10-05T00:00:00"/>
    <x v="1"/>
    <x v="2"/>
    <x v="0"/>
    <x v="1448"/>
    <n v="1679"/>
    <n v="20"/>
    <x v="1438"/>
    <x v="1510"/>
    <x v="0"/>
  </r>
  <r>
    <d v="2023-11-22T00:00:00"/>
    <x v="3"/>
    <x v="3"/>
    <x v="3"/>
    <x v="1449"/>
    <n v="4543"/>
    <n v="10"/>
    <x v="1439"/>
    <x v="1511"/>
    <x v="2"/>
  </r>
  <r>
    <d v="2024-11-01T00:00:00"/>
    <x v="3"/>
    <x v="3"/>
    <x v="2"/>
    <x v="1450"/>
    <n v="10537"/>
    <n v="20"/>
    <x v="1440"/>
    <x v="1512"/>
    <x v="0"/>
  </r>
  <r>
    <d v="2023-05-05T00:00:00"/>
    <x v="0"/>
    <x v="0"/>
    <x v="3"/>
    <x v="1451"/>
    <n v="11540"/>
    <n v="5"/>
    <x v="1441"/>
    <x v="1513"/>
    <x v="2"/>
  </r>
  <r>
    <d v="2022-10-03T00:00:00"/>
    <x v="1"/>
    <x v="1"/>
    <x v="0"/>
    <x v="1452"/>
    <n v="9880"/>
    <n v="15"/>
    <x v="1442"/>
    <x v="1514"/>
    <x v="1"/>
  </r>
  <r>
    <d v="2023-11-24T00:00:00"/>
    <x v="0"/>
    <x v="1"/>
    <x v="1"/>
    <x v="1453"/>
    <n v="6807"/>
    <n v="20"/>
    <x v="1443"/>
    <x v="1515"/>
    <x v="2"/>
  </r>
  <r>
    <d v="2022-08-30T00:00:00"/>
    <x v="3"/>
    <x v="3"/>
    <x v="2"/>
    <x v="1454"/>
    <n v="8119"/>
    <n v="0"/>
    <x v="1444"/>
    <x v="1516"/>
    <x v="1"/>
  </r>
  <r>
    <d v="2022-05-06T00:00:00"/>
    <x v="3"/>
    <x v="2"/>
    <x v="0"/>
    <x v="1455"/>
    <n v="8893"/>
    <n v="15"/>
    <x v="1445"/>
    <x v="1517"/>
    <x v="1"/>
  </r>
  <r>
    <d v="2022-08-05T00:00:00"/>
    <x v="2"/>
    <x v="2"/>
    <x v="2"/>
    <x v="1456"/>
    <n v="2953"/>
    <n v="15"/>
    <x v="1446"/>
    <x v="1518"/>
    <x v="1"/>
  </r>
  <r>
    <d v="2024-11-28T00:00:00"/>
    <x v="1"/>
    <x v="3"/>
    <x v="2"/>
    <x v="576"/>
    <n v="5911"/>
    <n v="5"/>
    <x v="1447"/>
    <x v="1519"/>
    <x v="0"/>
  </r>
  <r>
    <d v="2023-05-10T00:00:00"/>
    <x v="3"/>
    <x v="3"/>
    <x v="0"/>
    <x v="1457"/>
    <n v="6427"/>
    <n v="5"/>
    <x v="1448"/>
    <x v="1520"/>
    <x v="2"/>
  </r>
  <r>
    <d v="2023-03-03T00:00:00"/>
    <x v="2"/>
    <x v="1"/>
    <x v="0"/>
    <x v="1458"/>
    <n v="4223"/>
    <n v="10"/>
    <x v="1449"/>
    <x v="1521"/>
    <x v="2"/>
  </r>
  <r>
    <d v="2024-07-07T00:00:00"/>
    <x v="1"/>
    <x v="2"/>
    <x v="1"/>
    <x v="1459"/>
    <n v="8759"/>
    <n v="10"/>
    <x v="1450"/>
    <x v="1522"/>
    <x v="0"/>
  </r>
  <r>
    <d v="2022-05-31T00:00:00"/>
    <x v="0"/>
    <x v="3"/>
    <x v="2"/>
    <x v="1460"/>
    <n v="6212"/>
    <n v="0"/>
    <x v="1451"/>
    <x v="1523"/>
    <x v="1"/>
  </r>
  <r>
    <d v="2023-01-19T00:00:00"/>
    <x v="1"/>
    <x v="3"/>
    <x v="2"/>
    <x v="1461"/>
    <n v="5430"/>
    <n v="15"/>
    <x v="1452"/>
    <x v="1524"/>
    <x v="2"/>
  </r>
  <r>
    <d v="2022-11-04T00:00:00"/>
    <x v="1"/>
    <x v="0"/>
    <x v="0"/>
    <x v="1462"/>
    <n v="5739"/>
    <n v="0"/>
    <x v="1453"/>
    <x v="1525"/>
    <x v="1"/>
  </r>
  <r>
    <d v="2024-01-16T00:00:00"/>
    <x v="3"/>
    <x v="3"/>
    <x v="3"/>
    <x v="1463"/>
    <n v="8180"/>
    <n v="0"/>
    <x v="1454"/>
    <x v="1526"/>
    <x v="0"/>
  </r>
  <r>
    <d v="2024-06-10T00:00:00"/>
    <x v="3"/>
    <x v="3"/>
    <x v="0"/>
    <x v="1464"/>
    <n v="6749"/>
    <n v="5"/>
    <x v="1455"/>
    <x v="1527"/>
    <x v="0"/>
  </r>
  <r>
    <d v="2023-01-10T00:00:00"/>
    <x v="1"/>
    <x v="2"/>
    <x v="2"/>
    <x v="1465"/>
    <n v="2025"/>
    <n v="0"/>
    <x v="1456"/>
    <x v="1528"/>
    <x v="2"/>
  </r>
  <r>
    <d v="2024-10-28T00:00:00"/>
    <x v="3"/>
    <x v="1"/>
    <x v="0"/>
    <x v="1466"/>
    <n v="9604"/>
    <n v="0"/>
    <x v="1457"/>
    <x v="1529"/>
    <x v="0"/>
  </r>
  <r>
    <d v="2022-05-09T00:00:00"/>
    <x v="3"/>
    <x v="2"/>
    <x v="1"/>
    <x v="1467"/>
    <n v="7822"/>
    <n v="20"/>
    <x v="1458"/>
    <x v="1530"/>
    <x v="1"/>
  </r>
  <r>
    <d v="2024-10-11T00:00:00"/>
    <x v="3"/>
    <x v="1"/>
    <x v="3"/>
    <x v="1468"/>
    <n v="11167"/>
    <n v="10"/>
    <x v="1459"/>
    <x v="1531"/>
    <x v="0"/>
  </r>
  <r>
    <d v="2023-10-31T00:00:00"/>
    <x v="2"/>
    <x v="0"/>
    <x v="0"/>
    <x v="1469"/>
    <n v="5084"/>
    <n v="10"/>
    <x v="574"/>
    <x v="1532"/>
    <x v="2"/>
  </r>
  <r>
    <d v="2023-06-01T00:00:00"/>
    <x v="2"/>
    <x v="3"/>
    <x v="1"/>
    <x v="1470"/>
    <n v="9772"/>
    <n v="15"/>
    <x v="1460"/>
    <x v="1533"/>
    <x v="2"/>
  </r>
  <r>
    <d v="2022-03-27T00:00:00"/>
    <x v="1"/>
    <x v="0"/>
    <x v="2"/>
    <x v="1471"/>
    <n v="1532"/>
    <n v="10"/>
    <x v="698"/>
    <x v="1534"/>
    <x v="1"/>
  </r>
  <r>
    <d v="2022-11-07T00:00:00"/>
    <x v="3"/>
    <x v="1"/>
    <x v="0"/>
    <x v="1472"/>
    <n v="10355"/>
    <n v="15"/>
    <x v="1461"/>
    <x v="1535"/>
    <x v="1"/>
  </r>
  <r>
    <d v="2023-03-03T00:00:00"/>
    <x v="2"/>
    <x v="2"/>
    <x v="2"/>
    <x v="1473"/>
    <n v="9108"/>
    <n v="20"/>
    <x v="1462"/>
    <x v="1536"/>
    <x v="2"/>
  </r>
  <r>
    <d v="2022-04-24T00:00:00"/>
    <x v="1"/>
    <x v="2"/>
    <x v="1"/>
    <x v="1474"/>
    <n v="8638"/>
    <n v="10"/>
    <x v="1463"/>
    <x v="1537"/>
    <x v="1"/>
  </r>
  <r>
    <d v="2022-10-30T00:00:00"/>
    <x v="3"/>
    <x v="0"/>
    <x v="2"/>
    <x v="1475"/>
    <n v="7746"/>
    <n v="20"/>
    <x v="1464"/>
    <x v="1538"/>
    <x v="1"/>
  </r>
  <r>
    <d v="2024-01-14T00:00:00"/>
    <x v="0"/>
    <x v="1"/>
    <x v="1"/>
    <x v="1476"/>
    <n v="4916"/>
    <n v="10"/>
    <x v="1465"/>
    <x v="1539"/>
    <x v="0"/>
  </r>
  <r>
    <d v="2023-08-11T00:00:00"/>
    <x v="3"/>
    <x v="0"/>
    <x v="1"/>
    <x v="1477"/>
    <n v="5025"/>
    <n v="10"/>
    <x v="1466"/>
    <x v="1540"/>
    <x v="2"/>
  </r>
  <r>
    <d v="2024-09-13T00:00:00"/>
    <x v="3"/>
    <x v="0"/>
    <x v="1"/>
    <x v="1478"/>
    <n v="3977"/>
    <n v="20"/>
    <x v="1467"/>
    <x v="1541"/>
    <x v="0"/>
  </r>
  <r>
    <d v="2022-12-11T00:00:00"/>
    <x v="2"/>
    <x v="3"/>
    <x v="0"/>
    <x v="1479"/>
    <n v="6587"/>
    <n v="0"/>
    <x v="1114"/>
    <x v="1542"/>
    <x v="1"/>
  </r>
  <r>
    <d v="2024-03-24T00:00:00"/>
    <x v="1"/>
    <x v="0"/>
    <x v="2"/>
    <x v="1480"/>
    <n v="8780"/>
    <n v="0"/>
    <x v="1468"/>
    <x v="1543"/>
    <x v="0"/>
  </r>
  <r>
    <d v="2024-03-11T00:00:00"/>
    <x v="1"/>
    <x v="3"/>
    <x v="2"/>
    <x v="1481"/>
    <n v="1709"/>
    <n v="0"/>
    <x v="1469"/>
    <x v="1544"/>
    <x v="0"/>
  </r>
  <r>
    <d v="2024-10-21T00:00:00"/>
    <x v="2"/>
    <x v="3"/>
    <x v="3"/>
    <x v="1482"/>
    <n v="8505"/>
    <n v="0"/>
    <x v="1470"/>
    <x v="1545"/>
    <x v="0"/>
  </r>
  <r>
    <d v="2024-12-12T00:00:00"/>
    <x v="3"/>
    <x v="2"/>
    <x v="3"/>
    <x v="1483"/>
    <n v="556"/>
    <n v="10"/>
    <x v="1471"/>
    <x v="1546"/>
    <x v="0"/>
  </r>
  <r>
    <d v="2024-12-28T00:00:00"/>
    <x v="0"/>
    <x v="3"/>
    <x v="3"/>
    <x v="1484"/>
    <n v="2021"/>
    <n v="5"/>
    <x v="1469"/>
    <x v="1547"/>
    <x v="0"/>
  </r>
  <r>
    <d v="2022-12-27T00:00:00"/>
    <x v="3"/>
    <x v="3"/>
    <x v="3"/>
    <x v="1485"/>
    <n v="1723"/>
    <n v="20"/>
    <x v="1472"/>
    <x v="1548"/>
    <x v="1"/>
  </r>
  <r>
    <d v="2024-10-06T00:00:00"/>
    <x v="3"/>
    <x v="2"/>
    <x v="2"/>
    <x v="1486"/>
    <n v="5253"/>
    <n v="5"/>
    <x v="1473"/>
    <x v="1549"/>
    <x v="0"/>
  </r>
  <r>
    <d v="2023-12-05T00:00:00"/>
    <x v="0"/>
    <x v="0"/>
    <x v="1"/>
    <x v="1487"/>
    <n v="3290"/>
    <n v="5"/>
    <x v="1474"/>
    <x v="1550"/>
    <x v="2"/>
  </r>
  <r>
    <d v="2023-07-29T00:00:00"/>
    <x v="2"/>
    <x v="1"/>
    <x v="1"/>
    <x v="1488"/>
    <n v="1495"/>
    <n v="15"/>
    <x v="1475"/>
    <x v="1551"/>
    <x v="2"/>
  </r>
  <r>
    <d v="2023-11-19T00:00:00"/>
    <x v="1"/>
    <x v="1"/>
    <x v="0"/>
    <x v="1489"/>
    <n v="4859"/>
    <n v="0"/>
    <x v="1476"/>
    <x v="1552"/>
    <x v="2"/>
  </r>
  <r>
    <d v="2024-02-20T00:00:00"/>
    <x v="2"/>
    <x v="1"/>
    <x v="1"/>
    <x v="1327"/>
    <n v="4665"/>
    <n v="10"/>
    <x v="1477"/>
    <x v="1553"/>
    <x v="0"/>
  </r>
  <r>
    <d v="2023-08-08T00:00:00"/>
    <x v="2"/>
    <x v="0"/>
    <x v="2"/>
    <x v="1490"/>
    <n v="1544"/>
    <n v="0"/>
    <x v="1478"/>
    <x v="1554"/>
    <x v="2"/>
  </r>
  <r>
    <d v="2023-08-12T00:00:00"/>
    <x v="3"/>
    <x v="3"/>
    <x v="2"/>
    <x v="1491"/>
    <n v="11715"/>
    <n v="0"/>
    <x v="1479"/>
    <x v="1555"/>
    <x v="2"/>
  </r>
  <r>
    <d v="2023-05-04T00:00:00"/>
    <x v="1"/>
    <x v="1"/>
    <x v="2"/>
    <x v="142"/>
    <n v="7066"/>
    <n v="5"/>
    <x v="1480"/>
    <x v="1556"/>
    <x v="2"/>
  </r>
  <r>
    <d v="2024-08-28T00:00:00"/>
    <x v="1"/>
    <x v="0"/>
    <x v="0"/>
    <x v="1492"/>
    <n v="5602"/>
    <n v="15"/>
    <x v="1481"/>
    <x v="1557"/>
    <x v="0"/>
  </r>
  <r>
    <d v="2023-05-09T00:00:00"/>
    <x v="2"/>
    <x v="3"/>
    <x v="3"/>
    <x v="1493"/>
    <n v="11962"/>
    <n v="0"/>
    <x v="1482"/>
    <x v="1558"/>
    <x v="2"/>
  </r>
  <r>
    <d v="2022-01-19T00:00:00"/>
    <x v="0"/>
    <x v="2"/>
    <x v="1"/>
    <x v="1494"/>
    <n v="1606"/>
    <n v="20"/>
    <x v="1483"/>
    <x v="1559"/>
    <x v="1"/>
  </r>
  <r>
    <d v="2023-02-01T00:00:00"/>
    <x v="2"/>
    <x v="1"/>
    <x v="2"/>
    <x v="1495"/>
    <n v="10613"/>
    <n v="20"/>
    <x v="1484"/>
    <x v="1560"/>
    <x v="2"/>
  </r>
  <r>
    <d v="2024-09-27T00:00:00"/>
    <x v="0"/>
    <x v="3"/>
    <x v="2"/>
    <x v="1496"/>
    <n v="2702"/>
    <n v="0"/>
    <x v="1485"/>
    <x v="1561"/>
    <x v="0"/>
  </r>
  <r>
    <d v="2024-04-30T00:00:00"/>
    <x v="1"/>
    <x v="1"/>
    <x v="3"/>
    <x v="1497"/>
    <n v="796"/>
    <n v="5"/>
    <x v="661"/>
    <x v="1562"/>
    <x v="0"/>
  </r>
  <r>
    <d v="2024-04-01T00:00:00"/>
    <x v="2"/>
    <x v="1"/>
    <x v="2"/>
    <x v="786"/>
    <n v="3699"/>
    <n v="5"/>
    <x v="1278"/>
    <x v="1563"/>
    <x v="0"/>
  </r>
  <r>
    <d v="2023-03-31T00:00:00"/>
    <x v="3"/>
    <x v="1"/>
    <x v="1"/>
    <x v="1498"/>
    <n v="1209"/>
    <n v="10"/>
    <x v="1486"/>
    <x v="1564"/>
    <x v="2"/>
  </r>
  <r>
    <d v="2023-12-26T00:00:00"/>
    <x v="2"/>
    <x v="3"/>
    <x v="0"/>
    <x v="763"/>
    <n v="672"/>
    <n v="15"/>
    <x v="1487"/>
    <x v="1565"/>
    <x v="2"/>
  </r>
  <r>
    <d v="2024-12-24T00:00:00"/>
    <x v="1"/>
    <x v="0"/>
    <x v="2"/>
    <x v="1499"/>
    <n v="6536"/>
    <n v="5"/>
    <x v="1488"/>
    <x v="1566"/>
    <x v="0"/>
  </r>
  <r>
    <d v="2023-12-12T00:00:00"/>
    <x v="3"/>
    <x v="3"/>
    <x v="1"/>
    <x v="1500"/>
    <n v="1644"/>
    <n v="10"/>
    <x v="1489"/>
    <x v="1567"/>
    <x v="2"/>
  </r>
  <r>
    <d v="2022-05-23T00:00:00"/>
    <x v="3"/>
    <x v="1"/>
    <x v="2"/>
    <x v="1501"/>
    <n v="8815"/>
    <n v="20"/>
    <x v="1490"/>
    <x v="1568"/>
    <x v="1"/>
  </r>
  <r>
    <d v="2024-07-05T00:00:00"/>
    <x v="0"/>
    <x v="3"/>
    <x v="3"/>
    <x v="1502"/>
    <n v="2731"/>
    <n v="20"/>
    <x v="1491"/>
    <x v="1569"/>
    <x v="0"/>
  </r>
  <r>
    <d v="2024-04-07T00:00:00"/>
    <x v="3"/>
    <x v="2"/>
    <x v="2"/>
    <x v="174"/>
    <n v="4970"/>
    <n v="20"/>
    <x v="1492"/>
    <x v="1570"/>
    <x v="0"/>
  </r>
  <r>
    <d v="2023-08-28T00:00:00"/>
    <x v="3"/>
    <x v="0"/>
    <x v="2"/>
    <x v="1503"/>
    <n v="3084"/>
    <n v="0"/>
    <x v="1493"/>
    <x v="1571"/>
    <x v="2"/>
  </r>
  <r>
    <d v="2022-11-01T00:00:00"/>
    <x v="2"/>
    <x v="3"/>
    <x v="0"/>
    <x v="1504"/>
    <n v="10885"/>
    <n v="15"/>
    <x v="1494"/>
    <x v="1572"/>
    <x v="1"/>
  </r>
  <r>
    <d v="2024-01-06T00:00:00"/>
    <x v="1"/>
    <x v="2"/>
    <x v="3"/>
    <x v="1505"/>
    <n v="9707"/>
    <n v="10"/>
    <x v="1495"/>
    <x v="1573"/>
    <x v="0"/>
  </r>
  <r>
    <d v="2022-10-18T00:00:00"/>
    <x v="0"/>
    <x v="0"/>
    <x v="3"/>
    <x v="1506"/>
    <n v="1995"/>
    <n v="15"/>
    <x v="1496"/>
    <x v="1574"/>
    <x v="1"/>
  </r>
  <r>
    <d v="2022-04-12T00:00:00"/>
    <x v="2"/>
    <x v="2"/>
    <x v="0"/>
    <x v="1507"/>
    <n v="2207"/>
    <n v="0"/>
    <x v="1497"/>
    <x v="1575"/>
    <x v="1"/>
  </r>
  <r>
    <d v="2024-05-16T00:00:00"/>
    <x v="3"/>
    <x v="0"/>
    <x v="2"/>
    <x v="1508"/>
    <n v="5114"/>
    <n v="10"/>
    <x v="807"/>
    <x v="1576"/>
    <x v="0"/>
  </r>
  <r>
    <d v="2024-08-25T00:00:00"/>
    <x v="3"/>
    <x v="3"/>
    <x v="1"/>
    <x v="1509"/>
    <n v="1080"/>
    <n v="10"/>
    <x v="807"/>
    <x v="1577"/>
    <x v="0"/>
  </r>
  <r>
    <d v="2024-08-31T00:00:00"/>
    <x v="0"/>
    <x v="2"/>
    <x v="3"/>
    <x v="1510"/>
    <n v="1319"/>
    <n v="5"/>
    <x v="1498"/>
    <x v="1578"/>
    <x v="0"/>
  </r>
  <r>
    <d v="2024-04-21T00:00:00"/>
    <x v="1"/>
    <x v="1"/>
    <x v="3"/>
    <x v="1511"/>
    <n v="11757"/>
    <n v="15"/>
    <x v="1499"/>
    <x v="1579"/>
    <x v="0"/>
  </r>
  <r>
    <d v="2024-08-19T00:00:00"/>
    <x v="0"/>
    <x v="2"/>
    <x v="2"/>
    <x v="1512"/>
    <n v="1703"/>
    <n v="15"/>
    <x v="1500"/>
    <x v="1580"/>
    <x v="0"/>
  </r>
  <r>
    <d v="2024-07-30T00:00:00"/>
    <x v="2"/>
    <x v="0"/>
    <x v="2"/>
    <x v="1513"/>
    <n v="1726"/>
    <n v="5"/>
    <x v="1501"/>
    <x v="1581"/>
    <x v="0"/>
  </r>
  <r>
    <d v="2024-10-23T00:00:00"/>
    <x v="0"/>
    <x v="3"/>
    <x v="3"/>
    <x v="1514"/>
    <n v="9155"/>
    <n v="20"/>
    <x v="1502"/>
    <x v="1582"/>
    <x v="0"/>
  </r>
  <r>
    <d v="2022-03-26T00:00:00"/>
    <x v="3"/>
    <x v="0"/>
    <x v="2"/>
    <x v="1515"/>
    <n v="6168"/>
    <n v="0"/>
    <x v="1503"/>
    <x v="1583"/>
    <x v="1"/>
  </r>
  <r>
    <d v="2022-11-24T00:00:00"/>
    <x v="2"/>
    <x v="2"/>
    <x v="1"/>
    <x v="1516"/>
    <n v="11139"/>
    <n v="15"/>
    <x v="1504"/>
    <x v="1584"/>
    <x v="1"/>
  </r>
  <r>
    <d v="2024-03-26T00:00:00"/>
    <x v="3"/>
    <x v="2"/>
    <x v="3"/>
    <x v="1517"/>
    <n v="310"/>
    <n v="5"/>
    <x v="1505"/>
    <x v="1585"/>
    <x v="0"/>
  </r>
  <r>
    <d v="2023-03-30T00:00:00"/>
    <x v="1"/>
    <x v="1"/>
    <x v="1"/>
    <x v="1244"/>
    <n v="6630"/>
    <n v="10"/>
    <x v="1506"/>
    <x v="1586"/>
    <x v="2"/>
  </r>
  <r>
    <d v="2023-09-21T00:00:00"/>
    <x v="3"/>
    <x v="3"/>
    <x v="1"/>
    <x v="1518"/>
    <n v="9530"/>
    <n v="5"/>
    <x v="1507"/>
    <x v="1587"/>
    <x v="2"/>
  </r>
  <r>
    <d v="2023-10-27T00:00:00"/>
    <x v="3"/>
    <x v="3"/>
    <x v="2"/>
    <x v="1519"/>
    <n v="3125"/>
    <n v="20"/>
    <x v="1508"/>
    <x v="1588"/>
    <x v="2"/>
  </r>
  <r>
    <d v="2022-01-12T00:00:00"/>
    <x v="0"/>
    <x v="2"/>
    <x v="1"/>
    <x v="1520"/>
    <n v="7764"/>
    <n v="0"/>
    <x v="1509"/>
    <x v="1589"/>
    <x v="1"/>
  </r>
  <r>
    <d v="2022-10-31T00:00:00"/>
    <x v="3"/>
    <x v="3"/>
    <x v="2"/>
    <x v="1521"/>
    <n v="3303"/>
    <n v="20"/>
    <x v="1510"/>
    <x v="1590"/>
    <x v="1"/>
  </r>
  <r>
    <d v="2024-09-01T00:00:00"/>
    <x v="2"/>
    <x v="1"/>
    <x v="0"/>
    <x v="1522"/>
    <n v="9567"/>
    <n v="10"/>
    <x v="76"/>
    <x v="1591"/>
    <x v="0"/>
  </r>
  <r>
    <d v="2024-02-22T00:00:00"/>
    <x v="2"/>
    <x v="0"/>
    <x v="2"/>
    <x v="1523"/>
    <n v="7495"/>
    <n v="10"/>
    <x v="1511"/>
    <x v="1592"/>
    <x v="0"/>
  </r>
  <r>
    <d v="2022-02-12T00:00:00"/>
    <x v="1"/>
    <x v="3"/>
    <x v="1"/>
    <x v="1524"/>
    <n v="7020"/>
    <n v="10"/>
    <x v="1512"/>
    <x v="1593"/>
    <x v="1"/>
  </r>
  <r>
    <d v="2024-08-01T00:00:00"/>
    <x v="2"/>
    <x v="2"/>
    <x v="0"/>
    <x v="1525"/>
    <n v="3388"/>
    <n v="10"/>
    <x v="1513"/>
    <x v="1594"/>
    <x v="0"/>
  </r>
  <r>
    <d v="2022-12-09T00:00:00"/>
    <x v="0"/>
    <x v="0"/>
    <x v="2"/>
    <x v="1526"/>
    <n v="2089"/>
    <n v="5"/>
    <x v="1514"/>
    <x v="1595"/>
    <x v="1"/>
  </r>
  <r>
    <d v="2023-05-13T00:00:00"/>
    <x v="1"/>
    <x v="0"/>
    <x v="1"/>
    <x v="1527"/>
    <n v="3336"/>
    <n v="10"/>
    <x v="1515"/>
    <x v="1596"/>
    <x v="2"/>
  </r>
  <r>
    <d v="2022-12-30T00:00:00"/>
    <x v="2"/>
    <x v="1"/>
    <x v="3"/>
    <x v="56"/>
    <n v="7677"/>
    <n v="10"/>
    <x v="1516"/>
    <x v="1597"/>
    <x v="1"/>
  </r>
  <r>
    <d v="2024-06-09T00:00:00"/>
    <x v="0"/>
    <x v="2"/>
    <x v="3"/>
    <x v="1528"/>
    <n v="7898"/>
    <n v="5"/>
    <x v="1517"/>
    <x v="1598"/>
    <x v="0"/>
  </r>
  <r>
    <d v="2023-03-03T00:00:00"/>
    <x v="2"/>
    <x v="3"/>
    <x v="2"/>
    <x v="1529"/>
    <n v="5138"/>
    <n v="10"/>
    <x v="1518"/>
    <x v="1599"/>
    <x v="2"/>
  </r>
  <r>
    <d v="2024-10-01T00:00:00"/>
    <x v="2"/>
    <x v="2"/>
    <x v="2"/>
    <x v="1530"/>
    <n v="6172"/>
    <n v="20"/>
    <x v="1519"/>
    <x v="1600"/>
    <x v="0"/>
  </r>
  <r>
    <d v="2022-01-21T00:00:00"/>
    <x v="3"/>
    <x v="0"/>
    <x v="3"/>
    <x v="1531"/>
    <n v="3953"/>
    <n v="20"/>
    <x v="196"/>
    <x v="1601"/>
    <x v="1"/>
  </r>
  <r>
    <d v="2023-02-11T00:00:00"/>
    <x v="2"/>
    <x v="2"/>
    <x v="1"/>
    <x v="1532"/>
    <n v="11667"/>
    <n v="15"/>
    <x v="1520"/>
    <x v="1602"/>
    <x v="2"/>
  </r>
  <r>
    <d v="2023-09-11T00:00:00"/>
    <x v="2"/>
    <x v="3"/>
    <x v="1"/>
    <x v="1533"/>
    <n v="4599"/>
    <n v="20"/>
    <x v="1521"/>
    <x v="1603"/>
    <x v="2"/>
  </r>
  <r>
    <d v="2024-10-11T00:00:00"/>
    <x v="0"/>
    <x v="3"/>
    <x v="1"/>
    <x v="1534"/>
    <n v="9568"/>
    <n v="0"/>
    <x v="1522"/>
    <x v="1604"/>
    <x v="0"/>
  </r>
  <r>
    <d v="2022-12-02T00:00:00"/>
    <x v="0"/>
    <x v="1"/>
    <x v="2"/>
    <x v="1535"/>
    <n v="1273"/>
    <n v="0"/>
    <x v="1523"/>
    <x v="1605"/>
    <x v="1"/>
  </r>
  <r>
    <d v="2023-02-03T00:00:00"/>
    <x v="3"/>
    <x v="3"/>
    <x v="0"/>
    <x v="1536"/>
    <n v="7383"/>
    <n v="0"/>
    <x v="1524"/>
    <x v="1606"/>
    <x v="2"/>
  </r>
  <r>
    <d v="2024-03-03T00:00:00"/>
    <x v="2"/>
    <x v="3"/>
    <x v="0"/>
    <x v="1537"/>
    <n v="5794"/>
    <n v="5"/>
    <x v="1525"/>
    <x v="1607"/>
    <x v="0"/>
  </r>
  <r>
    <d v="2023-12-16T00:00:00"/>
    <x v="3"/>
    <x v="2"/>
    <x v="0"/>
    <x v="1538"/>
    <n v="10357"/>
    <n v="20"/>
    <x v="1526"/>
    <x v="1608"/>
    <x v="2"/>
  </r>
  <r>
    <d v="2022-02-20T00:00:00"/>
    <x v="2"/>
    <x v="2"/>
    <x v="0"/>
    <x v="1539"/>
    <n v="11617"/>
    <n v="0"/>
    <x v="1527"/>
    <x v="1609"/>
    <x v="1"/>
  </r>
  <r>
    <d v="2022-11-20T00:00:00"/>
    <x v="1"/>
    <x v="0"/>
    <x v="0"/>
    <x v="1540"/>
    <n v="9791"/>
    <n v="15"/>
    <x v="1303"/>
    <x v="1610"/>
    <x v="1"/>
  </r>
  <r>
    <d v="2024-02-28T00:00:00"/>
    <x v="1"/>
    <x v="1"/>
    <x v="2"/>
    <x v="1541"/>
    <n v="3706"/>
    <n v="5"/>
    <x v="1528"/>
    <x v="1611"/>
    <x v="0"/>
  </r>
  <r>
    <d v="2022-05-21T00:00:00"/>
    <x v="3"/>
    <x v="2"/>
    <x v="2"/>
    <x v="1117"/>
    <n v="5450"/>
    <n v="15"/>
    <x v="1529"/>
    <x v="1612"/>
    <x v="1"/>
  </r>
  <r>
    <d v="2023-04-15T00:00:00"/>
    <x v="3"/>
    <x v="3"/>
    <x v="0"/>
    <x v="1542"/>
    <n v="9650"/>
    <n v="20"/>
    <x v="1530"/>
    <x v="1613"/>
    <x v="2"/>
  </r>
  <r>
    <d v="2024-02-26T00:00:00"/>
    <x v="3"/>
    <x v="0"/>
    <x v="2"/>
    <x v="1543"/>
    <n v="3429"/>
    <n v="10"/>
    <x v="1531"/>
    <x v="1614"/>
    <x v="0"/>
  </r>
  <r>
    <d v="2024-08-21T00:00:00"/>
    <x v="0"/>
    <x v="2"/>
    <x v="2"/>
    <x v="1544"/>
    <n v="404"/>
    <n v="15"/>
    <x v="1532"/>
    <x v="1615"/>
    <x v="0"/>
  </r>
  <r>
    <d v="2024-10-04T00:00:00"/>
    <x v="0"/>
    <x v="1"/>
    <x v="0"/>
    <x v="754"/>
    <n v="7733"/>
    <n v="10"/>
    <x v="1533"/>
    <x v="1616"/>
    <x v="0"/>
  </r>
  <r>
    <d v="2023-01-08T00:00:00"/>
    <x v="0"/>
    <x v="1"/>
    <x v="1"/>
    <x v="1545"/>
    <n v="7989"/>
    <n v="5"/>
    <x v="1534"/>
    <x v="1617"/>
    <x v="2"/>
  </r>
  <r>
    <d v="2023-05-09T00:00:00"/>
    <x v="3"/>
    <x v="0"/>
    <x v="2"/>
    <x v="1546"/>
    <n v="3867"/>
    <n v="15"/>
    <x v="1535"/>
    <x v="1618"/>
    <x v="2"/>
  </r>
  <r>
    <d v="2024-01-21T00:00:00"/>
    <x v="2"/>
    <x v="0"/>
    <x v="1"/>
    <x v="1547"/>
    <n v="4648"/>
    <n v="15"/>
    <x v="1536"/>
    <x v="1619"/>
    <x v="0"/>
  </r>
  <r>
    <d v="2022-10-18T00:00:00"/>
    <x v="1"/>
    <x v="0"/>
    <x v="2"/>
    <x v="1548"/>
    <n v="4690"/>
    <n v="5"/>
    <x v="1537"/>
    <x v="1620"/>
    <x v="1"/>
  </r>
  <r>
    <d v="2022-04-16T00:00:00"/>
    <x v="3"/>
    <x v="0"/>
    <x v="2"/>
    <x v="1549"/>
    <n v="7111"/>
    <n v="5"/>
    <x v="1538"/>
    <x v="1621"/>
    <x v="1"/>
  </r>
  <r>
    <d v="2023-11-01T00:00:00"/>
    <x v="0"/>
    <x v="0"/>
    <x v="0"/>
    <x v="1550"/>
    <n v="1481"/>
    <n v="0"/>
    <x v="1539"/>
    <x v="1622"/>
    <x v="2"/>
  </r>
  <r>
    <d v="2022-01-02T00:00:00"/>
    <x v="0"/>
    <x v="3"/>
    <x v="2"/>
    <x v="694"/>
    <n v="4944"/>
    <n v="20"/>
    <x v="1540"/>
    <x v="1623"/>
    <x v="1"/>
  </r>
  <r>
    <d v="2023-08-12T00:00:00"/>
    <x v="3"/>
    <x v="3"/>
    <x v="3"/>
    <x v="531"/>
    <n v="11630"/>
    <n v="15"/>
    <x v="1541"/>
    <x v="1624"/>
    <x v="2"/>
  </r>
  <r>
    <d v="2023-10-06T00:00:00"/>
    <x v="3"/>
    <x v="2"/>
    <x v="3"/>
    <x v="1551"/>
    <n v="6173"/>
    <n v="15"/>
    <x v="1542"/>
    <x v="1625"/>
    <x v="2"/>
  </r>
  <r>
    <d v="2022-03-31T00:00:00"/>
    <x v="0"/>
    <x v="1"/>
    <x v="0"/>
    <x v="1552"/>
    <n v="4694"/>
    <n v="5"/>
    <x v="586"/>
    <x v="1626"/>
    <x v="1"/>
  </r>
  <r>
    <d v="2022-12-16T00:00:00"/>
    <x v="2"/>
    <x v="3"/>
    <x v="1"/>
    <x v="1553"/>
    <n v="3834"/>
    <n v="5"/>
    <x v="1543"/>
    <x v="1627"/>
    <x v="1"/>
  </r>
  <r>
    <d v="2024-11-28T00:00:00"/>
    <x v="0"/>
    <x v="3"/>
    <x v="1"/>
    <x v="531"/>
    <n v="6144"/>
    <n v="20"/>
    <x v="253"/>
    <x v="1628"/>
    <x v="0"/>
  </r>
  <r>
    <d v="2024-06-27T00:00:00"/>
    <x v="0"/>
    <x v="3"/>
    <x v="1"/>
    <x v="1554"/>
    <n v="6239"/>
    <n v="5"/>
    <x v="1544"/>
    <x v="1629"/>
    <x v="0"/>
  </r>
  <r>
    <d v="2022-06-08T00:00:00"/>
    <x v="3"/>
    <x v="2"/>
    <x v="3"/>
    <x v="1555"/>
    <n v="11619"/>
    <n v="10"/>
    <x v="1545"/>
    <x v="1630"/>
    <x v="1"/>
  </r>
  <r>
    <d v="2024-08-16T00:00:00"/>
    <x v="2"/>
    <x v="0"/>
    <x v="1"/>
    <x v="1556"/>
    <n v="6775"/>
    <n v="10"/>
    <x v="391"/>
    <x v="1631"/>
    <x v="0"/>
  </r>
  <r>
    <d v="2022-11-08T00:00:00"/>
    <x v="0"/>
    <x v="2"/>
    <x v="1"/>
    <x v="1557"/>
    <n v="2074"/>
    <n v="10"/>
    <x v="140"/>
    <x v="1632"/>
    <x v="1"/>
  </r>
  <r>
    <d v="2023-03-21T00:00:00"/>
    <x v="0"/>
    <x v="1"/>
    <x v="0"/>
    <x v="1558"/>
    <n v="8583"/>
    <n v="10"/>
    <x v="1546"/>
    <x v="1633"/>
    <x v="2"/>
  </r>
  <r>
    <d v="2022-10-25T00:00:00"/>
    <x v="1"/>
    <x v="1"/>
    <x v="1"/>
    <x v="1559"/>
    <n v="746"/>
    <n v="20"/>
    <x v="1547"/>
    <x v="1634"/>
    <x v="1"/>
  </r>
  <r>
    <d v="2024-08-09T00:00:00"/>
    <x v="3"/>
    <x v="1"/>
    <x v="3"/>
    <x v="1560"/>
    <n v="408"/>
    <n v="15"/>
    <x v="1548"/>
    <x v="1635"/>
    <x v="0"/>
  </r>
  <r>
    <d v="2022-02-05T00:00:00"/>
    <x v="1"/>
    <x v="1"/>
    <x v="3"/>
    <x v="1561"/>
    <n v="3539"/>
    <n v="10"/>
    <x v="1549"/>
    <x v="1636"/>
    <x v="1"/>
  </r>
  <r>
    <d v="2023-07-13T00:00:00"/>
    <x v="1"/>
    <x v="3"/>
    <x v="3"/>
    <x v="1562"/>
    <n v="6231"/>
    <n v="5"/>
    <x v="1550"/>
    <x v="1637"/>
    <x v="2"/>
  </r>
  <r>
    <d v="2024-06-09T00:00:00"/>
    <x v="0"/>
    <x v="3"/>
    <x v="0"/>
    <x v="1563"/>
    <n v="4353"/>
    <n v="10"/>
    <x v="1551"/>
    <x v="1638"/>
    <x v="0"/>
  </r>
  <r>
    <d v="2022-05-21T00:00:00"/>
    <x v="3"/>
    <x v="2"/>
    <x v="0"/>
    <x v="1564"/>
    <n v="4837"/>
    <n v="20"/>
    <x v="1552"/>
    <x v="1639"/>
    <x v="1"/>
  </r>
  <r>
    <d v="2024-06-05T00:00:00"/>
    <x v="2"/>
    <x v="0"/>
    <x v="2"/>
    <x v="1565"/>
    <n v="6661"/>
    <n v="5"/>
    <x v="1553"/>
    <x v="1640"/>
    <x v="0"/>
  </r>
  <r>
    <d v="2023-12-27T00:00:00"/>
    <x v="0"/>
    <x v="1"/>
    <x v="1"/>
    <x v="1566"/>
    <n v="1545"/>
    <n v="10"/>
    <x v="1554"/>
    <x v="1641"/>
    <x v="2"/>
  </r>
  <r>
    <d v="2024-11-15T00:00:00"/>
    <x v="2"/>
    <x v="2"/>
    <x v="0"/>
    <x v="1567"/>
    <n v="3020"/>
    <n v="15"/>
    <x v="1555"/>
    <x v="1642"/>
    <x v="0"/>
  </r>
  <r>
    <d v="2023-06-05T00:00:00"/>
    <x v="2"/>
    <x v="3"/>
    <x v="3"/>
    <x v="1568"/>
    <n v="8769"/>
    <n v="5"/>
    <x v="1556"/>
    <x v="1643"/>
    <x v="2"/>
  </r>
  <r>
    <d v="2022-01-10T00:00:00"/>
    <x v="3"/>
    <x v="3"/>
    <x v="3"/>
    <x v="1569"/>
    <n v="11548"/>
    <n v="5"/>
    <x v="1557"/>
    <x v="1644"/>
    <x v="1"/>
  </r>
  <r>
    <d v="2024-09-10T00:00:00"/>
    <x v="1"/>
    <x v="0"/>
    <x v="0"/>
    <x v="1570"/>
    <n v="8041"/>
    <n v="15"/>
    <x v="1558"/>
    <x v="1645"/>
    <x v="0"/>
  </r>
  <r>
    <d v="2023-01-13T00:00:00"/>
    <x v="3"/>
    <x v="0"/>
    <x v="0"/>
    <x v="1571"/>
    <n v="5405"/>
    <n v="5"/>
    <x v="1559"/>
    <x v="1646"/>
    <x v="2"/>
  </r>
  <r>
    <d v="2023-11-13T00:00:00"/>
    <x v="2"/>
    <x v="0"/>
    <x v="0"/>
    <x v="1060"/>
    <n v="3222"/>
    <n v="10"/>
    <x v="1560"/>
    <x v="1647"/>
    <x v="2"/>
  </r>
  <r>
    <d v="2023-08-07T00:00:00"/>
    <x v="0"/>
    <x v="2"/>
    <x v="2"/>
    <x v="644"/>
    <n v="2813"/>
    <n v="5"/>
    <x v="1561"/>
    <x v="1648"/>
    <x v="2"/>
  </r>
  <r>
    <d v="2022-06-01T00:00:00"/>
    <x v="2"/>
    <x v="3"/>
    <x v="3"/>
    <x v="1572"/>
    <n v="9330"/>
    <n v="10"/>
    <x v="1562"/>
    <x v="1649"/>
    <x v="1"/>
  </r>
  <r>
    <d v="2023-12-21T00:00:00"/>
    <x v="0"/>
    <x v="3"/>
    <x v="2"/>
    <x v="1573"/>
    <n v="3101"/>
    <n v="15"/>
    <x v="1563"/>
    <x v="1650"/>
    <x v="2"/>
  </r>
  <r>
    <d v="2024-12-08T00:00:00"/>
    <x v="0"/>
    <x v="0"/>
    <x v="2"/>
    <x v="1574"/>
    <n v="7281"/>
    <n v="0"/>
    <x v="1564"/>
    <x v="1651"/>
    <x v="0"/>
  </r>
  <r>
    <d v="2024-05-08T00:00:00"/>
    <x v="3"/>
    <x v="1"/>
    <x v="1"/>
    <x v="1575"/>
    <n v="8521"/>
    <n v="15"/>
    <x v="1565"/>
    <x v="1652"/>
    <x v="0"/>
  </r>
  <r>
    <d v="2022-02-19T00:00:00"/>
    <x v="2"/>
    <x v="0"/>
    <x v="3"/>
    <x v="1576"/>
    <n v="6802"/>
    <n v="10"/>
    <x v="1566"/>
    <x v="1653"/>
    <x v="1"/>
  </r>
  <r>
    <d v="2023-10-26T00:00:00"/>
    <x v="1"/>
    <x v="2"/>
    <x v="3"/>
    <x v="1577"/>
    <n v="6338"/>
    <n v="20"/>
    <x v="1567"/>
    <x v="1654"/>
    <x v="2"/>
  </r>
  <r>
    <d v="2023-06-15T00:00:00"/>
    <x v="2"/>
    <x v="0"/>
    <x v="0"/>
    <x v="1578"/>
    <n v="6529"/>
    <n v="15"/>
    <x v="1568"/>
    <x v="1655"/>
    <x v="2"/>
  </r>
  <r>
    <d v="2024-12-19T00:00:00"/>
    <x v="2"/>
    <x v="0"/>
    <x v="0"/>
    <x v="1579"/>
    <n v="9749"/>
    <n v="20"/>
    <x v="1569"/>
    <x v="1656"/>
    <x v="0"/>
  </r>
  <r>
    <d v="2024-05-06T00:00:00"/>
    <x v="1"/>
    <x v="2"/>
    <x v="1"/>
    <x v="1366"/>
    <n v="664"/>
    <n v="20"/>
    <x v="1570"/>
    <x v="1657"/>
    <x v="0"/>
  </r>
  <r>
    <d v="2022-05-26T00:00:00"/>
    <x v="3"/>
    <x v="0"/>
    <x v="2"/>
    <x v="1534"/>
    <n v="2100"/>
    <n v="10"/>
    <x v="1571"/>
    <x v="1658"/>
    <x v="1"/>
  </r>
  <r>
    <d v="2024-07-03T00:00:00"/>
    <x v="2"/>
    <x v="3"/>
    <x v="0"/>
    <x v="1580"/>
    <n v="6258"/>
    <n v="10"/>
    <x v="1572"/>
    <x v="1659"/>
    <x v="0"/>
  </r>
  <r>
    <d v="2024-09-19T00:00:00"/>
    <x v="2"/>
    <x v="1"/>
    <x v="0"/>
    <x v="1581"/>
    <n v="9396"/>
    <n v="0"/>
    <x v="1573"/>
    <x v="1660"/>
    <x v="0"/>
  </r>
  <r>
    <d v="2022-08-30T00:00:00"/>
    <x v="0"/>
    <x v="0"/>
    <x v="3"/>
    <x v="1582"/>
    <n v="7736"/>
    <n v="5"/>
    <x v="1574"/>
    <x v="1661"/>
    <x v="1"/>
  </r>
  <r>
    <d v="2023-08-04T00:00:00"/>
    <x v="2"/>
    <x v="2"/>
    <x v="3"/>
    <x v="1583"/>
    <n v="5093"/>
    <n v="15"/>
    <x v="1575"/>
    <x v="1662"/>
    <x v="2"/>
  </r>
  <r>
    <d v="2023-11-18T00:00:00"/>
    <x v="1"/>
    <x v="1"/>
    <x v="0"/>
    <x v="1584"/>
    <n v="10670"/>
    <n v="10"/>
    <x v="1576"/>
    <x v="1663"/>
    <x v="2"/>
  </r>
  <r>
    <d v="2023-04-28T00:00:00"/>
    <x v="0"/>
    <x v="2"/>
    <x v="3"/>
    <x v="1585"/>
    <n v="11342"/>
    <n v="15"/>
    <x v="556"/>
    <x v="1664"/>
    <x v="2"/>
  </r>
  <r>
    <d v="2023-11-04T00:00:00"/>
    <x v="3"/>
    <x v="1"/>
    <x v="1"/>
    <x v="1586"/>
    <n v="8460"/>
    <n v="20"/>
    <x v="1577"/>
    <x v="1665"/>
    <x v="2"/>
  </r>
  <r>
    <d v="2023-09-23T00:00:00"/>
    <x v="0"/>
    <x v="1"/>
    <x v="0"/>
    <x v="1587"/>
    <n v="11328"/>
    <n v="5"/>
    <x v="1578"/>
    <x v="1666"/>
    <x v="2"/>
  </r>
  <r>
    <d v="2023-10-23T00:00:00"/>
    <x v="1"/>
    <x v="0"/>
    <x v="3"/>
    <x v="1588"/>
    <n v="479"/>
    <n v="0"/>
    <x v="1579"/>
    <x v="1667"/>
    <x v="2"/>
  </r>
  <r>
    <d v="2023-10-24T00:00:00"/>
    <x v="1"/>
    <x v="3"/>
    <x v="1"/>
    <x v="1589"/>
    <n v="4173"/>
    <n v="15"/>
    <x v="433"/>
    <x v="1668"/>
    <x v="2"/>
  </r>
  <r>
    <d v="2024-03-15T00:00:00"/>
    <x v="0"/>
    <x v="0"/>
    <x v="3"/>
    <x v="1590"/>
    <n v="4260"/>
    <n v="5"/>
    <x v="1580"/>
    <x v="1669"/>
    <x v="0"/>
  </r>
  <r>
    <d v="2023-02-23T00:00:00"/>
    <x v="3"/>
    <x v="2"/>
    <x v="3"/>
    <x v="1591"/>
    <n v="1486"/>
    <n v="0"/>
    <x v="1581"/>
    <x v="1670"/>
    <x v="2"/>
  </r>
  <r>
    <d v="2024-09-14T00:00:00"/>
    <x v="0"/>
    <x v="2"/>
    <x v="3"/>
    <x v="1032"/>
    <n v="1073"/>
    <n v="15"/>
    <x v="571"/>
    <x v="1671"/>
    <x v="0"/>
  </r>
  <r>
    <d v="2023-10-12T00:00:00"/>
    <x v="3"/>
    <x v="1"/>
    <x v="0"/>
    <x v="1592"/>
    <n v="4760"/>
    <n v="5"/>
    <x v="1582"/>
    <x v="1672"/>
    <x v="2"/>
  </r>
  <r>
    <d v="2024-08-26T00:00:00"/>
    <x v="0"/>
    <x v="1"/>
    <x v="2"/>
    <x v="1593"/>
    <n v="652"/>
    <n v="10"/>
    <x v="1507"/>
    <x v="1673"/>
    <x v="0"/>
  </r>
  <r>
    <d v="2023-08-13T00:00:00"/>
    <x v="1"/>
    <x v="3"/>
    <x v="3"/>
    <x v="1594"/>
    <n v="7243"/>
    <n v="15"/>
    <x v="1583"/>
    <x v="1674"/>
    <x v="2"/>
  </r>
  <r>
    <d v="2023-05-24T00:00:00"/>
    <x v="2"/>
    <x v="0"/>
    <x v="1"/>
    <x v="1595"/>
    <n v="5502"/>
    <n v="5"/>
    <x v="1584"/>
    <x v="1675"/>
    <x v="2"/>
  </r>
  <r>
    <d v="2023-03-17T00:00:00"/>
    <x v="2"/>
    <x v="2"/>
    <x v="0"/>
    <x v="1596"/>
    <n v="5644"/>
    <n v="0"/>
    <x v="1585"/>
    <x v="1676"/>
    <x v="2"/>
  </r>
  <r>
    <d v="2024-07-09T00:00:00"/>
    <x v="3"/>
    <x v="1"/>
    <x v="0"/>
    <x v="1597"/>
    <n v="4807"/>
    <n v="5"/>
    <x v="1586"/>
    <x v="1677"/>
    <x v="0"/>
  </r>
  <r>
    <d v="2024-02-09T00:00:00"/>
    <x v="3"/>
    <x v="3"/>
    <x v="1"/>
    <x v="1598"/>
    <n v="5130"/>
    <n v="10"/>
    <x v="1587"/>
    <x v="1678"/>
    <x v="0"/>
  </r>
  <r>
    <d v="2022-09-20T00:00:00"/>
    <x v="3"/>
    <x v="2"/>
    <x v="3"/>
    <x v="1599"/>
    <n v="11520"/>
    <n v="15"/>
    <x v="1588"/>
    <x v="1679"/>
    <x v="1"/>
  </r>
  <r>
    <d v="2023-09-29T00:00:00"/>
    <x v="1"/>
    <x v="1"/>
    <x v="2"/>
    <x v="1600"/>
    <n v="417"/>
    <n v="15"/>
    <x v="1589"/>
    <x v="1680"/>
    <x v="2"/>
  </r>
  <r>
    <d v="2023-04-04T00:00:00"/>
    <x v="0"/>
    <x v="2"/>
    <x v="3"/>
    <x v="1601"/>
    <n v="781"/>
    <n v="15"/>
    <x v="1590"/>
    <x v="1681"/>
    <x v="2"/>
  </r>
  <r>
    <d v="2024-09-25T00:00:00"/>
    <x v="1"/>
    <x v="3"/>
    <x v="1"/>
    <x v="1602"/>
    <n v="4587"/>
    <n v="10"/>
    <x v="1591"/>
    <x v="1682"/>
    <x v="0"/>
  </r>
  <r>
    <d v="2023-12-01T00:00:00"/>
    <x v="2"/>
    <x v="3"/>
    <x v="0"/>
    <x v="1603"/>
    <n v="11129"/>
    <n v="0"/>
    <x v="1592"/>
    <x v="1683"/>
    <x v="2"/>
  </r>
  <r>
    <d v="2022-10-29T00:00:00"/>
    <x v="3"/>
    <x v="2"/>
    <x v="2"/>
    <x v="1604"/>
    <n v="7102"/>
    <n v="15"/>
    <x v="1593"/>
    <x v="1684"/>
    <x v="1"/>
  </r>
  <r>
    <d v="2023-07-08T00:00:00"/>
    <x v="0"/>
    <x v="0"/>
    <x v="0"/>
    <x v="1605"/>
    <n v="8598"/>
    <n v="0"/>
    <x v="1594"/>
    <x v="1685"/>
    <x v="2"/>
  </r>
  <r>
    <d v="2022-10-15T00:00:00"/>
    <x v="2"/>
    <x v="2"/>
    <x v="1"/>
    <x v="1606"/>
    <n v="4777"/>
    <n v="5"/>
    <x v="1595"/>
    <x v="1686"/>
    <x v="1"/>
  </r>
  <r>
    <d v="2023-09-13T00:00:00"/>
    <x v="2"/>
    <x v="1"/>
    <x v="3"/>
    <x v="1414"/>
    <n v="6833"/>
    <n v="0"/>
    <x v="1596"/>
    <x v="1687"/>
    <x v="2"/>
  </r>
  <r>
    <d v="2024-10-02T00:00:00"/>
    <x v="2"/>
    <x v="0"/>
    <x v="2"/>
    <x v="1607"/>
    <n v="543"/>
    <n v="0"/>
    <x v="318"/>
    <x v="1688"/>
    <x v="0"/>
  </r>
  <r>
    <d v="2022-02-05T00:00:00"/>
    <x v="1"/>
    <x v="1"/>
    <x v="0"/>
    <x v="1608"/>
    <n v="11124"/>
    <n v="15"/>
    <x v="1597"/>
    <x v="1689"/>
    <x v="1"/>
  </r>
  <r>
    <d v="2024-01-14T00:00:00"/>
    <x v="3"/>
    <x v="2"/>
    <x v="0"/>
    <x v="1060"/>
    <n v="7312"/>
    <n v="20"/>
    <x v="1598"/>
    <x v="1690"/>
    <x v="0"/>
  </r>
  <r>
    <d v="2022-12-19T00:00:00"/>
    <x v="2"/>
    <x v="0"/>
    <x v="0"/>
    <x v="1609"/>
    <n v="1165"/>
    <n v="20"/>
    <x v="1599"/>
    <x v="1691"/>
    <x v="1"/>
  </r>
  <r>
    <d v="2022-03-14T00:00:00"/>
    <x v="3"/>
    <x v="1"/>
    <x v="3"/>
    <x v="1520"/>
    <n v="11473"/>
    <n v="10"/>
    <x v="1600"/>
    <x v="1692"/>
    <x v="1"/>
  </r>
  <r>
    <d v="2023-10-10T00:00:00"/>
    <x v="1"/>
    <x v="2"/>
    <x v="2"/>
    <x v="1610"/>
    <n v="10053"/>
    <n v="10"/>
    <x v="1601"/>
    <x v="1693"/>
    <x v="2"/>
  </r>
  <r>
    <d v="2024-12-29T00:00:00"/>
    <x v="2"/>
    <x v="2"/>
    <x v="3"/>
    <x v="1611"/>
    <n v="5629"/>
    <n v="20"/>
    <x v="1602"/>
    <x v="1694"/>
    <x v="0"/>
  </r>
  <r>
    <d v="2023-03-01T00:00:00"/>
    <x v="1"/>
    <x v="0"/>
    <x v="3"/>
    <x v="1612"/>
    <n v="903"/>
    <n v="5"/>
    <x v="1603"/>
    <x v="1695"/>
    <x v="2"/>
  </r>
  <r>
    <d v="2024-09-25T00:00:00"/>
    <x v="1"/>
    <x v="2"/>
    <x v="3"/>
    <x v="1613"/>
    <n v="6056"/>
    <n v="15"/>
    <x v="1604"/>
    <x v="1696"/>
    <x v="0"/>
  </r>
  <r>
    <d v="2023-12-09T00:00:00"/>
    <x v="3"/>
    <x v="3"/>
    <x v="1"/>
    <x v="1614"/>
    <n v="11554"/>
    <n v="15"/>
    <x v="1605"/>
    <x v="1697"/>
    <x v="2"/>
  </r>
  <r>
    <d v="2023-07-15T00:00:00"/>
    <x v="2"/>
    <x v="1"/>
    <x v="1"/>
    <x v="1615"/>
    <n v="4318"/>
    <n v="5"/>
    <x v="1606"/>
    <x v="1698"/>
    <x v="2"/>
  </r>
  <r>
    <d v="2024-04-07T00:00:00"/>
    <x v="1"/>
    <x v="1"/>
    <x v="1"/>
    <x v="1616"/>
    <n v="5492"/>
    <n v="5"/>
    <x v="1607"/>
    <x v="1699"/>
    <x v="0"/>
  </r>
  <r>
    <d v="2024-08-13T00:00:00"/>
    <x v="2"/>
    <x v="2"/>
    <x v="2"/>
    <x v="156"/>
    <n v="2315"/>
    <n v="20"/>
    <x v="1608"/>
    <x v="1700"/>
    <x v="0"/>
  </r>
  <r>
    <d v="2023-06-01T00:00:00"/>
    <x v="3"/>
    <x v="2"/>
    <x v="3"/>
    <x v="1617"/>
    <n v="10150"/>
    <n v="10"/>
    <x v="1609"/>
    <x v="1701"/>
    <x v="2"/>
  </r>
  <r>
    <d v="2023-03-04T00:00:00"/>
    <x v="1"/>
    <x v="3"/>
    <x v="3"/>
    <x v="1618"/>
    <n v="3680"/>
    <n v="5"/>
    <x v="1610"/>
    <x v="1702"/>
    <x v="2"/>
  </r>
  <r>
    <d v="2022-06-09T00:00:00"/>
    <x v="3"/>
    <x v="0"/>
    <x v="1"/>
    <x v="1619"/>
    <n v="4070"/>
    <n v="10"/>
    <x v="1611"/>
    <x v="1703"/>
    <x v="1"/>
  </r>
  <r>
    <d v="2022-05-29T00:00:00"/>
    <x v="2"/>
    <x v="2"/>
    <x v="3"/>
    <x v="1620"/>
    <n v="6129"/>
    <n v="0"/>
    <x v="1612"/>
    <x v="1704"/>
    <x v="1"/>
  </r>
  <r>
    <d v="2024-02-15T00:00:00"/>
    <x v="2"/>
    <x v="2"/>
    <x v="3"/>
    <x v="1621"/>
    <n v="1913"/>
    <n v="15"/>
    <x v="1613"/>
    <x v="1705"/>
    <x v="0"/>
  </r>
  <r>
    <d v="2022-03-08T00:00:00"/>
    <x v="3"/>
    <x v="2"/>
    <x v="0"/>
    <x v="1622"/>
    <n v="2179"/>
    <n v="20"/>
    <x v="1614"/>
    <x v="1706"/>
    <x v="1"/>
  </r>
  <r>
    <d v="2024-10-10T00:00:00"/>
    <x v="0"/>
    <x v="2"/>
    <x v="3"/>
    <x v="1623"/>
    <n v="5672"/>
    <n v="15"/>
    <x v="1615"/>
    <x v="1707"/>
    <x v="0"/>
  </r>
  <r>
    <d v="2023-01-16T00:00:00"/>
    <x v="1"/>
    <x v="1"/>
    <x v="0"/>
    <x v="1624"/>
    <n v="4408"/>
    <n v="20"/>
    <x v="1616"/>
    <x v="1708"/>
    <x v="2"/>
  </r>
  <r>
    <d v="2022-02-27T00:00:00"/>
    <x v="2"/>
    <x v="2"/>
    <x v="3"/>
    <x v="1625"/>
    <n v="10838"/>
    <n v="0"/>
    <x v="1617"/>
    <x v="1709"/>
    <x v="1"/>
  </r>
  <r>
    <d v="2022-12-08T00:00:00"/>
    <x v="2"/>
    <x v="1"/>
    <x v="2"/>
    <x v="1626"/>
    <n v="9591"/>
    <n v="15"/>
    <x v="1618"/>
    <x v="1710"/>
    <x v="1"/>
  </r>
  <r>
    <d v="2023-12-28T00:00:00"/>
    <x v="1"/>
    <x v="2"/>
    <x v="1"/>
    <x v="1627"/>
    <n v="9566"/>
    <n v="0"/>
    <x v="1619"/>
    <x v="1711"/>
    <x v="2"/>
  </r>
  <r>
    <d v="2024-02-09T00:00:00"/>
    <x v="3"/>
    <x v="0"/>
    <x v="0"/>
    <x v="1628"/>
    <n v="9278"/>
    <n v="20"/>
    <x v="1620"/>
    <x v="1712"/>
    <x v="0"/>
  </r>
  <r>
    <d v="2023-09-06T00:00:00"/>
    <x v="3"/>
    <x v="3"/>
    <x v="1"/>
    <x v="1629"/>
    <n v="448"/>
    <n v="5"/>
    <x v="411"/>
    <x v="1713"/>
    <x v="2"/>
  </r>
  <r>
    <d v="2022-12-20T00:00:00"/>
    <x v="3"/>
    <x v="0"/>
    <x v="0"/>
    <x v="1630"/>
    <n v="2054"/>
    <n v="15"/>
    <x v="1621"/>
    <x v="1714"/>
    <x v="1"/>
  </r>
  <r>
    <d v="2022-04-26T00:00:00"/>
    <x v="0"/>
    <x v="2"/>
    <x v="0"/>
    <x v="1631"/>
    <n v="10661"/>
    <n v="0"/>
    <x v="1622"/>
    <x v="1715"/>
    <x v="1"/>
  </r>
  <r>
    <d v="2023-10-24T00:00:00"/>
    <x v="0"/>
    <x v="2"/>
    <x v="0"/>
    <x v="114"/>
    <n v="7678"/>
    <n v="15"/>
    <x v="1623"/>
    <x v="1716"/>
    <x v="2"/>
  </r>
  <r>
    <d v="2023-03-29T00:00:00"/>
    <x v="2"/>
    <x v="2"/>
    <x v="2"/>
    <x v="1632"/>
    <n v="6981"/>
    <n v="15"/>
    <x v="1624"/>
    <x v="1717"/>
    <x v="2"/>
  </r>
  <r>
    <d v="2022-10-14T00:00:00"/>
    <x v="3"/>
    <x v="0"/>
    <x v="3"/>
    <x v="1633"/>
    <n v="4056"/>
    <n v="15"/>
    <x v="1625"/>
    <x v="1718"/>
    <x v="1"/>
  </r>
  <r>
    <d v="2024-10-13T00:00:00"/>
    <x v="1"/>
    <x v="2"/>
    <x v="0"/>
    <x v="1634"/>
    <n v="9671"/>
    <n v="10"/>
    <x v="1626"/>
    <x v="1719"/>
    <x v="0"/>
  </r>
  <r>
    <d v="2022-11-07T00:00:00"/>
    <x v="2"/>
    <x v="0"/>
    <x v="2"/>
    <x v="1635"/>
    <n v="11801"/>
    <n v="0"/>
    <x v="1627"/>
    <x v="1720"/>
    <x v="1"/>
  </r>
  <r>
    <d v="2022-07-27T00:00:00"/>
    <x v="1"/>
    <x v="1"/>
    <x v="0"/>
    <x v="1636"/>
    <n v="10915"/>
    <n v="0"/>
    <x v="1628"/>
    <x v="1721"/>
    <x v="1"/>
  </r>
  <r>
    <d v="2023-09-10T00:00:00"/>
    <x v="2"/>
    <x v="3"/>
    <x v="3"/>
    <x v="1637"/>
    <n v="9416"/>
    <n v="15"/>
    <x v="1629"/>
    <x v="1722"/>
    <x v="2"/>
  </r>
  <r>
    <d v="2023-03-22T00:00:00"/>
    <x v="0"/>
    <x v="3"/>
    <x v="0"/>
    <x v="1638"/>
    <n v="5692"/>
    <n v="5"/>
    <x v="1630"/>
    <x v="1723"/>
    <x v="2"/>
  </r>
  <r>
    <d v="2023-11-01T00:00:00"/>
    <x v="2"/>
    <x v="0"/>
    <x v="2"/>
    <x v="1639"/>
    <n v="10095"/>
    <n v="15"/>
    <x v="1631"/>
    <x v="1724"/>
    <x v="2"/>
  </r>
  <r>
    <d v="2023-09-25T00:00:00"/>
    <x v="0"/>
    <x v="1"/>
    <x v="3"/>
    <x v="1640"/>
    <n v="3352"/>
    <n v="10"/>
    <x v="1632"/>
    <x v="1725"/>
    <x v="2"/>
  </r>
  <r>
    <d v="2022-02-24T00:00:00"/>
    <x v="2"/>
    <x v="0"/>
    <x v="2"/>
    <x v="1641"/>
    <n v="5992"/>
    <n v="20"/>
    <x v="1633"/>
    <x v="1726"/>
    <x v="1"/>
  </r>
  <r>
    <d v="2024-06-30T00:00:00"/>
    <x v="3"/>
    <x v="1"/>
    <x v="3"/>
    <x v="1642"/>
    <n v="4518"/>
    <n v="10"/>
    <x v="1634"/>
    <x v="1727"/>
    <x v="0"/>
  </r>
  <r>
    <d v="2024-11-01T00:00:00"/>
    <x v="1"/>
    <x v="2"/>
    <x v="3"/>
    <x v="1643"/>
    <n v="5103"/>
    <n v="5"/>
    <x v="1635"/>
    <x v="1728"/>
    <x v="0"/>
  </r>
  <r>
    <d v="2023-10-19T00:00:00"/>
    <x v="3"/>
    <x v="1"/>
    <x v="1"/>
    <x v="1353"/>
    <n v="2677"/>
    <n v="15"/>
    <x v="1636"/>
    <x v="1729"/>
    <x v="2"/>
  </r>
  <r>
    <d v="2024-09-06T00:00:00"/>
    <x v="2"/>
    <x v="1"/>
    <x v="1"/>
    <x v="1644"/>
    <n v="11972"/>
    <n v="0"/>
    <x v="1637"/>
    <x v="1730"/>
    <x v="0"/>
  </r>
  <r>
    <d v="2023-05-30T00:00:00"/>
    <x v="2"/>
    <x v="1"/>
    <x v="1"/>
    <x v="1645"/>
    <n v="5386"/>
    <n v="15"/>
    <x v="1638"/>
    <x v="1731"/>
    <x v="2"/>
  </r>
  <r>
    <d v="2022-08-25T00:00:00"/>
    <x v="2"/>
    <x v="3"/>
    <x v="3"/>
    <x v="1646"/>
    <n v="3482"/>
    <n v="5"/>
    <x v="1639"/>
    <x v="1732"/>
    <x v="1"/>
  </r>
  <r>
    <d v="2022-12-14T00:00:00"/>
    <x v="0"/>
    <x v="1"/>
    <x v="0"/>
    <x v="1647"/>
    <n v="11309"/>
    <n v="0"/>
    <x v="1640"/>
    <x v="1733"/>
    <x v="1"/>
  </r>
  <r>
    <d v="2023-09-19T00:00:00"/>
    <x v="1"/>
    <x v="2"/>
    <x v="2"/>
    <x v="1648"/>
    <n v="3460"/>
    <n v="10"/>
    <x v="1641"/>
    <x v="1734"/>
    <x v="2"/>
  </r>
  <r>
    <d v="2023-09-22T00:00:00"/>
    <x v="1"/>
    <x v="2"/>
    <x v="2"/>
    <x v="1649"/>
    <n v="6876"/>
    <n v="20"/>
    <x v="42"/>
    <x v="1735"/>
    <x v="2"/>
  </r>
  <r>
    <d v="2022-12-30T00:00:00"/>
    <x v="2"/>
    <x v="2"/>
    <x v="2"/>
    <x v="1650"/>
    <n v="9203"/>
    <n v="20"/>
    <x v="1642"/>
    <x v="1736"/>
    <x v="1"/>
  </r>
  <r>
    <d v="2022-11-17T00:00:00"/>
    <x v="2"/>
    <x v="1"/>
    <x v="1"/>
    <x v="1651"/>
    <n v="2886"/>
    <n v="15"/>
    <x v="1643"/>
    <x v="1737"/>
    <x v="1"/>
  </r>
  <r>
    <d v="2022-10-13T00:00:00"/>
    <x v="0"/>
    <x v="0"/>
    <x v="3"/>
    <x v="1652"/>
    <n v="2948"/>
    <n v="10"/>
    <x v="1644"/>
    <x v="1738"/>
    <x v="1"/>
  </r>
  <r>
    <d v="2022-05-29T00:00:00"/>
    <x v="3"/>
    <x v="0"/>
    <x v="1"/>
    <x v="1653"/>
    <n v="7613"/>
    <n v="5"/>
    <x v="1645"/>
    <x v="1739"/>
    <x v="1"/>
  </r>
  <r>
    <d v="2023-02-10T00:00:00"/>
    <x v="3"/>
    <x v="2"/>
    <x v="0"/>
    <x v="1654"/>
    <n v="2017"/>
    <n v="20"/>
    <x v="1646"/>
    <x v="1740"/>
    <x v="2"/>
  </r>
  <r>
    <d v="2024-09-04T00:00:00"/>
    <x v="1"/>
    <x v="3"/>
    <x v="3"/>
    <x v="1655"/>
    <n v="5608"/>
    <n v="10"/>
    <x v="1276"/>
    <x v="1741"/>
    <x v="0"/>
  </r>
  <r>
    <d v="2023-04-01T00:00:00"/>
    <x v="0"/>
    <x v="0"/>
    <x v="2"/>
    <x v="1656"/>
    <n v="7707"/>
    <n v="15"/>
    <x v="1647"/>
    <x v="1742"/>
    <x v="2"/>
  </r>
  <r>
    <d v="2024-03-10T00:00:00"/>
    <x v="2"/>
    <x v="1"/>
    <x v="1"/>
    <x v="1657"/>
    <n v="1170"/>
    <n v="0"/>
    <x v="1648"/>
    <x v="1743"/>
    <x v="0"/>
  </r>
  <r>
    <d v="2024-10-09T00:00:00"/>
    <x v="1"/>
    <x v="0"/>
    <x v="1"/>
    <x v="49"/>
    <n v="3874"/>
    <n v="15"/>
    <x v="1649"/>
    <x v="1744"/>
    <x v="0"/>
  </r>
  <r>
    <d v="2024-02-23T00:00:00"/>
    <x v="0"/>
    <x v="2"/>
    <x v="0"/>
    <x v="1658"/>
    <n v="6127"/>
    <n v="15"/>
    <x v="1650"/>
    <x v="1745"/>
    <x v="0"/>
  </r>
  <r>
    <d v="2023-04-05T00:00:00"/>
    <x v="3"/>
    <x v="3"/>
    <x v="0"/>
    <x v="1659"/>
    <n v="8286"/>
    <n v="10"/>
    <x v="1651"/>
    <x v="1746"/>
    <x v="2"/>
  </r>
  <r>
    <d v="2024-01-08T00:00:00"/>
    <x v="0"/>
    <x v="0"/>
    <x v="1"/>
    <x v="1660"/>
    <n v="8762"/>
    <n v="20"/>
    <x v="1652"/>
    <x v="1747"/>
    <x v="0"/>
  </r>
  <r>
    <d v="2023-05-24T00:00:00"/>
    <x v="3"/>
    <x v="0"/>
    <x v="0"/>
    <x v="1661"/>
    <n v="10035"/>
    <n v="10"/>
    <x v="1653"/>
    <x v="1748"/>
    <x v="2"/>
  </r>
  <r>
    <d v="2023-04-26T00:00:00"/>
    <x v="0"/>
    <x v="2"/>
    <x v="2"/>
    <x v="1662"/>
    <n v="9041"/>
    <n v="0"/>
    <x v="1654"/>
    <x v="1749"/>
    <x v="2"/>
  </r>
  <r>
    <d v="2022-04-24T00:00:00"/>
    <x v="1"/>
    <x v="3"/>
    <x v="0"/>
    <x v="1663"/>
    <n v="6069"/>
    <n v="10"/>
    <x v="161"/>
    <x v="1750"/>
    <x v="1"/>
  </r>
  <r>
    <d v="2024-01-19T00:00:00"/>
    <x v="3"/>
    <x v="3"/>
    <x v="0"/>
    <x v="1664"/>
    <n v="6033"/>
    <n v="5"/>
    <x v="1655"/>
    <x v="1751"/>
    <x v="0"/>
  </r>
  <r>
    <d v="2022-12-27T00:00:00"/>
    <x v="1"/>
    <x v="2"/>
    <x v="1"/>
    <x v="1665"/>
    <n v="10204"/>
    <n v="15"/>
    <x v="1656"/>
    <x v="1752"/>
    <x v="1"/>
  </r>
  <r>
    <d v="2022-12-07T00:00:00"/>
    <x v="1"/>
    <x v="1"/>
    <x v="1"/>
    <x v="1666"/>
    <n v="3540"/>
    <n v="20"/>
    <x v="1657"/>
    <x v="1753"/>
    <x v="1"/>
  </r>
  <r>
    <d v="2024-02-09T00:00:00"/>
    <x v="3"/>
    <x v="0"/>
    <x v="3"/>
    <x v="1667"/>
    <n v="9854"/>
    <n v="0"/>
    <x v="1658"/>
    <x v="1754"/>
    <x v="0"/>
  </r>
  <r>
    <d v="2024-01-31T00:00:00"/>
    <x v="3"/>
    <x v="1"/>
    <x v="3"/>
    <x v="1505"/>
    <n v="5193"/>
    <n v="15"/>
    <x v="1659"/>
    <x v="1755"/>
    <x v="0"/>
  </r>
  <r>
    <d v="2024-08-26T00:00:00"/>
    <x v="2"/>
    <x v="0"/>
    <x v="1"/>
    <x v="1668"/>
    <n v="9776"/>
    <n v="10"/>
    <x v="1660"/>
    <x v="1756"/>
    <x v="0"/>
  </r>
  <r>
    <d v="2023-03-25T00:00:00"/>
    <x v="2"/>
    <x v="0"/>
    <x v="0"/>
    <x v="1669"/>
    <n v="1186"/>
    <n v="5"/>
    <x v="1661"/>
    <x v="1757"/>
    <x v="2"/>
  </r>
  <r>
    <d v="2024-04-14T00:00:00"/>
    <x v="2"/>
    <x v="1"/>
    <x v="0"/>
    <x v="1670"/>
    <n v="6154"/>
    <n v="10"/>
    <x v="1662"/>
    <x v="1758"/>
    <x v="0"/>
  </r>
  <r>
    <d v="2022-11-07T00:00:00"/>
    <x v="1"/>
    <x v="2"/>
    <x v="3"/>
    <x v="1671"/>
    <n v="5618"/>
    <n v="15"/>
    <x v="1663"/>
    <x v="1759"/>
    <x v="1"/>
  </r>
  <r>
    <d v="2022-09-19T00:00:00"/>
    <x v="1"/>
    <x v="2"/>
    <x v="3"/>
    <x v="1624"/>
    <n v="2558"/>
    <n v="0"/>
    <x v="1664"/>
    <x v="1760"/>
    <x v="1"/>
  </r>
  <r>
    <d v="2023-02-10T00:00:00"/>
    <x v="2"/>
    <x v="0"/>
    <x v="3"/>
    <x v="1672"/>
    <n v="4682"/>
    <n v="20"/>
    <x v="1665"/>
    <x v="1761"/>
    <x v="2"/>
  </r>
  <r>
    <d v="2022-05-23T00:00:00"/>
    <x v="1"/>
    <x v="2"/>
    <x v="2"/>
    <x v="1673"/>
    <n v="2085"/>
    <n v="15"/>
    <x v="1666"/>
    <x v="1762"/>
    <x v="1"/>
  </r>
  <r>
    <d v="2022-12-08T00:00:00"/>
    <x v="1"/>
    <x v="0"/>
    <x v="2"/>
    <x v="1674"/>
    <n v="8027"/>
    <n v="0"/>
    <x v="1667"/>
    <x v="1763"/>
    <x v="1"/>
  </r>
  <r>
    <d v="2022-09-01T00:00:00"/>
    <x v="3"/>
    <x v="2"/>
    <x v="3"/>
    <x v="1675"/>
    <n v="595"/>
    <n v="15"/>
    <x v="1668"/>
    <x v="1764"/>
    <x v="1"/>
  </r>
  <r>
    <d v="2023-05-05T00:00:00"/>
    <x v="3"/>
    <x v="0"/>
    <x v="0"/>
    <x v="1676"/>
    <n v="10545"/>
    <n v="5"/>
    <x v="1669"/>
    <x v="1765"/>
    <x v="2"/>
  </r>
  <r>
    <d v="2022-01-12T00:00:00"/>
    <x v="1"/>
    <x v="2"/>
    <x v="3"/>
    <x v="1677"/>
    <n v="2897"/>
    <n v="10"/>
    <x v="1670"/>
    <x v="1766"/>
    <x v="1"/>
  </r>
  <r>
    <d v="2023-07-15T00:00:00"/>
    <x v="2"/>
    <x v="3"/>
    <x v="2"/>
    <x v="1678"/>
    <n v="980"/>
    <n v="20"/>
    <x v="1671"/>
    <x v="1767"/>
    <x v="2"/>
  </r>
  <r>
    <d v="2022-02-11T00:00:00"/>
    <x v="0"/>
    <x v="1"/>
    <x v="0"/>
    <x v="1679"/>
    <n v="5190"/>
    <n v="0"/>
    <x v="1672"/>
    <x v="1768"/>
    <x v="1"/>
  </r>
  <r>
    <d v="2023-11-09T00:00:00"/>
    <x v="2"/>
    <x v="3"/>
    <x v="2"/>
    <x v="1680"/>
    <n v="4598"/>
    <n v="20"/>
    <x v="1673"/>
    <x v="1769"/>
    <x v="2"/>
  </r>
  <r>
    <d v="2023-08-17T00:00:00"/>
    <x v="0"/>
    <x v="1"/>
    <x v="0"/>
    <x v="1681"/>
    <n v="624"/>
    <n v="20"/>
    <x v="1674"/>
    <x v="1770"/>
    <x v="2"/>
  </r>
  <r>
    <d v="2022-05-14T00:00:00"/>
    <x v="2"/>
    <x v="1"/>
    <x v="2"/>
    <x v="1682"/>
    <n v="8252"/>
    <n v="20"/>
    <x v="1675"/>
    <x v="1771"/>
    <x v="1"/>
  </r>
  <r>
    <d v="2024-12-26T00:00:00"/>
    <x v="3"/>
    <x v="0"/>
    <x v="0"/>
    <x v="1683"/>
    <n v="10783"/>
    <n v="0"/>
    <x v="1676"/>
    <x v="1772"/>
    <x v="0"/>
  </r>
  <r>
    <d v="2024-10-27T00:00:00"/>
    <x v="1"/>
    <x v="1"/>
    <x v="0"/>
    <x v="1684"/>
    <n v="1286"/>
    <n v="0"/>
    <x v="1677"/>
    <x v="1773"/>
    <x v="0"/>
  </r>
  <r>
    <d v="2024-08-05T00:00:00"/>
    <x v="1"/>
    <x v="3"/>
    <x v="0"/>
    <x v="1685"/>
    <n v="3418"/>
    <n v="20"/>
    <x v="1678"/>
    <x v="1774"/>
    <x v="0"/>
  </r>
  <r>
    <d v="2022-03-14T00:00:00"/>
    <x v="3"/>
    <x v="3"/>
    <x v="0"/>
    <x v="1686"/>
    <n v="1060"/>
    <n v="10"/>
    <x v="1679"/>
    <x v="1775"/>
    <x v="1"/>
  </r>
  <r>
    <d v="2023-02-03T00:00:00"/>
    <x v="0"/>
    <x v="2"/>
    <x v="1"/>
    <x v="1687"/>
    <n v="8058"/>
    <n v="15"/>
    <x v="1680"/>
    <x v="1776"/>
    <x v="2"/>
  </r>
  <r>
    <d v="2023-08-01T00:00:00"/>
    <x v="0"/>
    <x v="3"/>
    <x v="2"/>
    <x v="1688"/>
    <n v="9528"/>
    <n v="20"/>
    <x v="1681"/>
    <x v="1777"/>
    <x v="2"/>
  </r>
  <r>
    <d v="2024-05-08T00:00:00"/>
    <x v="0"/>
    <x v="2"/>
    <x v="2"/>
    <x v="1343"/>
    <n v="1206"/>
    <n v="5"/>
    <x v="1682"/>
    <x v="1778"/>
    <x v="0"/>
  </r>
  <r>
    <d v="2022-05-10T00:00:00"/>
    <x v="3"/>
    <x v="1"/>
    <x v="1"/>
    <x v="1425"/>
    <n v="5799"/>
    <n v="20"/>
    <x v="1683"/>
    <x v="1779"/>
    <x v="1"/>
  </r>
  <r>
    <d v="2024-07-19T00:00:00"/>
    <x v="0"/>
    <x v="3"/>
    <x v="0"/>
    <x v="1689"/>
    <n v="664"/>
    <n v="0"/>
    <x v="1475"/>
    <x v="1780"/>
    <x v="0"/>
  </r>
  <r>
    <d v="2022-09-23T00:00:00"/>
    <x v="3"/>
    <x v="1"/>
    <x v="0"/>
    <x v="1690"/>
    <n v="8069"/>
    <n v="15"/>
    <x v="1684"/>
    <x v="1781"/>
    <x v="1"/>
  </r>
  <r>
    <d v="2024-03-03T00:00:00"/>
    <x v="2"/>
    <x v="3"/>
    <x v="2"/>
    <x v="1691"/>
    <n v="3713"/>
    <n v="5"/>
    <x v="1685"/>
    <x v="1782"/>
    <x v="0"/>
  </r>
  <r>
    <d v="2022-09-10T00:00:00"/>
    <x v="2"/>
    <x v="3"/>
    <x v="1"/>
    <x v="1692"/>
    <n v="8327"/>
    <n v="15"/>
    <x v="1686"/>
    <x v="1783"/>
    <x v="1"/>
  </r>
  <r>
    <d v="2024-04-01T00:00:00"/>
    <x v="3"/>
    <x v="2"/>
    <x v="0"/>
    <x v="1693"/>
    <n v="8239"/>
    <n v="15"/>
    <x v="1687"/>
    <x v="1784"/>
    <x v="0"/>
  </r>
  <r>
    <d v="2022-06-13T00:00:00"/>
    <x v="1"/>
    <x v="1"/>
    <x v="0"/>
    <x v="1694"/>
    <n v="9561"/>
    <n v="5"/>
    <x v="1688"/>
    <x v="1785"/>
    <x v="1"/>
  </r>
  <r>
    <d v="2022-04-05T00:00:00"/>
    <x v="2"/>
    <x v="3"/>
    <x v="0"/>
    <x v="1695"/>
    <n v="10747"/>
    <n v="20"/>
    <x v="1632"/>
    <x v="1786"/>
    <x v="1"/>
  </r>
  <r>
    <d v="2024-04-12T00:00:00"/>
    <x v="0"/>
    <x v="0"/>
    <x v="3"/>
    <x v="1696"/>
    <n v="3381"/>
    <n v="20"/>
    <x v="1689"/>
    <x v="1787"/>
    <x v="0"/>
  </r>
  <r>
    <d v="2022-12-02T00:00:00"/>
    <x v="3"/>
    <x v="1"/>
    <x v="1"/>
    <x v="1697"/>
    <n v="5748"/>
    <n v="20"/>
    <x v="1690"/>
    <x v="1788"/>
    <x v="1"/>
  </r>
  <r>
    <d v="2024-04-01T00:00:00"/>
    <x v="0"/>
    <x v="1"/>
    <x v="0"/>
    <x v="1698"/>
    <n v="3558"/>
    <n v="10"/>
    <x v="1691"/>
    <x v="1789"/>
    <x v="0"/>
  </r>
  <r>
    <d v="2022-08-26T00:00:00"/>
    <x v="0"/>
    <x v="1"/>
    <x v="3"/>
    <x v="1699"/>
    <n v="2407"/>
    <n v="20"/>
    <x v="1692"/>
    <x v="1790"/>
    <x v="1"/>
  </r>
  <r>
    <d v="2023-01-16T00:00:00"/>
    <x v="1"/>
    <x v="2"/>
    <x v="1"/>
    <x v="1700"/>
    <n v="8228"/>
    <n v="5"/>
    <x v="695"/>
    <x v="1791"/>
    <x v="2"/>
  </r>
  <r>
    <d v="2024-06-17T00:00:00"/>
    <x v="0"/>
    <x v="0"/>
    <x v="0"/>
    <x v="1701"/>
    <n v="3233"/>
    <n v="10"/>
    <x v="1693"/>
    <x v="1792"/>
    <x v="0"/>
  </r>
  <r>
    <d v="2023-04-28T00:00:00"/>
    <x v="1"/>
    <x v="1"/>
    <x v="2"/>
    <x v="1702"/>
    <n v="3129"/>
    <n v="20"/>
    <x v="1694"/>
    <x v="1793"/>
    <x v="2"/>
  </r>
  <r>
    <d v="2024-06-20T00:00:00"/>
    <x v="2"/>
    <x v="3"/>
    <x v="3"/>
    <x v="1703"/>
    <n v="8933"/>
    <n v="10"/>
    <x v="1695"/>
    <x v="1794"/>
    <x v="0"/>
  </r>
  <r>
    <d v="2024-11-14T00:00:00"/>
    <x v="3"/>
    <x v="3"/>
    <x v="3"/>
    <x v="1704"/>
    <n v="5306"/>
    <n v="5"/>
    <x v="1696"/>
    <x v="1795"/>
    <x v="0"/>
  </r>
  <r>
    <d v="2023-04-27T00:00:00"/>
    <x v="0"/>
    <x v="2"/>
    <x v="0"/>
    <x v="1705"/>
    <n v="1859"/>
    <n v="20"/>
    <x v="1697"/>
    <x v="1796"/>
    <x v="2"/>
  </r>
  <r>
    <d v="2024-07-05T00:00:00"/>
    <x v="3"/>
    <x v="3"/>
    <x v="0"/>
    <x v="1706"/>
    <n v="2041"/>
    <n v="0"/>
    <x v="1698"/>
    <x v="1797"/>
    <x v="0"/>
  </r>
  <r>
    <d v="2024-09-20T00:00:00"/>
    <x v="0"/>
    <x v="1"/>
    <x v="3"/>
    <x v="1707"/>
    <n v="6130"/>
    <n v="5"/>
    <x v="1699"/>
    <x v="1798"/>
    <x v="0"/>
  </r>
  <r>
    <d v="2024-08-21T00:00:00"/>
    <x v="3"/>
    <x v="3"/>
    <x v="2"/>
    <x v="1708"/>
    <n v="7823"/>
    <n v="15"/>
    <x v="523"/>
    <x v="1799"/>
    <x v="0"/>
  </r>
  <r>
    <d v="2023-06-21T00:00:00"/>
    <x v="0"/>
    <x v="1"/>
    <x v="2"/>
    <x v="1709"/>
    <n v="925"/>
    <n v="15"/>
    <x v="1700"/>
    <x v="1800"/>
    <x v="2"/>
  </r>
  <r>
    <d v="2024-11-01T00:00:00"/>
    <x v="0"/>
    <x v="3"/>
    <x v="1"/>
    <x v="1710"/>
    <n v="1990"/>
    <n v="5"/>
    <x v="1701"/>
    <x v="1801"/>
    <x v="0"/>
  </r>
  <r>
    <d v="2022-05-08T00:00:00"/>
    <x v="0"/>
    <x v="0"/>
    <x v="0"/>
    <x v="1711"/>
    <n v="11273"/>
    <n v="15"/>
    <x v="1702"/>
    <x v="1802"/>
    <x v="1"/>
  </r>
  <r>
    <d v="2022-04-02T00:00:00"/>
    <x v="0"/>
    <x v="2"/>
    <x v="2"/>
    <x v="1712"/>
    <n v="8582"/>
    <n v="5"/>
    <x v="319"/>
    <x v="1803"/>
    <x v="1"/>
  </r>
  <r>
    <d v="2023-06-27T00:00:00"/>
    <x v="0"/>
    <x v="2"/>
    <x v="1"/>
    <x v="1713"/>
    <n v="6610"/>
    <n v="0"/>
    <x v="1703"/>
    <x v="1804"/>
    <x v="2"/>
  </r>
  <r>
    <d v="2024-04-25T00:00:00"/>
    <x v="0"/>
    <x v="0"/>
    <x v="2"/>
    <x v="1714"/>
    <n v="3306"/>
    <n v="5"/>
    <x v="1704"/>
    <x v="1805"/>
    <x v="0"/>
  </r>
  <r>
    <d v="2024-09-15T00:00:00"/>
    <x v="0"/>
    <x v="0"/>
    <x v="0"/>
    <x v="1715"/>
    <n v="4602"/>
    <n v="20"/>
    <x v="1705"/>
    <x v="1806"/>
    <x v="0"/>
  </r>
  <r>
    <d v="2023-03-23T00:00:00"/>
    <x v="0"/>
    <x v="2"/>
    <x v="1"/>
    <x v="1716"/>
    <n v="1388"/>
    <n v="20"/>
    <x v="1706"/>
    <x v="1807"/>
    <x v="2"/>
  </r>
  <r>
    <d v="2023-01-25T00:00:00"/>
    <x v="0"/>
    <x v="0"/>
    <x v="1"/>
    <x v="1717"/>
    <n v="6307"/>
    <n v="10"/>
    <x v="1707"/>
    <x v="1808"/>
    <x v="2"/>
  </r>
  <r>
    <d v="2023-11-03T00:00:00"/>
    <x v="3"/>
    <x v="1"/>
    <x v="1"/>
    <x v="1222"/>
    <n v="4911"/>
    <n v="15"/>
    <x v="1708"/>
    <x v="1809"/>
    <x v="2"/>
  </r>
  <r>
    <d v="2022-02-12T00:00:00"/>
    <x v="1"/>
    <x v="3"/>
    <x v="2"/>
    <x v="1718"/>
    <n v="9672"/>
    <n v="15"/>
    <x v="1709"/>
    <x v="1810"/>
    <x v="1"/>
  </r>
  <r>
    <d v="2022-09-11T00:00:00"/>
    <x v="0"/>
    <x v="2"/>
    <x v="0"/>
    <x v="1719"/>
    <n v="8228"/>
    <n v="5"/>
    <x v="1710"/>
    <x v="1811"/>
    <x v="1"/>
  </r>
  <r>
    <d v="2024-12-19T00:00:00"/>
    <x v="1"/>
    <x v="0"/>
    <x v="1"/>
    <x v="1720"/>
    <n v="10393"/>
    <n v="15"/>
    <x v="1711"/>
    <x v="1812"/>
    <x v="0"/>
  </r>
  <r>
    <d v="2023-10-25T00:00:00"/>
    <x v="0"/>
    <x v="1"/>
    <x v="3"/>
    <x v="1721"/>
    <n v="4790"/>
    <n v="20"/>
    <x v="1712"/>
    <x v="1813"/>
    <x v="2"/>
  </r>
  <r>
    <d v="2023-04-12T00:00:00"/>
    <x v="0"/>
    <x v="2"/>
    <x v="0"/>
    <x v="1722"/>
    <n v="8678"/>
    <n v="0"/>
    <x v="1713"/>
    <x v="1814"/>
    <x v="2"/>
  </r>
  <r>
    <d v="2022-10-14T00:00:00"/>
    <x v="3"/>
    <x v="0"/>
    <x v="3"/>
    <x v="1723"/>
    <n v="1897"/>
    <n v="5"/>
    <x v="1714"/>
    <x v="1815"/>
    <x v="1"/>
  </r>
  <r>
    <d v="2024-10-07T00:00:00"/>
    <x v="2"/>
    <x v="2"/>
    <x v="3"/>
    <x v="1724"/>
    <n v="11900"/>
    <n v="15"/>
    <x v="1715"/>
    <x v="1816"/>
    <x v="0"/>
  </r>
  <r>
    <d v="2024-02-17T00:00:00"/>
    <x v="2"/>
    <x v="0"/>
    <x v="1"/>
    <x v="593"/>
    <n v="4047"/>
    <n v="20"/>
    <x v="1716"/>
    <x v="1817"/>
    <x v="0"/>
  </r>
  <r>
    <d v="2022-12-11T00:00:00"/>
    <x v="3"/>
    <x v="2"/>
    <x v="1"/>
    <x v="1725"/>
    <n v="2970"/>
    <n v="10"/>
    <x v="1717"/>
    <x v="1818"/>
    <x v="1"/>
  </r>
  <r>
    <d v="2023-10-04T00:00:00"/>
    <x v="1"/>
    <x v="1"/>
    <x v="2"/>
    <x v="1726"/>
    <n v="8731"/>
    <n v="15"/>
    <x v="1718"/>
    <x v="1819"/>
    <x v="2"/>
  </r>
  <r>
    <d v="2023-01-17T00:00:00"/>
    <x v="2"/>
    <x v="1"/>
    <x v="2"/>
    <x v="1727"/>
    <n v="2880"/>
    <n v="0"/>
    <x v="1719"/>
    <x v="1820"/>
    <x v="2"/>
  </r>
  <r>
    <d v="2023-11-21T00:00:00"/>
    <x v="3"/>
    <x v="3"/>
    <x v="2"/>
    <x v="1728"/>
    <n v="7732"/>
    <n v="0"/>
    <x v="1720"/>
    <x v="1821"/>
    <x v="2"/>
  </r>
  <r>
    <d v="2024-12-15T00:00:00"/>
    <x v="3"/>
    <x v="2"/>
    <x v="0"/>
    <x v="1351"/>
    <n v="8630"/>
    <n v="15"/>
    <x v="1721"/>
    <x v="1822"/>
    <x v="0"/>
  </r>
  <r>
    <d v="2023-04-02T00:00:00"/>
    <x v="2"/>
    <x v="3"/>
    <x v="2"/>
    <x v="1729"/>
    <n v="2806"/>
    <n v="15"/>
    <x v="1722"/>
    <x v="1823"/>
    <x v="2"/>
  </r>
  <r>
    <d v="2024-09-09T00:00:00"/>
    <x v="1"/>
    <x v="2"/>
    <x v="3"/>
    <x v="1730"/>
    <n v="5025"/>
    <n v="20"/>
    <x v="1723"/>
    <x v="1824"/>
    <x v="0"/>
  </r>
  <r>
    <d v="2022-03-24T00:00:00"/>
    <x v="3"/>
    <x v="0"/>
    <x v="2"/>
    <x v="1731"/>
    <n v="10737"/>
    <n v="15"/>
    <x v="1724"/>
    <x v="1825"/>
    <x v="1"/>
  </r>
  <r>
    <d v="2022-05-29T00:00:00"/>
    <x v="0"/>
    <x v="0"/>
    <x v="1"/>
    <x v="1732"/>
    <n v="4600"/>
    <n v="10"/>
    <x v="1725"/>
    <x v="1826"/>
    <x v="1"/>
  </r>
  <r>
    <d v="2022-07-09T00:00:00"/>
    <x v="1"/>
    <x v="3"/>
    <x v="2"/>
    <x v="423"/>
    <n v="10241"/>
    <n v="20"/>
    <x v="44"/>
    <x v="1827"/>
    <x v="1"/>
  </r>
  <r>
    <d v="2024-06-01T00:00:00"/>
    <x v="1"/>
    <x v="2"/>
    <x v="0"/>
    <x v="1733"/>
    <n v="9059"/>
    <n v="5"/>
    <x v="1726"/>
    <x v="1828"/>
    <x v="0"/>
  </r>
  <r>
    <d v="2022-09-20T00:00:00"/>
    <x v="2"/>
    <x v="3"/>
    <x v="0"/>
    <x v="1734"/>
    <n v="7302"/>
    <n v="10"/>
    <x v="1727"/>
    <x v="1829"/>
    <x v="1"/>
  </r>
  <r>
    <d v="2023-02-04T00:00:00"/>
    <x v="2"/>
    <x v="1"/>
    <x v="3"/>
    <x v="1735"/>
    <n v="9373"/>
    <n v="20"/>
    <x v="1728"/>
    <x v="1830"/>
    <x v="2"/>
  </r>
  <r>
    <d v="2024-02-03T00:00:00"/>
    <x v="0"/>
    <x v="3"/>
    <x v="0"/>
    <x v="1736"/>
    <n v="6431"/>
    <n v="20"/>
    <x v="1729"/>
    <x v="1831"/>
    <x v="0"/>
  </r>
  <r>
    <d v="2023-09-01T00:00:00"/>
    <x v="3"/>
    <x v="3"/>
    <x v="2"/>
    <x v="1737"/>
    <n v="9131"/>
    <n v="0"/>
    <x v="1730"/>
    <x v="1832"/>
    <x v="2"/>
  </r>
  <r>
    <d v="2024-02-24T00:00:00"/>
    <x v="2"/>
    <x v="0"/>
    <x v="1"/>
    <x v="1738"/>
    <n v="4837"/>
    <n v="20"/>
    <x v="1731"/>
    <x v="1833"/>
    <x v="0"/>
  </r>
  <r>
    <d v="2022-04-11T00:00:00"/>
    <x v="2"/>
    <x v="3"/>
    <x v="0"/>
    <x v="1739"/>
    <n v="2635"/>
    <n v="10"/>
    <x v="1732"/>
    <x v="1834"/>
    <x v="1"/>
  </r>
  <r>
    <d v="2024-03-30T00:00:00"/>
    <x v="1"/>
    <x v="2"/>
    <x v="3"/>
    <x v="1740"/>
    <n v="4621"/>
    <n v="15"/>
    <x v="1733"/>
    <x v="1835"/>
    <x v="0"/>
  </r>
  <r>
    <d v="2024-03-30T00:00:00"/>
    <x v="2"/>
    <x v="0"/>
    <x v="2"/>
    <x v="1741"/>
    <n v="3285"/>
    <n v="10"/>
    <x v="1054"/>
    <x v="1836"/>
    <x v="0"/>
  </r>
  <r>
    <d v="2023-02-24T00:00:00"/>
    <x v="2"/>
    <x v="3"/>
    <x v="3"/>
    <x v="1742"/>
    <n v="859"/>
    <n v="5"/>
    <x v="1734"/>
    <x v="1837"/>
    <x v="2"/>
  </r>
  <r>
    <d v="2022-05-04T00:00:00"/>
    <x v="2"/>
    <x v="1"/>
    <x v="0"/>
    <x v="359"/>
    <n v="1013"/>
    <n v="20"/>
    <x v="1735"/>
    <x v="1838"/>
    <x v="1"/>
  </r>
  <r>
    <d v="2023-02-26T00:00:00"/>
    <x v="2"/>
    <x v="3"/>
    <x v="0"/>
    <x v="1743"/>
    <n v="4893"/>
    <n v="20"/>
    <x v="1736"/>
    <x v="1839"/>
    <x v="2"/>
  </r>
  <r>
    <d v="2024-12-22T00:00:00"/>
    <x v="1"/>
    <x v="3"/>
    <x v="3"/>
    <x v="1744"/>
    <n v="4288"/>
    <n v="20"/>
    <x v="1737"/>
    <x v="1840"/>
    <x v="0"/>
  </r>
  <r>
    <d v="2024-02-07T00:00:00"/>
    <x v="0"/>
    <x v="3"/>
    <x v="2"/>
    <x v="1745"/>
    <n v="6503"/>
    <n v="20"/>
    <x v="1738"/>
    <x v="1841"/>
    <x v="0"/>
  </r>
  <r>
    <d v="2023-04-28T00:00:00"/>
    <x v="0"/>
    <x v="0"/>
    <x v="0"/>
    <x v="1746"/>
    <n v="556"/>
    <n v="0"/>
    <x v="1739"/>
    <x v="1842"/>
    <x v="2"/>
  </r>
  <r>
    <d v="2023-06-03T00:00:00"/>
    <x v="3"/>
    <x v="2"/>
    <x v="1"/>
    <x v="1747"/>
    <n v="9068"/>
    <n v="0"/>
    <x v="1740"/>
    <x v="1843"/>
    <x v="2"/>
  </r>
  <r>
    <d v="2022-06-04T00:00:00"/>
    <x v="2"/>
    <x v="1"/>
    <x v="0"/>
    <x v="1748"/>
    <n v="337"/>
    <n v="15"/>
    <x v="1741"/>
    <x v="1844"/>
    <x v="1"/>
  </r>
  <r>
    <d v="2022-04-02T00:00:00"/>
    <x v="1"/>
    <x v="3"/>
    <x v="2"/>
    <x v="1749"/>
    <n v="10564"/>
    <n v="20"/>
    <x v="1742"/>
    <x v="1845"/>
    <x v="1"/>
  </r>
  <r>
    <d v="2024-09-08T00:00:00"/>
    <x v="3"/>
    <x v="2"/>
    <x v="0"/>
    <x v="1750"/>
    <n v="8952"/>
    <n v="5"/>
    <x v="1743"/>
    <x v="1846"/>
    <x v="0"/>
  </r>
  <r>
    <d v="2023-03-31T00:00:00"/>
    <x v="3"/>
    <x v="2"/>
    <x v="3"/>
    <x v="1751"/>
    <n v="9932"/>
    <n v="15"/>
    <x v="1744"/>
    <x v="1847"/>
    <x v="2"/>
  </r>
  <r>
    <d v="2023-08-21T00:00:00"/>
    <x v="0"/>
    <x v="0"/>
    <x v="0"/>
    <x v="1306"/>
    <n v="2132"/>
    <n v="20"/>
    <x v="1745"/>
    <x v="1848"/>
    <x v="2"/>
  </r>
  <r>
    <d v="2023-05-25T00:00:00"/>
    <x v="1"/>
    <x v="1"/>
    <x v="0"/>
    <x v="1752"/>
    <n v="7900"/>
    <n v="0"/>
    <x v="1746"/>
    <x v="1849"/>
    <x v="2"/>
  </r>
  <r>
    <d v="2023-01-21T00:00:00"/>
    <x v="1"/>
    <x v="0"/>
    <x v="2"/>
    <x v="1753"/>
    <n v="5467"/>
    <n v="5"/>
    <x v="1747"/>
    <x v="1850"/>
    <x v="2"/>
  </r>
  <r>
    <d v="2023-02-09T00:00:00"/>
    <x v="1"/>
    <x v="2"/>
    <x v="3"/>
    <x v="617"/>
    <n v="11891"/>
    <n v="15"/>
    <x v="1748"/>
    <x v="1851"/>
    <x v="2"/>
  </r>
  <r>
    <d v="2022-09-03T00:00:00"/>
    <x v="0"/>
    <x v="2"/>
    <x v="2"/>
    <x v="1754"/>
    <n v="732"/>
    <n v="5"/>
    <x v="1749"/>
    <x v="1852"/>
    <x v="1"/>
  </r>
  <r>
    <d v="2024-01-12T00:00:00"/>
    <x v="0"/>
    <x v="2"/>
    <x v="0"/>
    <x v="1755"/>
    <n v="4451"/>
    <n v="20"/>
    <x v="1750"/>
    <x v="1853"/>
    <x v="0"/>
  </r>
  <r>
    <d v="2023-10-23T00:00:00"/>
    <x v="0"/>
    <x v="0"/>
    <x v="1"/>
    <x v="1756"/>
    <n v="6711"/>
    <n v="10"/>
    <x v="1470"/>
    <x v="1854"/>
    <x v="2"/>
  </r>
  <r>
    <d v="2023-10-12T00:00:00"/>
    <x v="0"/>
    <x v="1"/>
    <x v="0"/>
    <x v="636"/>
    <n v="2051"/>
    <n v="5"/>
    <x v="1751"/>
    <x v="1855"/>
    <x v="2"/>
  </r>
  <r>
    <d v="2024-06-19T00:00:00"/>
    <x v="0"/>
    <x v="3"/>
    <x v="2"/>
    <x v="1757"/>
    <n v="10539"/>
    <n v="5"/>
    <x v="1375"/>
    <x v="1856"/>
    <x v="0"/>
  </r>
  <r>
    <d v="2022-03-06T00:00:00"/>
    <x v="2"/>
    <x v="0"/>
    <x v="1"/>
    <x v="1758"/>
    <n v="5297"/>
    <n v="0"/>
    <x v="1752"/>
    <x v="1857"/>
    <x v="1"/>
  </r>
  <r>
    <d v="2024-11-02T00:00:00"/>
    <x v="2"/>
    <x v="2"/>
    <x v="2"/>
    <x v="600"/>
    <n v="6020"/>
    <n v="20"/>
    <x v="1753"/>
    <x v="1858"/>
    <x v="0"/>
  </r>
  <r>
    <d v="2022-08-01T00:00:00"/>
    <x v="1"/>
    <x v="0"/>
    <x v="2"/>
    <x v="356"/>
    <n v="7916"/>
    <n v="5"/>
    <x v="1754"/>
    <x v="1859"/>
    <x v="1"/>
  </r>
  <r>
    <d v="2022-08-30T00:00:00"/>
    <x v="3"/>
    <x v="2"/>
    <x v="3"/>
    <x v="1759"/>
    <n v="11332"/>
    <n v="20"/>
    <x v="1755"/>
    <x v="1860"/>
    <x v="1"/>
  </r>
  <r>
    <d v="2023-05-08T00:00:00"/>
    <x v="1"/>
    <x v="3"/>
    <x v="1"/>
    <x v="1760"/>
    <n v="556"/>
    <n v="0"/>
    <x v="1756"/>
    <x v="1861"/>
    <x v="2"/>
  </r>
  <r>
    <d v="2022-12-04T00:00:00"/>
    <x v="3"/>
    <x v="3"/>
    <x v="0"/>
    <x v="1761"/>
    <n v="971"/>
    <n v="20"/>
    <x v="1757"/>
    <x v="1862"/>
    <x v="1"/>
  </r>
  <r>
    <d v="2022-06-22T00:00:00"/>
    <x v="0"/>
    <x v="1"/>
    <x v="2"/>
    <x v="1762"/>
    <n v="789"/>
    <n v="0"/>
    <x v="1758"/>
    <x v="1863"/>
    <x v="1"/>
  </r>
  <r>
    <d v="2023-11-03T00:00:00"/>
    <x v="3"/>
    <x v="2"/>
    <x v="0"/>
    <x v="1763"/>
    <n v="7189"/>
    <n v="0"/>
    <x v="1759"/>
    <x v="1864"/>
    <x v="2"/>
  </r>
  <r>
    <d v="2022-06-13T00:00:00"/>
    <x v="1"/>
    <x v="1"/>
    <x v="3"/>
    <x v="1764"/>
    <n v="2396"/>
    <n v="15"/>
    <x v="1760"/>
    <x v="1865"/>
    <x v="1"/>
  </r>
  <r>
    <d v="2023-04-10T00:00:00"/>
    <x v="1"/>
    <x v="1"/>
    <x v="3"/>
    <x v="1765"/>
    <n v="1982"/>
    <n v="20"/>
    <x v="1761"/>
    <x v="1866"/>
    <x v="2"/>
  </r>
  <r>
    <d v="2024-09-21T00:00:00"/>
    <x v="3"/>
    <x v="3"/>
    <x v="1"/>
    <x v="1766"/>
    <n v="2760"/>
    <n v="10"/>
    <x v="1762"/>
    <x v="1867"/>
    <x v="0"/>
  </r>
  <r>
    <d v="2023-05-12T00:00:00"/>
    <x v="2"/>
    <x v="0"/>
    <x v="3"/>
    <x v="1767"/>
    <n v="4829"/>
    <n v="15"/>
    <x v="1763"/>
    <x v="1868"/>
    <x v="2"/>
  </r>
  <r>
    <d v="2023-12-01T00:00:00"/>
    <x v="0"/>
    <x v="0"/>
    <x v="3"/>
    <x v="1768"/>
    <n v="5421"/>
    <n v="0"/>
    <x v="1764"/>
    <x v="1869"/>
    <x v="2"/>
  </r>
  <r>
    <d v="2023-01-30T00:00:00"/>
    <x v="0"/>
    <x v="1"/>
    <x v="0"/>
    <x v="1769"/>
    <n v="2275"/>
    <n v="10"/>
    <x v="1765"/>
    <x v="1870"/>
    <x v="2"/>
  </r>
  <r>
    <d v="2023-12-04T00:00:00"/>
    <x v="1"/>
    <x v="3"/>
    <x v="3"/>
    <x v="1770"/>
    <n v="3516"/>
    <n v="5"/>
    <x v="1766"/>
    <x v="1871"/>
    <x v="2"/>
  </r>
  <r>
    <d v="2022-11-04T00:00:00"/>
    <x v="2"/>
    <x v="2"/>
    <x v="3"/>
    <x v="1771"/>
    <n v="9881"/>
    <n v="5"/>
    <x v="1767"/>
    <x v="1872"/>
    <x v="1"/>
  </r>
  <r>
    <d v="2022-07-02T00:00:00"/>
    <x v="3"/>
    <x v="0"/>
    <x v="2"/>
    <x v="1772"/>
    <n v="4815"/>
    <n v="15"/>
    <x v="1768"/>
    <x v="1873"/>
    <x v="1"/>
  </r>
  <r>
    <d v="2023-09-21T00:00:00"/>
    <x v="0"/>
    <x v="1"/>
    <x v="3"/>
    <x v="1773"/>
    <n v="5992"/>
    <n v="10"/>
    <x v="1769"/>
    <x v="1874"/>
    <x v="2"/>
  </r>
  <r>
    <d v="2023-05-25T00:00:00"/>
    <x v="2"/>
    <x v="0"/>
    <x v="2"/>
    <x v="1774"/>
    <n v="10076"/>
    <n v="20"/>
    <x v="1770"/>
    <x v="1875"/>
    <x v="2"/>
  </r>
  <r>
    <d v="2023-06-30T00:00:00"/>
    <x v="0"/>
    <x v="0"/>
    <x v="3"/>
    <x v="1775"/>
    <n v="5239"/>
    <n v="10"/>
    <x v="1771"/>
    <x v="1876"/>
    <x v="2"/>
  </r>
  <r>
    <d v="2023-09-16T00:00:00"/>
    <x v="2"/>
    <x v="2"/>
    <x v="3"/>
    <x v="1776"/>
    <n v="5863"/>
    <n v="15"/>
    <x v="1772"/>
    <x v="1877"/>
    <x v="2"/>
  </r>
  <r>
    <d v="2023-08-17T00:00:00"/>
    <x v="2"/>
    <x v="3"/>
    <x v="1"/>
    <x v="1777"/>
    <n v="3263"/>
    <n v="20"/>
    <x v="1773"/>
    <x v="1878"/>
    <x v="2"/>
  </r>
  <r>
    <d v="2024-01-14T00:00:00"/>
    <x v="1"/>
    <x v="2"/>
    <x v="1"/>
    <x v="1778"/>
    <n v="4829"/>
    <n v="20"/>
    <x v="1774"/>
    <x v="1879"/>
    <x v="0"/>
  </r>
  <r>
    <d v="2023-07-08T00:00:00"/>
    <x v="0"/>
    <x v="3"/>
    <x v="2"/>
    <x v="1779"/>
    <n v="7086"/>
    <n v="5"/>
    <x v="1775"/>
    <x v="1880"/>
    <x v="2"/>
  </r>
  <r>
    <d v="2022-01-21T00:00:00"/>
    <x v="3"/>
    <x v="0"/>
    <x v="3"/>
    <x v="1780"/>
    <n v="6500"/>
    <n v="10"/>
    <x v="1776"/>
    <x v="1881"/>
    <x v="1"/>
  </r>
  <r>
    <d v="2023-07-08T00:00:00"/>
    <x v="1"/>
    <x v="1"/>
    <x v="0"/>
    <x v="1781"/>
    <n v="1276"/>
    <n v="20"/>
    <x v="1777"/>
    <x v="1882"/>
    <x v="2"/>
  </r>
  <r>
    <d v="2023-02-01T00:00:00"/>
    <x v="1"/>
    <x v="2"/>
    <x v="1"/>
    <x v="1782"/>
    <n v="7645"/>
    <n v="15"/>
    <x v="1778"/>
    <x v="1883"/>
    <x v="2"/>
  </r>
  <r>
    <d v="2023-09-17T00:00:00"/>
    <x v="3"/>
    <x v="3"/>
    <x v="0"/>
    <x v="1783"/>
    <n v="11856"/>
    <n v="5"/>
    <x v="1779"/>
    <x v="1884"/>
    <x v="2"/>
  </r>
  <r>
    <d v="2022-04-15T00:00:00"/>
    <x v="1"/>
    <x v="0"/>
    <x v="1"/>
    <x v="1784"/>
    <n v="345"/>
    <n v="20"/>
    <x v="1189"/>
    <x v="1885"/>
    <x v="1"/>
  </r>
  <r>
    <d v="2022-07-11T00:00:00"/>
    <x v="2"/>
    <x v="3"/>
    <x v="1"/>
    <x v="1785"/>
    <n v="1493"/>
    <n v="10"/>
    <x v="1780"/>
    <x v="1886"/>
    <x v="1"/>
  </r>
  <r>
    <d v="2022-01-17T00:00:00"/>
    <x v="2"/>
    <x v="3"/>
    <x v="3"/>
    <x v="167"/>
    <n v="11834"/>
    <n v="5"/>
    <x v="1781"/>
    <x v="1887"/>
    <x v="1"/>
  </r>
  <r>
    <d v="2023-01-28T00:00:00"/>
    <x v="0"/>
    <x v="3"/>
    <x v="1"/>
    <x v="1786"/>
    <n v="4812"/>
    <n v="10"/>
    <x v="1782"/>
    <x v="1888"/>
    <x v="2"/>
  </r>
  <r>
    <d v="2023-03-01T00:00:00"/>
    <x v="0"/>
    <x v="0"/>
    <x v="0"/>
    <x v="1787"/>
    <n v="5243"/>
    <n v="10"/>
    <x v="1783"/>
    <x v="1889"/>
    <x v="2"/>
  </r>
  <r>
    <d v="2022-05-09T00:00:00"/>
    <x v="3"/>
    <x v="1"/>
    <x v="1"/>
    <x v="1788"/>
    <n v="6582"/>
    <n v="10"/>
    <x v="1784"/>
    <x v="1890"/>
    <x v="1"/>
  </r>
  <r>
    <d v="2023-07-26T00:00:00"/>
    <x v="0"/>
    <x v="1"/>
    <x v="2"/>
    <x v="1789"/>
    <n v="546"/>
    <n v="5"/>
    <x v="1785"/>
    <x v="1891"/>
    <x v="2"/>
  </r>
  <r>
    <d v="2022-01-29T00:00:00"/>
    <x v="2"/>
    <x v="1"/>
    <x v="3"/>
    <x v="1504"/>
    <n v="3519"/>
    <n v="20"/>
    <x v="1786"/>
    <x v="1892"/>
    <x v="1"/>
  </r>
  <r>
    <d v="2024-10-30T00:00:00"/>
    <x v="3"/>
    <x v="3"/>
    <x v="3"/>
    <x v="1790"/>
    <n v="9283"/>
    <n v="0"/>
    <x v="1787"/>
    <x v="1893"/>
    <x v="0"/>
  </r>
  <r>
    <d v="2022-08-30T00:00:00"/>
    <x v="3"/>
    <x v="0"/>
    <x v="2"/>
    <x v="1791"/>
    <n v="936"/>
    <n v="20"/>
    <x v="1788"/>
    <x v="1894"/>
    <x v="1"/>
  </r>
  <r>
    <d v="2022-08-20T00:00:00"/>
    <x v="0"/>
    <x v="3"/>
    <x v="2"/>
    <x v="1792"/>
    <n v="4075"/>
    <n v="5"/>
    <x v="1789"/>
    <x v="1895"/>
    <x v="1"/>
  </r>
  <r>
    <d v="2024-02-28T00:00:00"/>
    <x v="2"/>
    <x v="1"/>
    <x v="2"/>
    <x v="1793"/>
    <n v="2721"/>
    <n v="0"/>
    <x v="1654"/>
    <x v="1896"/>
    <x v="0"/>
  </r>
  <r>
    <d v="2023-12-16T00:00:00"/>
    <x v="3"/>
    <x v="1"/>
    <x v="1"/>
    <x v="1794"/>
    <n v="9580"/>
    <n v="0"/>
    <x v="1790"/>
    <x v="1897"/>
    <x v="2"/>
  </r>
  <r>
    <d v="2024-01-29T00:00:00"/>
    <x v="2"/>
    <x v="0"/>
    <x v="3"/>
    <x v="1795"/>
    <n v="4483"/>
    <n v="0"/>
    <x v="1791"/>
    <x v="1898"/>
    <x v="0"/>
  </r>
  <r>
    <d v="2024-03-12T00:00:00"/>
    <x v="2"/>
    <x v="3"/>
    <x v="2"/>
    <x v="1796"/>
    <n v="11651"/>
    <n v="15"/>
    <x v="1792"/>
    <x v="1899"/>
    <x v="0"/>
  </r>
  <r>
    <d v="2024-02-15T00:00:00"/>
    <x v="2"/>
    <x v="2"/>
    <x v="1"/>
    <x v="1797"/>
    <n v="1012"/>
    <n v="5"/>
    <x v="1793"/>
    <x v="1900"/>
    <x v="0"/>
  </r>
  <r>
    <d v="2023-12-27T00:00:00"/>
    <x v="0"/>
    <x v="2"/>
    <x v="2"/>
    <x v="1798"/>
    <n v="6145"/>
    <n v="15"/>
    <x v="1794"/>
    <x v="1901"/>
    <x v="2"/>
  </r>
  <r>
    <d v="2022-07-19T00:00:00"/>
    <x v="1"/>
    <x v="1"/>
    <x v="0"/>
    <x v="1799"/>
    <n v="5623"/>
    <n v="0"/>
    <x v="1795"/>
    <x v="1902"/>
    <x v="1"/>
  </r>
  <r>
    <d v="2024-08-02T00:00:00"/>
    <x v="1"/>
    <x v="0"/>
    <x v="0"/>
    <x v="1800"/>
    <n v="6332"/>
    <n v="15"/>
    <x v="229"/>
    <x v="1903"/>
    <x v="0"/>
  </r>
  <r>
    <d v="2022-03-20T00:00:00"/>
    <x v="3"/>
    <x v="3"/>
    <x v="3"/>
    <x v="1801"/>
    <n v="3944"/>
    <n v="15"/>
    <x v="1796"/>
    <x v="1904"/>
    <x v="1"/>
  </r>
  <r>
    <d v="2024-08-13T00:00:00"/>
    <x v="2"/>
    <x v="3"/>
    <x v="1"/>
    <x v="1802"/>
    <n v="8073"/>
    <n v="5"/>
    <x v="1797"/>
    <x v="1905"/>
    <x v="0"/>
  </r>
  <r>
    <d v="2024-05-05T00:00:00"/>
    <x v="0"/>
    <x v="1"/>
    <x v="0"/>
    <x v="1803"/>
    <n v="11078"/>
    <n v="10"/>
    <x v="1798"/>
    <x v="1906"/>
    <x v="0"/>
  </r>
  <r>
    <d v="2023-04-12T00:00:00"/>
    <x v="2"/>
    <x v="1"/>
    <x v="0"/>
    <x v="1804"/>
    <n v="2408"/>
    <n v="15"/>
    <x v="1799"/>
    <x v="1907"/>
    <x v="2"/>
  </r>
  <r>
    <d v="2023-08-04T00:00:00"/>
    <x v="2"/>
    <x v="3"/>
    <x v="1"/>
    <x v="1805"/>
    <n v="3914"/>
    <n v="15"/>
    <x v="1800"/>
    <x v="1908"/>
    <x v="2"/>
  </r>
  <r>
    <d v="2024-07-28T00:00:00"/>
    <x v="0"/>
    <x v="3"/>
    <x v="2"/>
    <x v="1040"/>
    <n v="9734"/>
    <n v="0"/>
    <x v="1801"/>
    <x v="1909"/>
    <x v="0"/>
  </r>
  <r>
    <d v="2023-03-25T00:00:00"/>
    <x v="1"/>
    <x v="1"/>
    <x v="1"/>
    <x v="1806"/>
    <n v="10551"/>
    <n v="0"/>
    <x v="1802"/>
    <x v="1910"/>
    <x v="2"/>
  </r>
  <r>
    <d v="2022-03-28T00:00:00"/>
    <x v="2"/>
    <x v="3"/>
    <x v="2"/>
    <x v="438"/>
    <n v="7257"/>
    <n v="0"/>
    <x v="1803"/>
    <x v="1911"/>
    <x v="1"/>
  </r>
  <r>
    <d v="2022-04-11T00:00:00"/>
    <x v="2"/>
    <x v="2"/>
    <x v="0"/>
    <x v="1807"/>
    <n v="11978"/>
    <n v="20"/>
    <x v="1804"/>
    <x v="1912"/>
    <x v="1"/>
  </r>
  <r>
    <d v="2024-10-28T00:00:00"/>
    <x v="1"/>
    <x v="1"/>
    <x v="0"/>
    <x v="1808"/>
    <n v="5579"/>
    <n v="15"/>
    <x v="1805"/>
    <x v="1913"/>
    <x v="0"/>
  </r>
  <r>
    <d v="2024-04-24T00:00:00"/>
    <x v="0"/>
    <x v="3"/>
    <x v="0"/>
    <x v="1809"/>
    <n v="4632"/>
    <n v="0"/>
    <x v="1806"/>
    <x v="1914"/>
    <x v="0"/>
  </r>
  <r>
    <d v="2022-03-28T00:00:00"/>
    <x v="3"/>
    <x v="1"/>
    <x v="3"/>
    <x v="1810"/>
    <n v="4200"/>
    <n v="5"/>
    <x v="1807"/>
    <x v="1915"/>
    <x v="1"/>
  </r>
  <r>
    <d v="2022-02-12T00:00:00"/>
    <x v="1"/>
    <x v="0"/>
    <x v="3"/>
    <x v="1811"/>
    <n v="11097"/>
    <n v="20"/>
    <x v="1808"/>
    <x v="1916"/>
    <x v="1"/>
  </r>
  <r>
    <d v="2023-02-12T00:00:00"/>
    <x v="3"/>
    <x v="1"/>
    <x v="3"/>
    <x v="1503"/>
    <n v="8239"/>
    <n v="10"/>
    <x v="1809"/>
    <x v="1917"/>
    <x v="2"/>
  </r>
  <r>
    <d v="2023-10-26T00:00:00"/>
    <x v="3"/>
    <x v="1"/>
    <x v="1"/>
    <x v="1812"/>
    <n v="11526"/>
    <n v="15"/>
    <x v="1810"/>
    <x v="1918"/>
    <x v="2"/>
  </r>
  <r>
    <d v="2024-11-06T00:00:00"/>
    <x v="1"/>
    <x v="0"/>
    <x v="0"/>
    <x v="1813"/>
    <n v="7263"/>
    <n v="15"/>
    <x v="1811"/>
    <x v="1919"/>
    <x v="0"/>
  </r>
  <r>
    <d v="2022-05-28T00:00:00"/>
    <x v="2"/>
    <x v="2"/>
    <x v="0"/>
    <x v="1814"/>
    <n v="4868"/>
    <n v="5"/>
    <x v="1812"/>
    <x v="1920"/>
    <x v="1"/>
  </r>
  <r>
    <d v="2022-10-04T00:00:00"/>
    <x v="3"/>
    <x v="3"/>
    <x v="1"/>
    <x v="1815"/>
    <n v="8138"/>
    <n v="10"/>
    <x v="1813"/>
    <x v="1921"/>
    <x v="1"/>
  </r>
  <r>
    <d v="2022-08-20T00:00:00"/>
    <x v="3"/>
    <x v="0"/>
    <x v="3"/>
    <x v="1816"/>
    <n v="11855"/>
    <n v="10"/>
    <x v="1814"/>
    <x v="1922"/>
    <x v="1"/>
  </r>
  <r>
    <d v="2023-01-01T00:00:00"/>
    <x v="0"/>
    <x v="1"/>
    <x v="1"/>
    <x v="1817"/>
    <n v="2145"/>
    <n v="20"/>
    <x v="787"/>
    <x v="1923"/>
    <x v="2"/>
  </r>
  <r>
    <d v="2023-03-12T00:00:00"/>
    <x v="2"/>
    <x v="3"/>
    <x v="3"/>
    <x v="1818"/>
    <n v="682"/>
    <n v="15"/>
    <x v="823"/>
    <x v="1924"/>
    <x v="2"/>
  </r>
  <r>
    <d v="2023-02-03T00:00:00"/>
    <x v="3"/>
    <x v="0"/>
    <x v="0"/>
    <x v="1819"/>
    <n v="4412"/>
    <n v="0"/>
    <x v="1815"/>
    <x v="1925"/>
    <x v="2"/>
  </r>
  <r>
    <d v="2023-05-14T00:00:00"/>
    <x v="0"/>
    <x v="3"/>
    <x v="2"/>
    <x v="1820"/>
    <n v="7369"/>
    <n v="5"/>
    <x v="1816"/>
    <x v="1926"/>
    <x v="2"/>
  </r>
  <r>
    <d v="2023-06-24T00:00:00"/>
    <x v="2"/>
    <x v="3"/>
    <x v="3"/>
    <x v="1821"/>
    <n v="4110"/>
    <n v="5"/>
    <x v="1817"/>
    <x v="1927"/>
    <x v="2"/>
  </r>
  <r>
    <d v="2023-07-17T00:00:00"/>
    <x v="1"/>
    <x v="0"/>
    <x v="0"/>
    <x v="1822"/>
    <n v="10388"/>
    <n v="5"/>
    <x v="1818"/>
    <x v="1928"/>
    <x v="2"/>
  </r>
  <r>
    <d v="2023-03-18T00:00:00"/>
    <x v="1"/>
    <x v="3"/>
    <x v="0"/>
    <x v="158"/>
    <n v="1809"/>
    <n v="5"/>
    <x v="1819"/>
    <x v="1929"/>
    <x v="2"/>
  </r>
  <r>
    <d v="2024-02-12T00:00:00"/>
    <x v="0"/>
    <x v="2"/>
    <x v="2"/>
    <x v="1823"/>
    <n v="7873"/>
    <n v="0"/>
    <x v="1820"/>
    <x v="1930"/>
    <x v="0"/>
  </r>
  <r>
    <d v="2022-12-16T00:00:00"/>
    <x v="1"/>
    <x v="0"/>
    <x v="0"/>
    <x v="1824"/>
    <n v="1878"/>
    <n v="0"/>
    <x v="1821"/>
    <x v="1931"/>
    <x v="1"/>
  </r>
  <r>
    <d v="2023-06-04T00:00:00"/>
    <x v="3"/>
    <x v="2"/>
    <x v="0"/>
    <x v="1825"/>
    <n v="1179"/>
    <n v="20"/>
    <x v="1822"/>
    <x v="1932"/>
    <x v="2"/>
  </r>
  <r>
    <d v="2022-05-18T00:00:00"/>
    <x v="2"/>
    <x v="1"/>
    <x v="3"/>
    <x v="1826"/>
    <n v="2462"/>
    <n v="15"/>
    <x v="1823"/>
    <x v="1933"/>
    <x v="1"/>
  </r>
  <r>
    <d v="2024-09-18T00:00:00"/>
    <x v="3"/>
    <x v="3"/>
    <x v="3"/>
    <x v="1827"/>
    <n v="10064"/>
    <n v="0"/>
    <x v="1824"/>
    <x v="1934"/>
    <x v="0"/>
  </r>
  <r>
    <d v="2023-01-03T00:00:00"/>
    <x v="3"/>
    <x v="1"/>
    <x v="2"/>
    <x v="1828"/>
    <n v="10140"/>
    <n v="20"/>
    <x v="1825"/>
    <x v="1935"/>
    <x v="2"/>
  </r>
  <r>
    <d v="2022-12-26T00:00:00"/>
    <x v="1"/>
    <x v="1"/>
    <x v="2"/>
    <x v="1829"/>
    <n v="8014"/>
    <n v="10"/>
    <x v="1826"/>
    <x v="1936"/>
    <x v="1"/>
  </r>
  <r>
    <d v="2024-07-09T00:00:00"/>
    <x v="3"/>
    <x v="3"/>
    <x v="0"/>
    <x v="1830"/>
    <n v="1659"/>
    <n v="15"/>
    <x v="1827"/>
    <x v="1937"/>
    <x v="0"/>
  </r>
  <r>
    <d v="2022-11-25T00:00:00"/>
    <x v="1"/>
    <x v="0"/>
    <x v="3"/>
    <x v="1831"/>
    <n v="4731"/>
    <n v="0"/>
    <x v="1762"/>
    <x v="1938"/>
    <x v="1"/>
  </r>
  <r>
    <d v="2024-08-19T00:00:00"/>
    <x v="2"/>
    <x v="3"/>
    <x v="2"/>
    <x v="1832"/>
    <n v="8448"/>
    <n v="10"/>
    <x v="1828"/>
    <x v="1939"/>
    <x v="0"/>
  </r>
  <r>
    <d v="2023-04-08T00:00:00"/>
    <x v="2"/>
    <x v="1"/>
    <x v="2"/>
    <x v="1833"/>
    <n v="11461"/>
    <n v="20"/>
    <x v="1829"/>
    <x v="1940"/>
    <x v="2"/>
  </r>
  <r>
    <d v="2024-08-03T00:00:00"/>
    <x v="3"/>
    <x v="1"/>
    <x v="1"/>
    <x v="827"/>
    <n v="4260"/>
    <n v="0"/>
    <x v="1830"/>
    <x v="1941"/>
    <x v="0"/>
  </r>
  <r>
    <d v="2024-08-20T00:00:00"/>
    <x v="0"/>
    <x v="0"/>
    <x v="2"/>
    <x v="1834"/>
    <n v="4111"/>
    <n v="0"/>
    <x v="1831"/>
    <x v="1942"/>
    <x v="0"/>
  </r>
  <r>
    <d v="2024-04-15T00:00:00"/>
    <x v="1"/>
    <x v="3"/>
    <x v="0"/>
    <x v="1835"/>
    <n v="4542"/>
    <n v="10"/>
    <x v="1832"/>
    <x v="1943"/>
    <x v="0"/>
  </r>
  <r>
    <d v="2022-06-18T00:00:00"/>
    <x v="1"/>
    <x v="1"/>
    <x v="3"/>
    <x v="1836"/>
    <n v="4517"/>
    <n v="0"/>
    <x v="1833"/>
    <x v="1944"/>
    <x v="1"/>
  </r>
  <r>
    <d v="2022-08-05T00:00:00"/>
    <x v="3"/>
    <x v="2"/>
    <x v="2"/>
    <x v="1837"/>
    <n v="380"/>
    <n v="5"/>
    <x v="1834"/>
    <x v="1945"/>
    <x v="1"/>
  </r>
  <r>
    <d v="2023-01-13T00:00:00"/>
    <x v="1"/>
    <x v="1"/>
    <x v="1"/>
    <x v="1838"/>
    <n v="3032"/>
    <n v="0"/>
    <x v="1835"/>
    <x v="1946"/>
    <x v="2"/>
  </r>
  <r>
    <d v="2022-04-29T00:00:00"/>
    <x v="1"/>
    <x v="1"/>
    <x v="3"/>
    <x v="1839"/>
    <n v="8133"/>
    <n v="15"/>
    <x v="1836"/>
    <x v="1947"/>
    <x v="1"/>
  </r>
  <r>
    <d v="2022-07-09T00:00:00"/>
    <x v="0"/>
    <x v="0"/>
    <x v="2"/>
    <x v="1840"/>
    <n v="3009"/>
    <n v="10"/>
    <x v="1837"/>
    <x v="1948"/>
    <x v="1"/>
  </r>
  <r>
    <d v="2024-02-06T00:00:00"/>
    <x v="0"/>
    <x v="2"/>
    <x v="1"/>
    <x v="1841"/>
    <n v="2722"/>
    <n v="15"/>
    <x v="1838"/>
    <x v="1949"/>
    <x v="0"/>
  </r>
  <r>
    <d v="2023-01-05T00:00:00"/>
    <x v="3"/>
    <x v="1"/>
    <x v="2"/>
    <x v="1842"/>
    <n v="3941"/>
    <n v="20"/>
    <x v="1839"/>
    <x v="1950"/>
    <x v="2"/>
  </r>
  <r>
    <d v="2022-05-29T00:00:00"/>
    <x v="0"/>
    <x v="1"/>
    <x v="3"/>
    <x v="1843"/>
    <n v="967"/>
    <n v="15"/>
    <x v="1840"/>
    <x v="1951"/>
    <x v="1"/>
  </r>
  <r>
    <d v="2023-10-14T00:00:00"/>
    <x v="3"/>
    <x v="2"/>
    <x v="3"/>
    <x v="1844"/>
    <n v="2796"/>
    <n v="5"/>
    <x v="1841"/>
    <x v="1952"/>
    <x v="2"/>
  </r>
  <r>
    <d v="2024-02-09T00:00:00"/>
    <x v="2"/>
    <x v="3"/>
    <x v="3"/>
    <x v="1845"/>
    <n v="3799"/>
    <n v="5"/>
    <x v="1842"/>
    <x v="1953"/>
    <x v="0"/>
  </r>
  <r>
    <d v="2023-01-09T00:00:00"/>
    <x v="3"/>
    <x v="3"/>
    <x v="0"/>
    <x v="1846"/>
    <n v="11990"/>
    <n v="15"/>
    <x v="1843"/>
    <x v="1954"/>
    <x v="2"/>
  </r>
  <r>
    <d v="2024-02-20T00:00:00"/>
    <x v="2"/>
    <x v="1"/>
    <x v="2"/>
    <x v="1847"/>
    <n v="9936"/>
    <n v="20"/>
    <x v="1844"/>
    <x v="1955"/>
    <x v="0"/>
  </r>
  <r>
    <d v="2022-06-09T00:00:00"/>
    <x v="3"/>
    <x v="1"/>
    <x v="0"/>
    <x v="1848"/>
    <n v="9837"/>
    <n v="0"/>
    <x v="1845"/>
    <x v="1956"/>
    <x v="1"/>
  </r>
  <r>
    <d v="2022-12-17T00:00:00"/>
    <x v="1"/>
    <x v="3"/>
    <x v="3"/>
    <x v="1849"/>
    <n v="8380"/>
    <n v="5"/>
    <x v="1846"/>
    <x v="1957"/>
    <x v="1"/>
  </r>
  <r>
    <d v="2024-06-10T00:00:00"/>
    <x v="0"/>
    <x v="0"/>
    <x v="1"/>
    <x v="1850"/>
    <n v="7123"/>
    <n v="15"/>
    <x v="1847"/>
    <x v="1958"/>
    <x v="0"/>
  </r>
  <r>
    <d v="2023-06-07T00:00:00"/>
    <x v="2"/>
    <x v="2"/>
    <x v="2"/>
    <x v="1851"/>
    <n v="1489"/>
    <n v="15"/>
    <x v="1848"/>
    <x v="1959"/>
    <x v="2"/>
  </r>
  <r>
    <d v="2023-06-06T00:00:00"/>
    <x v="3"/>
    <x v="2"/>
    <x v="0"/>
    <x v="1852"/>
    <n v="6904"/>
    <n v="15"/>
    <x v="518"/>
    <x v="1960"/>
    <x v="2"/>
  </r>
  <r>
    <d v="2024-02-22T00:00:00"/>
    <x v="0"/>
    <x v="0"/>
    <x v="2"/>
    <x v="1853"/>
    <n v="8950"/>
    <n v="0"/>
    <x v="1849"/>
    <x v="1961"/>
    <x v="0"/>
  </r>
  <r>
    <d v="2022-09-30T00:00:00"/>
    <x v="3"/>
    <x v="0"/>
    <x v="1"/>
    <x v="1854"/>
    <n v="9704"/>
    <n v="10"/>
    <x v="1850"/>
    <x v="1962"/>
    <x v="1"/>
  </r>
  <r>
    <d v="2024-07-24T00:00:00"/>
    <x v="0"/>
    <x v="0"/>
    <x v="0"/>
    <x v="135"/>
    <n v="9403"/>
    <n v="20"/>
    <x v="1851"/>
    <x v="1963"/>
    <x v="0"/>
  </r>
  <r>
    <d v="2022-07-02T00:00:00"/>
    <x v="0"/>
    <x v="0"/>
    <x v="3"/>
    <x v="1855"/>
    <n v="1325"/>
    <n v="10"/>
    <x v="1852"/>
    <x v="1964"/>
    <x v="1"/>
  </r>
  <r>
    <d v="2023-05-03T00:00:00"/>
    <x v="3"/>
    <x v="0"/>
    <x v="0"/>
    <x v="635"/>
    <n v="8085"/>
    <n v="20"/>
    <x v="1853"/>
    <x v="1965"/>
    <x v="2"/>
  </r>
  <r>
    <d v="2024-04-25T00:00:00"/>
    <x v="2"/>
    <x v="0"/>
    <x v="2"/>
    <x v="1856"/>
    <n v="10903"/>
    <n v="20"/>
    <x v="1854"/>
    <x v="1966"/>
    <x v="0"/>
  </r>
  <r>
    <d v="2022-05-04T00:00:00"/>
    <x v="2"/>
    <x v="2"/>
    <x v="2"/>
    <x v="1857"/>
    <n v="371"/>
    <n v="15"/>
    <x v="1855"/>
    <x v="1967"/>
    <x v="1"/>
  </r>
  <r>
    <d v="2024-09-11T00:00:00"/>
    <x v="1"/>
    <x v="0"/>
    <x v="2"/>
    <x v="1858"/>
    <n v="5846"/>
    <n v="5"/>
    <x v="1856"/>
    <x v="1968"/>
    <x v="0"/>
  </r>
  <r>
    <d v="2024-02-29T00:00:00"/>
    <x v="0"/>
    <x v="3"/>
    <x v="2"/>
    <x v="1859"/>
    <n v="2985"/>
    <n v="15"/>
    <x v="1857"/>
    <x v="1969"/>
    <x v="0"/>
  </r>
  <r>
    <d v="2023-02-18T00:00:00"/>
    <x v="1"/>
    <x v="0"/>
    <x v="3"/>
    <x v="1860"/>
    <n v="9685"/>
    <n v="0"/>
    <x v="1858"/>
    <x v="1970"/>
    <x v="2"/>
  </r>
  <r>
    <d v="2023-11-17T00:00:00"/>
    <x v="1"/>
    <x v="0"/>
    <x v="0"/>
    <x v="1861"/>
    <n v="7672"/>
    <n v="20"/>
    <x v="1859"/>
    <x v="1971"/>
    <x v="2"/>
  </r>
  <r>
    <d v="2022-04-23T00:00:00"/>
    <x v="3"/>
    <x v="2"/>
    <x v="3"/>
    <x v="1862"/>
    <n v="2148"/>
    <n v="5"/>
    <x v="1860"/>
    <x v="1972"/>
    <x v="1"/>
  </r>
  <r>
    <d v="2024-06-06T00:00:00"/>
    <x v="3"/>
    <x v="2"/>
    <x v="3"/>
    <x v="1863"/>
    <n v="10876"/>
    <n v="20"/>
    <x v="1861"/>
    <x v="1973"/>
    <x v="0"/>
  </r>
  <r>
    <d v="2022-05-02T00:00:00"/>
    <x v="3"/>
    <x v="0"/>
    <x v="3"/>
    <x v="1864"/>
    <n v="2322"/>
    <n v="20"/>
    <x v="1862"/>
    <x v="1974"/>
    <x v="1"/>
  </r>
  <r>
    <d v="2022-02-08T00:00:00"/>
    <x v="0"/>
    <x v="2"/>
    <x v="2"/>
    <x v="1853"/>
    <n v="6638"/>
    <n v="15"/>
    <x v="1863"/>
    <x v="1975"/>
    <x v="1"/>
  </r>
  <r>
    <d v="2023-05-12T00:00:00"/>
    <x v="3"/>
    <x v="1"/>
    <x v="2"/>
    <x v="1865"/>
    <n v="4041"/>
    <n v="5"/>
    <x v="1864"/>
    <x v="1976"/>
    <x v="2"/>
  </r>
  <r>
    <d v="2024-02-19T00:00:00"/>
    <x v="3"/>
    <x v="2"/>
    <x v="2"/>
    <x v="1866"/>
    <n v="1598"/>
    <n v="5"/>
    <x v="1865"/>
    <x v="1977"/>
    <x v="0"/>
  </r>
  <r>
    <d v="2024-07-31T00:00:00"/>
    <x v="0"/>
    <x v="2"/>
    <x v="0"/>
    <x v="1867"/>
    <n v="4402"/>
    <n v="20"/>
    <x v="1866"/>
    <x v="1978"/>
    <x v="0"/>
  </r>
  <r>
    <d v="2022-05-29T00:00:00"/>
    <x v="0"/>
    <x v="2"/>
    <x v="1"/>
    <x v="1868"/>
    <n v="1204"/>
    <n v="5"/>
    <x v="1867"/>
    <x v="1979"/>
    <x v="1"/>
  </r>
  <r>
    <d v="2024-10-18T00:00:00"/>
    <x v="2"/>
    <x v="2"/>
    <x v="2"/>
    <x v="1869"/>
    <n v="3326"/>
    <n v="5"/>
    <x v="1868"/>
    <x v="1980"/>
    <x v="0"/>
  </r>
  <r>
    <d v="2023-10-23T00:00:00"/>
    <x v="3"/>
    <x v="3"/>
    <x v="0"/>
    <x v="1870"/>
    <n v="10520"/>
    <n v="15"/>
    <x v="6"/>
    <x v="1981"/>
    <x v="2"/>
  </r>
  <r>
    <d v="2022-10-29T00:00:00"/>
    <x v="3"/>
    <x v="3"/>
    <x v="2"/>
    <x v="1871"/>
    <n v="7009"/>
    <n v="10"/>
    <x v="1869"/>
    <x v="1982"/>
    <x v="1"/>
  </r>
  <r>
    <d v="2022-08-26T00:00:00"/>
    <x v="3"/>
    <x v="3"/>
    <x v="2"/>
    <x v="1872"/>
    <n v="5011"/>
    <n v="0"/>
    <x v="1870"/>
    <x v="1983"/>
    <x v="1"/>
  </r>
  <r>
    <d v="2023-10-09T00:00:00"/>
    <x v="2"/>
    <x v="0"/>
    <x v="3"/>
    <x v="1873"/>
    <n v="8321"/>
    <n v="10"/>
    <x v="1871"/>
    <x v="1984"/>
    <x v="2"/>
  </r>
  <r>
    <d v="2023-10-25T00:00:00"/>
    <x v="3"/>
    <x v="0"/>
    <x v="3"/>
    <x v="1874"/>
    <n v="6269"/>
    <n v="5"/>
    <x v="1872"/>
    <x v="1985"/>
    <x v="2"/>
  </r>
  <r>
    <d v="2022-08-24T00:00:00"/>
    <x v="2"/>
    <x v="1"/>
    <x v="3"/>
    <x v="1875"/>
    <n v="2920"/>
    <n v="20"/>
    <x v="1873"/>
    <x v="1986"/>
    <x v="1"/>
  </r>
  <r>
    <d v="2022-07-22T00:00:00"/>
    <x v="1"/>
    <x v="3"/>
    <x v="0"/>
    <x v="1876"/>
    <n v="2946"/>
    <n v="0"/>
    <x v="1874"/>
    <x v="1987"/>
    <x v="1"/>
  </r>
  <r>
    <d v="2022-09-13T00:00:00"/>
    <x v="2"/>
    <x v="0"/>
    <x v="1"/>
    <x v="1877"/>
    <n v="5165"/>
    <n v="0"/>
    <x v="1875"/>
    <x v="1988"/>
    <x v="1"/>
  </r>
  <r>
    <d v="2023-08-21T00:00:00"/>
    <x v="1"/>
    <x v="2"/>
    <x v="1"/>
    <x v="1878"/>
    <n v="7645"/>
    <n v="20"/>
    <x v="1876"/>
    <x v="1989"/>
    <x v="2"/>
  </r>
  <r>
    <d v="2023-10-24T00:00:00"/>
    <x v="3"/>
    <x v="2"/>
    <x v="0"/>
    <x v="1879"/>
    <n v="2589"/>
    <n v="0"/>
    <x v="1877"/>
    <x v="1990"/>
    <x v="2"/>
  </r>
  <r>
    <d v="2022-08-23T00:00:00"/>
    <x v="1"/>
    <x v="3"/>
    <x v="2"/>
    <x v="1880"/>
    <n v="7670"/>
    <n v="20"/>
    <x v="1878"/>
    <x v="1991"/>
    <x v="1"/>
  </r>
  <r>
    <d v="2023-06-18T00:00:00"/>
    <x v="2"/>
    <x v="1"/>
    <x v="0"/>
    <x v="1881"/>
    <n v="4172"/>
    <n v="0"/>
    <x v="1879"/>
    <x v="1992"/>
    <x v="2"/>
  </r>
  <r>
    <d v="2024-05-09T00:00:00"/>
    <x v="0"/>
    <x v="1"/>
    <x v="2"/>
    <x v="1882"/>
    <n v="9977"/>
    <n v="10"/>
    <x v="1880"/>
    <x v="1993"/>
    <x v="0"/>
  </r>
  <r>
    <d v="2024-02-09T00:00:00"/>
    <x v="1"/>
    <x v="2"/>
    <x v="0"/>
    <x v="1429"/>
    <n v="11643"/>
    <n v="0"/>
    <x v="1881"/>
    <x v="1994"/>
    <x v="0"/>
  </r>
  <r>
    <d v="2023-06-25T00:00:00"/>
    <x v="1"/>
    <x v="1"/>
    <x v="0"/>
    <x v="1883"/>
    <n v="7990"/>
    <n v="15"/>
    <x v="1882"/>
    <x v="1995"/>
    <x v="2"/>
  </r>
  <r>
    <d v="2022-08-01T00:00:00"/>
    <x v="3"/>
    <x v="3"/>
    <x v="0"/>
    <x v="589"/>
    <n v="1740"/>
    <n v="20"/>
    <x v="1883"/>
    <x v="1996"/>
    <x v="1"/>
  </r>
  <r>
    <d v="2023-04-08T00:00:00"/>
    <x v="2"/>
    <x v="2"/>
    <x v="1"/>
    <x v="1884"/>
    <n v="1065"/>
    <n v="0"/>
    <x v="1884"/>
    <x v="1997"/>
    <x v="2"/>
  </r>
  <r>
    <d v="2023-03-12T00:00:00"/>
    <x v="1"/>
    <x v="0"/>
    <x v="3"/>
    <x v="1885"/>
    <n v="10930"/>
    <n v="20"/>
    <x v="359"/>
    <x v="1998"/>
    <x v="2"/>
  </r>
  <r>
    <d v="2022-10-10T00:00:00"/>
    <x v="1"/>
    <x v="0"/>
    <x v="0"/>
    <x v="1886"/>
    <n v="4392"/>
    <n v="15"/>
    <x v="1885"/>
    <x v="1999"/>
    <x v="1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001">
  <r>
    <x v="0"/>
    <x v="0"/>
    <x v="0"/>
    <x v="0"/>
    <n v="7599"/>
    <n v="1240"/>
    <n v="15"/>
    <n v="6359"/>
    <n v="0.83682063429398601"/>
    <n v="2024"/>
  </r>
  <r>
    <x v="1"/>
    <x v="1"/>
    <x v="0"/>
    <x v="1"/>
    <n v="7876"/>
    <n v="640"/>
    <n v="20"/>
    <n v="7236"/>
    <n v="0.91874047739969533"/>
    <n v="2024"/>
  </r>
  <r>
    <x v="2"/>
    <x v="1"/>
    <x v="1"/>
    <x v="1"/>
    <n v="11860"/>
    <n v="11400"/>
    <n v="10"/>
    <n v="460"/>
    <n v="3.87858347386172E-2"/>
    <n v="2024"/>
  </r>
  <r>
    <x v="3"/>
    <x v="1"/>
    <x v="2"/>
    <x v="2"/>
    <n v="10813"/>
    <n v="7722"/>
    <n v="10"/>
    <n v="3091"/>
    <n v="0.28585961342828076"/>
    <n v="2022"/>
  </r>
  <r>
    <x v="4"/>
    <x v="1"/>
    <x v="3"/>
    <x v="1"/>
    <n v="14002"/>
    <n v="4433"/>
    <n v="0"/>
    <n v="9569"/>
    <n v="0.68340237108984436"/>
    <n v="2023"/>
  </r>
  <r>
    <x v="5"/>
    <x v="2"/>
    <x v="3"/>
    <x v="1"/>
    <n v="4578"/>
    <n v="959"/>
    <n v="10"/>
    <n v="3619"/>
    <n v="0.79051987767584098"/>
    <n v="2022"/>
  </r>
  <r>
    <x v="6"/>
    <x v="2"/>
    <x v="1"/>
    <x v="1"/>
    <n v="6301"/>
    <n v="10525"/>
    <n v="5"/>
    <n v="-4224"/>
    <n v="-0.67036978257419455"/>
    <n v="2022"/>
  </r>
  <r>
    <x v="7"/>
    <x v="3"/>
    <x v="2"/>
    <x v="0"/>
    <n v="14630"/>
    <n v="10052"/>
    <n v="10"/>
    <n v="4578"/>
    <n v="0.31291866028708132"/>
    <n v="2024"/>
  </r>
  <r>
    <x v="8"/>
    <x v="0"/>
    <x v="0"/>
    <x v="1"/>
    <n v="14771"/>
    <n v="3757"/>
    <n v="0"/>
    <n v="11014"/>
    <n v="0.74565026064586015"/>
    <n v="2022"/>
  </r>
  <r>
    <x v="9"/>
    <x v="1"/>
    <x v="1"/>
    <x v="3"/>
    <n v="4651"/>
    <n v="10148"/>
    <n v="0"/>
    <n v="-5497"/>
    <n v="-1.181896366372823"/>
    <n v="2024"/>
  </r>
  <r>
    <x v="10"/>
    <x v="3"/>
    <x v="2"/>
    <x v="0"/>
    <n v="9411"/>
    <n v="3275"/>
    <n v="5"/>
    <n v="6136"/>
    <n v="0.65200297524173834"/>
    <n v="2022"/>
  </r>
  <r>
    <x v="11"/>
    <x v="3"/>
    <x v="0"/>
    <x v="1"/>
    <n v="3100"/>
    <n v="9541"/>
    <n v="0"/>
    <n v="-6441"/>
    <n v="-2.0777419354838709"/>
    <n v="2024"/>
  </r>
  <r>
    <x v="12"/>
    <x v="3"/>
    <x v="1"/>
    <x v="1"/>
    <n v="6675"/>
    <n v="753"/>
    <n v="15"/>
    <n v="5922"/>
    <n v="0.88719101123595501"/>
    <n v="2023"/>
  </r>
  <r>
    <x v="13"/>
    <x v="2"/>
    <x v="2"/>
    <x v="3"/>
    <n v="12290"/>
    <n v="10196"/>
    <n v="20"/>
    <n v="2094"/>
    <n v="0.17038242473555737"/>
    <n v="2024"/>
  </r>
  <r>
    <x v="14"/>
    <x v="1"/>
    <x v="3"/>
    <x v="0"/>
    <n v="13361"/>
    <n v="8484"/>
    <n v="10"/>
    <n v="4877"/>
    <n v="0.36501758850385452"/>
    <n v="2022"/>
  </r>
  <r>
    <x v="15"/>
    <x v="1"/>
    <x v="3"/>
    <x v="2"/>
    <n v="1166"/>
    <n v="5742"/>
    <n v="15"/>
    <n v="-4576"/>
    <n v="-3.9245283018867925"/>
    <n v="2023"/>
  </r>
  <r>
    <x v="16"/>
    <x v="0"/>
    <x v="2"/>
    <x v="2"/>
    <n v="783"/>
    <n v="11276"/>
    <n v="10"/>
    <n v="-10493"/>
    <n v="-13.401021711366539"/>
    <n v="2022"/>
  </r>
  <r>
    <x v="17"/>
    <x v="1"/>
    <x v="3"/>
    <x v="0"/>
    <n v="6340"/>
    <n v="1118"/>
    <n v="15"/>
    <n v="5222"/>
    <n v="0.82365930599369086"/>
    <n v="2022"/>
  </r>
  <r>
    <x v="18"/>
    <x v="1"/>
    <x v="2"/>
    <x v="1"/>
    <n v="12595"/>
    <n v="5168"/>
    <n v="10"/>
    <n v="7427"/>
    <n v="0.58967844382691548"/>
    <n v="2024"/>
  </r>
  <r>
    <x v="19"/>
    <x v="3"/>
    <x v="0"/>
    <x v="1"/>
    <n v="4065"/>
    <n v="312"/>
    <n v="5"/>
    <n v="3753"/>
    <n v="0.92324723247232476"/>
    <n v="2024"/>
  </r>
  <r>
    <x v="20"/>
    <x v="0"/>
    <x v="2"/>
    <x v="2"/>
    <n v="10926"/>
    <n v="8027"/>
    <n v="0"/>
    <n v="2899"/>
    <n v="0.26533040453963025"/>
    <n v="2023"/>
  </r>
  <r>
    <x v="21"/>
    <x v="1"/>
    <x v="0"/>
    <x v="2"/>
    <n v="5093"/>
    <n v="1220"/>
    <n v="0"/>
    <n v="3873"/>
    <n v="0.76045552719418807"/>
    <n v="2024"/>
  </r>
  <r>
    <x v="22"/>
    <x v="2"/>
    <x v="1"/>
    <x v="2"/>
    <n v="1965"/>
    <n v="5220"/>
    <n v="5"/>
    <n v="-3255"/>
    <n v="-1.6564885496183206"/>
    <n v="2023"/>
  </r>
  <r>
    <x v="23"/>
    <x v="1"/>
    <x v="2"/>
    <x v="3"/>
    <n v="8821"/>
    <n v="2718"/>
    <n v="15"/>
    <n v="6103"/>
    <n v="0.69187166987869853"/>
    <n v="2023"/>
  </r>
  <r>
    <x v="24"/>
    <x v="3"/>
    <x v="1"/>
    <x v="2"/>
    <n v="5234"/>
    <n v="9806"/>
    <n v="20"/>
    <n v="-4572"/>
    <n v="-0.87351929690485286"/>
    <n v="2024"/>
  </r>
  <r>
    <x v="25"/>
    <x v="2"/>
    <x v="3"/>
    <x v="3"/>
    <n v="6757"/>
    <n v="6775"/>
    <n v="15"/>
    <n v="-18"/>
    <n v="-2.6639040994524197E-3"/>
    <n v="2022"/>
  </r>
  <r>
    <x v="26"/>
    <x v="3"/>
    <x v="0"/>
    <x v="0"/>
    <n v="7866"/>
    <n v="2317"/>
    <n v="0"/>
    <n v="5549"/>
    <n v="0.70544113907958306"/>
    <n v="2024"/>
  </r>
  <r>
    <x v="27"/>
    <x v="1"/>
    <x v="2"/>
    <x v="1"/>
    <n v="10752"/>
    <n v="8257"/>
    <n v="20"/>
    <n v="2495"/>
    <n v="0.23204985119047619"/>
    <n v="2023"/>
  </r>
  <r>
    <x v="26"/>
    <x v="2"/>
    <x v="1"/>
    <x v="2"/>
    <n v="4172"/>
    <n v="9720"/>
    <n v="10"/>
    <n v="-5548"/>
    <n v="-1.329817833173538"/>
    <n v="2024"/>
  </r>
  <r>
    <x v="28"/>
    <x v="0"/>
    <x v="0"/>
    <x v="1"/>
    <n v="7882"/>
    <n v="5092"/>
    <n v="20"/>
    <n v="2790"/>
    <n v="0.35397107333164174"/>
    <n v="2023"/>
  </r>
  <r>
    <x v="29"/>
    <x v="0"/>
    <x v="0"/>
    <x v="1"/>
    <n v="7087"/>
    <n v="7130"/>
    <n v="15"/>
    <n v="-43"/>
    <n v="-6.0674474389727671E-3"/>
    <n v="2024"/>
  </r>
  <r>
    <x v="30"/>
    <x v="2"/>
    <x v="3"/>
    <x v="2"/>
    <n v="11186"/>
    <n v="2734"/>
    <n v="5"/>
    <n v="8452"/>
    <n v="0.75558734131950656"/>
    <n v="2023"/>
  </r>
  <r>
    <x v="31"/>
    <x v="2"/>
    <x v="3"/>
    <x v="2"/>
    <n v="13773"/>
    <n v="3168"/>
    <n v="10"/>
    <n v="10605"/>
    <n v="0.76998475277717271"/>
    <n v="2022"/>
  </r>
  <r>
    <x v="32"/>
    <x v="3"/>
    <x v="0"/>
    <x v="0"/>
    <n v="1492"/>
    <n v="11007"/>
    <n v="15"/>
    <n v="-9515"/>
    <n v="-6.3773458445040214"/>
    <n v="2024"/>
  </r>
  <r>
    <x v="33"/>
    <x v="2"/>
    <x v="0"/>
    <x v="3"/>
    <n v="7358"/>
    <n v="1738"/>
    <n v="10"/>
    <n v="5620"/>
    <n v="0.76379450937754823"/>
    <n v="2022"/>
  </r>
  <r>
    <x v="34"/>
    <x v="3"/>
    <x v="2"/>
    <x v="3"/>
    <n v="2621"/>
    <n v="3843"/>
    <n v="20"/>
    <n v="-1222"/>
    <n v="-0.46623426173216331"/>
    <n v="2023"/>
  </r>
  <r>
    <x v="35"/>
    <x v="1"/>
    <x v="0"/>
    <x v="1"/>
    <n v="11276"/>
    <n v="11667"/>
    <n v="0"/>
    <n v="-391"/>
    <n v="-3.4675416814473219E-2"/>
    <n v="2023"/>
  </r>
  <r>
    <x v="36"/>
    <x v="3"/>
    <x v="2"/>
    <x v="2"/>
    <n v="12888"/>
    <n v="2081"/>
    <n v="15"/>
    <n v="10807"/>
    <n v="0.83853196772191185"/>
    <n v="2022"/>
  </r>
  <r>
    <x v="37"/>
    <x v="2"/>
    <x v="0"/>
    <x v="0"/>
    <n v="2723"/>
    <n v="6643"/>
    <n v="5"/>
    <n v="-3920"/>
    <n v="-1.4395886889460154"/>
    <n v="2022"/>
  </r>
  <r>
    <x v="38"/>
    <x v="2"/>
    <x v="3"/>
    <x v="0"/>
    <n v="5022"/>
    <n v="2563"/>
    <n v="20"/>
    <n v="2459"/>
    <n v="0.48964555953803268"/>
    <n v="2022"/>
  </r>
  <r>
    <x v="39"/>
    <x v="1"/>
    <x v="2"/>
    <x v="0"/>
    <n v="3688"/>
    <n v="10461"/>
    <n v="15"/>
    <n v="-6773"/>
    <n v="-1.8364967462039046"/>
    <n v="2024"/>
  </r>
  <r>
    <x v="40"/>
    <x v="2"/>
    <x v="1"/>
    <x v="0"/>
    <n v="3737"/>
    <n v="511"/>
    <n v="5"/>
    <n v="3226"/>
    <n v="0.86325929890286324"/>
    <n v="2023"/>
  </r>
  <r>
    <x v="41"/>
    <x v="2"/>
    <x v="3"/>
    <x v="0"/>
    <n v="4636"/>
    <n v="8999"/>
    <n v="15"/>
    <n v="-4363"/>
    <n v="-0.94111302847282141"/>
    <n v="2024"/>
  </r>
  <r>
    <x v="42"/>
    <x v="0"/>
    <x v="2"/>
    <x v="3"/>
    <n v="13216"/>
    <n v="6459"/>
    <n v="20"/>
    <n v="6757"/>
    <n v="0.51127421307506049"/>
    <n v="2022"/>
  </r>
  <r>
    <x v="13"/>
    <x v="0"/>
    <x v="2"/>
    <x v="3"/>
    <n v="843"/>
    <n v="7327"/>
    <n v="15"/>
    <n v="-6484"/>
    <n v="-7.6915776986951361"/>
    <n v="2024"/>
  </r>
  <r>
    <x v="43"/>
    <x v="1"/>
    <x v="1"/>
    <x v="3"/>
    <n v="13153"/>
    <n v="631"/>
    <n v="10"/>
    <n v="12522"/>
    <n v="0.95202615372918731"/>
    <n v="2023"/>
  </r>
  <r>
    <x v="44"/>
    <x v="3"/>
    <x v="2"/>
    <x v="2"/>
    <n v="5204"/>
    <n v="7160"/>
    <n v="20"/>
    <n v="-1956"/>
    <n v="-0.37586471944657956"/>
    <n v="2024"/>
  </r>
  <r>
    <x v="45"/>
    <x v="0"/>
    <x v="0"/>
    <x v="1"/>
    <n v="5323"/>
    <n v="8344"/>
    <n v="15"/>
    <n v="-3021"/>
    <n v="-0.56753710313732852"/>
    <n v="2022"/>
  </r>
  <r>
    <x v="46"/>
    <x v="3"/>
    <x v="1"/>
    <x v="0"/>
    <n v="10968"/>
    <n v="8469"/>
    <n v="0"/>
    <n v="2499"/>
    <n v="0.22784463894967177"/>
    <n v="2022"/>
  </r>
  <r>
    <x v="47"/>
    <x v="2"/>
    <x v="3"/>
    <x v="2"/>
    <n v="5420"/>
    <n v="9042"/>
    <n v="15"/>
    <n v="-3622"/>
    <n v="-0.66826568265682662"/>
    <n v="2024"/>
  </r>
  <r>
    <x v="48"/>
    <x v="0"/>
    <x v="3"/>
    <x v="0"/>
    <n v="3701"/>
    <n v="6020"/>
    <n v="10"/>
    <n v="-2319"/>
    <n v="-0.62658740880843011"/>
    <n v="2024"/>
  </r>
  <r>
    <x v="49"/>
    <x v="1"/>
    <x v="0"/>
    <x v="3"/>
    <n v="5971"/>
    <n v="9433"/>
    <n v="5"/>
    <n v="-3462"/>
    <n v="-0.57980237816111202"/>
    <n v="2023"/>
  </r>
  <r>
    <x v="50"/>
    <x v="1"/>
    <x v="3"/>
    <x v="2"/>
    <n v="1388"/>
    <n v="1027"/>
    <n v="5"/>
    <n v="361"/>
    <n v="0.26008645533141211"/>
    <n v="2023"/>
  </r>
  <r>
    <x v="51"/>
    <x v="1"/>
    <x v="2"/>
    <x v="3"/>
    <n v="10735"/>
    <n v="5275"/>
    <n v="5"/>
    <n v="5460"/>
    <n v="0.50861667442943648"/>
    <n v="2023"/>
  </r>
  <r>
    <x v="52"/>
    <x v="0"/>
    <x v="2"/>
    <x v="0"/>
    <n v="10033"/>
    <n v="11354"/>
    <n v="0"/>
    <n v="-1321"/>
    <n v="-0.1316655038373368"/>
    <n v="2023"/>
  </r>
  <r>
    <x v="53"/>
    <x v="3"/>
    <x v="0"/>
    <x v="0"/>
    <n v="7627"/>
    <n v="3543"/>
    <n v="10"/>
    <n v="4084"/>
    <n v="0.53546610725055721"/>
    <n v="2022"/>
  </r>
  <r>
    <x v="54"/>
    <x v="2"/>
    <x v="3"/>
    <x v="1"/>
    <n v="4220"/>
    <n v="948"/>
    <n v="20"/>
    <n v="3272"/>
    <n v="0.77535545023696684"/>
    <n v="2022"/>
  </r>
  <r>
    <x v="55"/>
    <x v="3"/>
    <x v="3"/>
    <x v="0"/>
    <n v="3383"/>
    <n v="5395"/>
    <n v="5"/>
    <n v="-2012"/>
    <n v="-0.59473839787171145"/>
    <n v="2024"/>
  </r>
  <r>
    <x v="56"/>
    <x v="3"/>
    <x v="0"/>
    <x v="3"/>
    <n v="14084"/>
    <n v="6914"/>
    <n v="10"/>
    <n v="7170"/>
    <n v="0.50908832717977848"/>
    <n v="2022"/>
  </r>
  <r>
    <x v="57"/>
    <x v="2"/>
    <x v="1"/>
    <x v="0"/>
    <n v="4712"/>
    <n v="11229"/>
    <n v="15"/>
    <n v="-6517"/>
    <n v="-1.3830645161290323"/>
    <n v="2024"/>
  </r>
  <r>
    <x v="58"/>
    <x v="2"/>
    <x v="3"/>
    <x v="1"/>
    <n v="7461"/>
    <n v="11239"/>
    <n v="0"/>
    <n v="-3778"/>
    <n v="-0.50636643881517218"/>
    <n v="2023"/>
  </r>
  <r>
    <x v="59"/>
    <x v="0"/>
    <x v="1"/>
    <x v="1"/>
    <n v="2915"/>
    <n v="7435"/>
    <n v="10"/>
    <n v="-4520"/>
    <n v="-1.5506003430531732"/>
    <n v="2024"/>
  </r>
  <r>
    <x v="60"/>
    <x v="0"/>
    <x v="3"/>
    <x v="3"/>
    <n v="9809"/>
    <n v="1309"/>
    <n v="10"/>
    <n v="8500"/>
    <n v="0.86655112651646449"/>
    <n v="2022"/>
  </r>
  <r>
    <x v="61"/>
    <x v="0"/>
    <x v="3"/>
    <x v="2"/>
    <n v="12955"/>
    <n v="1850"/>
    <n v="20"/>
    <n v="11105"/>
    <n v="0.85719799305287536"/>
    <n v="2023"/>
  </r>
  <r>
    <x v="62"/>
    <x v="0"/>
    <x v="3"/>
    <x v="0"/>
    <n v="3501"/>
    <n v="9295"/>
    <n v="10"/>
    <n v="-5794"/>
    <n v="-1.6549557269351614"/>
    <n v="2022"/>
  </r>
  <r>
    <x v="63"/>
    <x v="0"/>
    <x v="3"/>
    <x v="1"/>
    <n v="2238"/>
    <n v="7792"/>
    <n v="20"/>
    <n v="-5554"/>
    <n v="-2.4816800714924039"/>
    <n v="2024"/>
  </r>
  <r>
    <x v="64"/>
    <x v="2"/>
    <x v="2"/>
    <x v="0"/>
    <n v="1864"/>
    <n v="3701"/>
    <n v="0"/>
    <n v="-1837"/>
    <n v="-0.98551502145922742"/>
    <n v="2024"/>
  </r>
  <r>
    <x v="65"/>
    <x v="3"/>
    <x v="1"/>
    <x v="0"/>
    <n v="3208"/>
    <n v="7747"/>
    <n v="0"/>
    <n v="-4539"/>
    <n v="-1.4149002493765586"/>
    <n v="2024"/>
  </r>
  <r>
    <x v="66"/>
    <x v="0"/>
    <x v="1"/>
    <x v="2"/>
    <n v="13482"/>
    <n v="5724"/>
    <n v="15"/>
    <n v="7758"/>
    <n v="0.57543391188251003"/>
    <n v="2022"/>
  </r>
  <r>
    <x v="67"/>
    <x v="0"/>
    <x v="3"/>
    <x v="1"/>
    <n v="1424"/>
    <n v="4541"/>
    <n v="20"/>
    <n v="-3117"/>
    <n v="-2.1889044943820224"/>
    <n v="2024"/>
  </r>
  <r>
    <x v="68"/>
    <x v="3"/>
    <x v="3"/>
    <x v="0"/>
    <n v="651"/>
    <n v="3461"/>
    <n v="20"/>
    <n v="-2810"/>
    <n v="-4.3164362519201225"/>
    <n v="2022"/>
  </r>
  <r>
    <x v="69"/>
    <x v="0"/>
    <x v="1"/>
    <x v="1"/>
    <n v="9277"/>
    <n v="4455"/>
    <n v="5"/>
    <n v="4822"/>
    <n v="0.51978010132585961"/>
    <n v="2023"/>
  </r>
  <r>
    <x v="70"/>
    <x v="3"/>
    <x v="2"/>
    <x v="3"/>
    <n v="8544"/>
    <n v="7778"/>
    <n v="5"/>
    <n v="766"/>
    <n v="8.9653558052434454E-2"/>
    <n v="2023"/>
  </r>
  <r>
    <x v="71"/>
    <x v="3"/>
    <x v="0"/>
    <x v="3"/>
    <n v="1412"/>
    <n v="9019"/>
    <n v="15"/>
    <n v="-7607"/>
    <n v="-5.3873937677053823"/>
    <n v="2024"/>
  </r>
  <r>
    <x v="72"/>
    <x v="2"/>
    <x v="0"/>
    <x v="0"/>
    <n v="2821"/>
    <n v="11790"/>
    <n v="0"/>
    <n v="-8969"/>
    <n v="-3.1793690180786953"/>
    <n v="2022"/>
  </r>
  <r>
    <x v="73"/>
    <x v="1"/>
    <x v="1"/>
    <x v="1"/>
    <n v="14365"/>
    <n v="9515"/>
    <n v="5"/>
    <n v="4850"/>
    <n v="0.33762617473024714"/>
    <n v="2022"/>
  </r>
  <r>
    <x v="74"/>
    <x v="2"/>
    <x v="3"/>
    <x v="0"/>
    <n v="995"/>
    <n v="6917"/>
    <n v="10"/>
    <n v="-5922"/>
    <n v="-5.9517587939698489"/>
    <n v="2023"/>
  </r>
  <r>
    <x v="75"/>
    <x v="1"/>
    <x v="3"/>
    <x v="1"/>
    <n v="12487"/>
    <n v="5960"/>
    <n v="0"/>
    <n v="6527"/>
    <n v="0.52270361175622648"/>
    <n v="2023"/>
  </r>
  <r>
    <x v="76"/>
    <x v="1"/>
    <x v="2"/>
    <x v="1"/>
    <n v="2648"/>
    <n v="8924"/>
    <n v="10"/>
    <n v="-6276"/>
    <n v="-2.3700906344410875"/>
    <n v="2024"/>
  </r>
  <r>
    <x v="77"/>
    <x v="1"/>
    <x v="0"/>
    <x v="2"/>
    <n v="1056"/>
    <n v="1476"/>
    <n v="20"/>
    <n v="-420"/>
    <n v="-0.39772727272727271"/>
    <n v="2023"/>
  </r>
  <r>
    <x v="78"/>
    <x v="0"/>
    <x v="2"/>
    <x v="2"/>
    <n v="13893"/>
    <n v="8256"/>
    <n v="0"/>
    <n v="5637"/>
    <n v="0.4057438998056575"/>
    <n v="2023"/>
  </r>
  <r>
    <x v="79"/>
    <x v="2"/>
    <x v="0"/>
    <x v="2"/>
    <n v="2052"/>
    <n v="8892"/>
    <n v="15"/>
    <n v="-6840"/>
    <n v="-3.3333333333333335"/>
    <n v="2023"/>
  </r>
  <r>
    <x v="80"/>
    <x v="1"/>
    <x v="1"/>
    <x v="0"/>
    <n v="2620"/>
    <n v="10596"/>
    <n v="20"/>
    <n v="-7976"/>
    <n v="-3.0442748091603051"/>
    <n v="2022"/>
  </r>
  <r>
    <x v="81"/>
    <x v="3"/>
    <x v="0"/>
    <x v="2"/>
    <n v="3585"/>
    <n v="11542"/>
    <n v="20"/>
    <n v="-7957"/>
    <n v="-2.2195258019525803"/>
    <n v="2023"/>
  </r>
  <r>
    <x v="82"/>
    <x v="0"/>
    <x v="2"/>
    <x v="2"/>
    <n v="4004"/>
    <n v="2533"/>
    <n v="10"/>
    <n v="1471"/>
    <n v="0.3673826173826174"/>
    <n v="2022"/>
  </r>
  <r>
    <x v="83"/>
    <x v="2"/>
    <x v="2"/>
    <x v="3"/>
    <n v="656"/>
    <n v="10937"/>
    <n v="20"/>
    <n v="-10281"/>
    <n v="-15.672256097560975"/>
    <n v="2024"/>
  </r>
  <r>
    <x v="84"/>
    <x v="1"/>
    <x v="2"/>
    <x v="1"/>
    <n v="9426"/>
    <n v="5000"/>
    <n v="5"/>
    <n v="4426"/>
    <n v="0.46955230214300869"/>
    <n v="2022"/>
  </r>
  <r>
    <x v="85"/>
    <x v="3"/>
    <x v="1"/>
    <x v="1"/>
    <n v="14967"/>
    <n v="11327"/>
    <n v="0"/>
    <n v="3640"/>
    <n v="0.24320171042961181"/>
    <n v="2024"/>
  </r>
  <r>
    <x v="86"/>
    <x v="2"/>
    <x v="0"/>
    <x v="2"/>
    <n v="8005"/>
    <n v="6206"/>
    <n v="5"/>
    <n v="1799"/>
    <n v="0.22473454091193004"/>
    <n v="2022"/>
  </r>
  <r>
    <x v="87"/>
    <x v="2"/>
    <x v="0"/>
    <x v="1"/>
    <n v="7662"/>
    <n v="8160"/>
    <n v="10"/>
    <n v="-498"/>
    <n v="-6.4996084573218482E-2"/>
    <n v="2022"/>
  </r>
  <r>
    <x v="88"/>
    <x v="0"/>
    <x v="2"/>
    <x v="3"/>
    <n v="6023"/>
    <n v="7826"/>
    <n v="10"/>
    <n v="-1803"/>
    <n v="-0.29935248215175164"/>
    <n v="2024"/>
  </r>
  <r>
    <x v="89"/>
    <x v="2"/>
    <x v="0"/>
    <x v="3"/>
    <n v="8043"/>
    <n v="5859"/>
    <n v="0"/>
    <n v="2184"/>
    <n v="0.27154046997389036"/>
    <n v="2024"/>
  </r>
  <r>
    <x v="90"/>
    <x v="0"/>
    <x v="3"/>
    <x v="2"/>
    <n v="8555"/>
    <n v="7032"/>
    <n v="20"/>
    <n v="1523"/>
    <n v="0.17802454704850965"/>
    <n v="2024"/>
  </r>
  <r>
    <x v="91"/>
    <x v="1"/>
    <x v="3"/>
    <x v="3"/>
    <n v="5154"/>
    <n v="2813"/>
    <n v="15"/>
    <n v="2341"/>
    <n v="0.45421032207993789"/>
    <n v="2024"/>
  </r>
  <r>
    <x v="92"/>
    <x v="0"/>
    <x v="3"/>
    <x v="1"/>
    <n v="6750"/>
    <n v="8130"/>
    <n v="10"/>
    <n v="-1380"/>
    <n v="-0.20444444444444446"/>
    <n v="2023"/>
  </r>
  <r>
    <x v="93"/>
    <x v="3"/>
    <x v="0"/>
    <x v="0"/>
    <n v="11968"/>
    <n v="10265"/>
    <n v="0"/>
    <n v="1703"/>
    <n v="0.14229612299465241"/>
    <n v="2023"/>
  </r>
  <r>
    <x v="94"/>
    <x v="0"/>
    <x v="1"/>
    <x v="1"/>
    <n v="7746"/>
    <n v="7244"/>
    <n v="15"/>
    <n v="502"/>
    <n v="6.4807642654273176E-2"/>
    <n v="2024"/>
  </r>
  <r>
    <x v="95"/>
    <x v="3"/>
    <x v="1"/>
    <x v="0"/>
    <n v="654"/>
    <n v="8210"/>
    <n v="20"/>
    <n v="-7556"/>
    <n v="-11.553516819571865"/>
    <n v="2022"/>
  </r>
  <r>
    <x v="96"/>
    <x v="0"/>
    <x v="1"/>
    <x v="2"/>
    <n v="8450"/>
    <n v="5949"/>
    <n v="10"/>
    <n v="2501"/>
    <n v="0.29597633136094675"/>
    <n v="2023"/>
  </r>
  <r>
    <x v="97"/>
    <x v="2"/>
    <x v="1"/>
    <x v="0"/>
    <n v="1496"/>
    <n v="1396"/>
    <n v="0"/>
    <n v="100"/>
    <n v="6.684491978609626E-2"/>
    <n v="2023"/>
  </r>
  <r>
    <x v="98"/>
    <x v="1"/>
    <x v="3"/>
    <x v="3"/>
    <n v="10986"/>
    <n v="9420"/>
    <n v="0"/>
    <n v="1566"/>
    <n v="0.14254505734571274"/>
    <n v="2024"/>
  </r>
  <r>
    <x v="99"/>
    <x v="3"/>
    <x v="3"/>
    <x v="1"/>
    <n v="5126"/>
    <n v="2251"/>
    <n v="0"/>
    <n v="2875"/>
    <n v="0.56086617245415527"/>
    <n v="2023"/>
  </r>
  <r>
    <x v="100"/>
    <x v="0"/>
    <x v="2"/>
    <x v="0"/>
    <n v="3405"/>
    <n v="10465"/>
    <n v="10"/>
    <n v="-7060"/>
    <n v="-2.0734214390602057"/>
    <n v="2023"/>
  </r>
  <r>
    <x v="101"/>
    <x v="0"/>
    <x v="0"/>
    <x v="1"/>
    <n v="14759"/>
    <n v="10046"/>
    <n v="15"/>
    <n v="4713"/>
    <n v="0.3193305779524358"/>
    <n v="2024"/>
  </r>
  <r>
    <x v="92"/>
    <x v="0"/>
    <x v="0"/>
    <x v="2"/>
    <n v="13516"/>
    <n v="11270"/>
    <n v="0"/>
    <n v="2246"/>
    <n v="0.16617342408996744"/>
    <n v="2023"/>
  </r>
  <r>
    <x v="102"/>
    <x v="2"/>
    <x v="1"/>
    <x v="2"/>
    <n v="9869"/>
    <n v="9486"/>
    <n v="20"/>
    <n v="383"/>
    <n v="3.8808389907792076E-2"/>
    <n v="2024"/>
  </r>
  <r>
    <x v="103"/>
    <x v="2"/>
    <x v="3"/>
    <x v="3"/>
    <n v="653"/>
    <n v="8099"/>
    <n v="0"/>
    <n v="-7446"/>
    <n v="-11.402756508422664"/>
    <n v="2023"/>
  </r>
  <r>
    <x v="104"/>
    <x v="3"/>
    <x v="1"/>
    <x v="2"/>
    <n v="8353"/>
    <n v="9104"/>
    <n v="15"/>
    <n v="-751"/>
    <n v="-8.9907817550580624E-2"/>
    <n v="2024"/>
  </r>
  <r>
    <x v="105"/>
    <x v="3"/>
    <x v="2"/>
    <x v="0"/>
    <n v="12879"/>
    <n v="11085"/>
    <n v="10"/>
    <n v="1794"/>
    <n v="0.13929652923363614"/>
    <n v="2024"/>
  </r>
  <r>
    <x v="106"/>
    <x v="2"/>
    <x v="0"/>
    <x v="2"/>
    <n v="6981"/>
    <n v="895"/>
    <n v="0"/>
    <n v="6086"/>
    <n v="0.87179487179487181"/>
    <n v="2023"/>
  </r>
  <r>
    <x v="107"/>
    <x v="3"/>
    <x v="0"/>
    <x v="3"/>
    <n v="6099"/>
    <n v="8175"/>
    <n v="0"/>
    <n v="-2076"/>
    <n v="-0.34038366945400883"/>
    <n v="2022"/>
  </r>
  <r>
    <x v="108"/>
    <x v="1"/>
    <x v="1"/>
    <x v="1"/>
    <n v="2216"/>
    <n v="9333"/>
    <n v="20"/>
    <n v="-7117"/>
    <n v="-3.2116425992779782"/>
    <n v="2024"/>
  </r>
  <r>
    <x v="109"/>
    <x v="1"/>
    <x v="2"/>
    <x v="1"/>
    <n v="11894"/>
    <n v="4739"/>
    <n v="20"/>
    <n v="7155"/>
    <n v="0.60156381368757361"/>
    <n v="2024"/>
  </r>
  <r>
    <x v="110"/>
    <x v="2"/>
    <x v="0"/>
    <x v="2"/>
    <n v="14804"/>
    <n v="6272"/>
    <n v="0"/>
    <n v="8532"/>
    <n v="0.57633072142664143"/>
    <n v="2024"/>
  </r>
  <r>
    <x v="111"/>
    <x v="3"/>
    <x v="2"/>
    <x v="0"/>
    <n v="11549"/>
    <n v="1158"/>
    <n v="0"/>
    <n v="10391"/>
    <n v="0.89973157849164431"/>
    <n v="2024"/>
  </r>
  <r>
    <x v="112"/>
    <x v="0"/>
    <x v="2"/>
    <x v="3"/>
    <n v="1286"/>
    <n v="5819"/>
    <n v="20"/>
    <n v="-4533"/>
    <n v="-3.5248833592534994"/>
    <n v="2023"/>
  </r>
  <r>
    <x v="113"/>
    <x v="1"/>
    <x v="1"/>
    <x v="0"/>
    <n v="4868"/>
    <n v="7685"/>
    <n v="15"/>
    <n v="-2817"/>
    <n v="-0.57867707477403452"/>
    <n v="2024"/>
  </r>
  <r>
    <x v="114"/>
    <x v="2"/>
    <x v="3"/>
    <x v="3"/>
    <n v="14815"/>
    <n v="8936"/>
    <n v="5"/>
    <n v="5879"/>
    <n v="0.39682753965575429"/>
    <n v="2022"/>
  </r>
  <r>
    <x v="115"/>
    <x v="3"/>
    <x v="1"/>
    <x v="2"/>
    <n v="8596"/>
    <n v="10280"/>
    <n v="5"/>
    <n v="-1684"/>
    <n v="-0.19590507212657049"/>
    <n v="2023"/>
  </r>
  <r>
    <x v="82"/>
    <x v="2"/>
    <x v="3"/>
    <x v="3"/>
    <n v="4772"/>
    <n v="4617"/>
    <n v="0"/>
    <n v="155"/>
    <n v="3.2481139983235541E-2"/>
    <n v="2022"/>
  </r>
  <r>
    <x v="116"/>
    <x v="0"/>
    <x v="2"/>
    <x v="3"/>
    <n v="4267"/>
    <n v="3754"/>
    <n v="20"/>
    <n v="513"/>
    <n v="0.12022498242324818"/>
    <n v="2024"/>
  </r>
  <r>
    <x v="117"/>
    <x v="1"/>
    <x v="3"/>
    <x v="2"/>
    <n v="11570"/>
    <n v="1330"/>
    <n v="10"/>
    <n v="10240"/>
    <n v="0.88504753673293002"/>
    <n v="2023"/>
  </r>
  <r>
    <x v="118"/>
    <x v="2"/>
    <x v="2"/>
    <x v="0"/>
    <n v="9334"/>
    <n v="9787"/>
    <n v="10"/>
    <n v="-453"/>
    <n v="-4.8532247696593103E-2"/>
    <n v="2024"/>
  </r>
  <r>
    <x v="119"/>
    <x v="2"/>
    <x v="0"/>
    <x v="2"/>
    <n v="6494"/>
    <n v="8206"/>
    <n v="5"/>
    <n v="-1712"/>
    <n v="-0.26362796427471513"/>
    <n v="2023"/>
  </r>
  <r>
    <x v="120"/>
    <x v="2"/>
    <x v="0"/>
    <x v="3"/>
    <n v="7716"/>
    <n v="10555"/>
    <n v="15"/>
    <n v="-2839"/>
    <n v="-0.36793675479523069"/>
    <n v="2023"/>
  </r>
  <r>
    <x v="121"/>
    <x v="0"/>
    <x v="0"/>
    <x v="2"/>
    <n v="13354"/>
    <n v="1747"/>
    <n v="5"/>
    <n v="11607"/>
    <n v="0.86917777444960309"/>
    <n v="2023"/>
  </r>
  <r>
    <x v="122"/>
    <x v="2"/>
    <x v="1"/>
    <x v="3"/>
    <n v="9357"/>
    <n v="10537"/>
    <n v="0"/>
    <n v="-1180"/>
    <n v="-0.1261087955541306"/>
    <n v="2023"/>
  </r>
  <r>
    <x v="123"/>
    <x v="0"/>
    <x v="1"/>
    <x v="2"/>
    <n v="3926"/>
    <n v="3150"/>
    <n v="15"/>
    <n v="776"/>
    <n v="0.19765664798777383"/>
    <n v="2024"/>
  </r>
  <r>
    <x v="124"/>
    <x v="0"/>
    <x v="2"/>
    <x v="1"/>
    <n v="4283"/>
    <n v="10560"/>
    <n v="10"/>
    <n v="-6277"/>
    <n v="-1.465561522297455"/>
    <n v="2023"/>
  </r>
  <r>
    <x v="125"/>
    <x v="0"/>
    <x v="0"/>
    <x v="1"/>
    <n v="5927"/>
    <n v="8406"/>
    <n v="20"/>
    <n v="-2479"/>
    <n v="-0.41825544120128227"/>
    <n v="2024"/>
  </r>
  <r>
    <x v="85"/>
    <x v="1"/>
    <x v="1"/>
    <x v="2"/>
    <n v="7511"/>
    <n v="10767"/>
    <n v="20"/>
    <n v="-3256"/>
    <n v="-0.43349753694581283"/>
    <n v="2024"/>
  </r>
  <r>
    <x v="25"/>
    <x v="1"/>
    <x v="0"/>
    <x v="0"/>
    <n v="8552"/>
    <n v="7451"/>
    <n v="0"/>
    <n v="1101"/>
    <n v="0.12874181478016838"/>
    <n v="2022"/>
  </r>
  <r>
    <x v="126"/>
    <x v="2"/>
    <x v="1"/>
    <x v="3"/>
    <n v="4201"/>
    <n v="10300"/>
    <n v="5"/>
    <n v="-6099"/>
    <n v="-1.4517971911449654"/>
    <n v="2023"/>
  </r>
  <r>
    <x v="127"/>
    <x v="2"/>
    <x v="3"/>
    <x v="1"/>
    <n v="14586"/>
    <n v="9803"/>
    <n v="0"/>
    <n v="4783"/>
    <n v="0.3279171808583573"/>
    <n v="2023"/>
  </r>
  <r>
    <x v="128"/>
    <x v="1"/>
    <x v="3"/>
    <x v="0"/>
    <n v="9761"/>
    <n v="7252"/>
    <n v="20"/>
    <n v="2509"/>
    <n v="0.25704333572379878"/>
    <n v="2024"/>
  </r>
  <r>
    <x v="129"/>
    <x v="3"/>
    <x v="0"/>
    <x v="3"/>
    <n v="2849"/>
    <n v="4355"/>
    <n v="10"/>
    <n v="-1506"/>
    <n v="-0.52860652860652857"/>
    <n v="2023"/>
  </r>
  <r>
    <x v="130"/>
    <x v="1"/>
    <x v="2"/>
    <x v="1"/>
    <n v="7511"/>
    <n v="5702"/>
    <n v="20"/>
    <n v="1809"/>
    <n v="0.24084675808813741"/>
    <n v="2023"/>
  </r>
  <r>
    <x v="131"/>
    <x v="0"/>
    <x v="1"/>
    <x v="1"/>
    <n v="7555"/>
    <n v="10943"/>
    <n v="15"/>
    <n v="-3388"/>
    <n v="-0.44844473858371942"/>
    <n v="2022"/>
  </r>
  <r>
    <x v="96"/>
    <x v="1"/>
    <x v="1"/>
    <x v="2"/>
    <n v="13195"/>
    <n v="9581"/>
    <n v="20"/>
    <n v="3614"/>
    <n v="0.27389162561576352"/>
    <n v="2023"/>
  </r>
  <r>
    <x v="132"/>
    <x v="0"/>
    <x v="3"/>
    <x v="3"/>
    <n v="1712"/>
    <n v="1972"/>
    <n v="20"/>
    <n v="-260"/>
    <n v="-0.15186915887850466"/>
    <n v="2023"/>
  </r>
  <r>
    <x v="133"/>
    <x v="2"/>
    <x v="3"/>
    <x v="0"/>
    <n v="7465"/>
    <n v="4832"/>
    <n v="15"/>
    <n v="2633"/>
    <n v="0.35271265907568655"/>
    <n v="2023"/>
  </r>
  <r>
    <x v="112"/>
    <x v="3"/>
    <x v="2"/>
    <x v="0"/>
    <n v="14641"/>
    <n v="5224"/>
    <n v="5"/>
    <n v="9417"/>
    <n v="0.64319377091728702"/>
    <n v="2023"/>
  </r>
  <r>
    <x v="134"/>
    <x v="2"/>
    <x v="2"/>
    <x v="0"/>
    <n v="9844"/>
    <n v="10495"/>
    <n v="20"/>
    <n v="-651"/>
    <n v="-6.6131653799268594E-2"/>
    <n v="2024"/>
  </r>
  <r>
    <x v="135"/>
    <x v="0"/>
    <x v="2"/>
    <x v="3"/>
    <n v="7204"/>
    <n v="6385"/>
    <n v="0"/>
    <n v="819"/>
    <n v="0.11368684064408661"/>
    <n v="2023"/>
  </r>
  <r>
    <x v="136"/>
    <x v="0"/>
    <x v="0"/>
    <x v="0"/>
    <n v="7933"/>
    <n v="8034"/>
    <n v="20"/>
    <n v="-101"/>
    <n v="-1.2731627379301651E-2"/>
    <n v="2022"/>
  </r>
  <r>
    <x v="137"/>
    <x v="0"/>
    <x v="3"/>
    <x v="0"/>
    <n v="13929"/>
    <n v="5164"/>
    <n v="0"/>
    <n v="8765"/>
    <n v="0.62926268935314811"/>
    <n v="2022"/>
  </r>
  <r>
    <x v="138"/>
    <x v="3"/>
    <x v="0"/>
    <x v="0"/>
    <n v="3011"/>
    <n v="9616"/>
    <n v="15"/>
    <n v="-6605"/>
    <n v="-2.1936233809365659"/>
    <n v="2023"/>
  </r>
  <r>
    <x v="139"/>
    <x v="1"/>
    <x v="3"/>
    <x v="2"/>
    <n v="643"/>
    <n v="1521"/>
    <n v="20"/>
    <n v="-878"/>
    <n v="-1.3654743390357698"/>
    <n v="2022"/>
  </r>
  <r>
    <x v="140"/>
    <x v="2"/>
    <x v="3"/>
    <x v="2"/>
    <n v="11181"/>
    <n v="3160"/>
    <n v="15"/>
    <n v="8021"/>
    <n v="0.71737769430283516"/>
    <n v="2024"/>
  </r>
  <r>
    <x v="141"/>
    <x v="2"/>
    <x v="1"/>
    <x v="3"/>
    <n v="7867"/>
    <n v="10765"/>
    <n v="15"/>
    <n v="-2898"/>
    <n v="-0.36837422143129528"/>
    <n v="2023"/>
  </r>
  <r>
    <x v="64"/>
    <x v="1"/>
    <x v="3"/>
    <x v="3"/>
    <n v="3728"/>
    <n v="11482"/>
    <n v="5"/>
    <n v="-7754"/>
    <n v="-2.0799356223175964"/>
    <n v="2024"/>
  </r>
  <r>
    <x v="52"/>
    <x v="2"/>
    <x v="3"/>
    <x v="0"/>
    <n v="5082"/>
    <n v="11002"/>
    <n v="20"/>
    <n v="-5920"/>
    <n v="-1.1648957103502557"/>
    <n v="2023"/>
  </r>
  <r>
    <x v="142"/>
    <x v="3"/>
    <x v="0"/>
    <x v="2"/>
    <n v="13647"/>
    <n v="8728"/>
    <n v="0"/>
    <n v="4919"/>
    <n v="0.36044551916172052"/>
    <n v="2022"/>
  </r>
  <r>
    <x v="143"/>
    <x v="2"/>
    <x v="3"/>
    <x v="1"/>
    <n v="11897"/>
    <n v="9636"/>
    <n v="0"/>
    <n v="2261"/>
    <n v="0.19004791123812725"/>
    <n v="2024"/>
  </r>
  <r>
    <x v="144"/>
    <x v="0"/>
    <x v="0"/>
    <x v="1"/>
    <n v="6531"/>
    <n v="3553"/>
    <n v="20"/>
    <n v="2978"/>
    <n v="0.45597917623641099"/>
    <n v="2022"/>
  </r>
  <r>
    <x v="145"/>
    <x v="1"/>
    <x v="2"/>
    <x v="0"/>
    <n v="4743"/>
    <n v="4082"/>
    <n v="5"/>
    <n v="661"/>
    <n v="0.13936327219059666"/>
    <n v="2022"/>
  </r>
  <r>
    <x v="146"/>
    <x v="3"/>
    <x v="3"/>
    <x v="0"/>
    <n v="14147"/>
    <n v="7257"/>
    <n v="5"/>
    <n v="6890"/>
    <n v="0.48702905209585073"/>
    <n v="2023"/>
  </r>
  <r>
    <x v="102"/>
    <x v="1"/>
    <x v="3"/>
    <x v="2"/>
    <n v="11834"/>
    <n v="1066"/>
    <n v="5"/>
    <n v="10768"/>
    <n v="0.90992056785533204"/>
    <n v="2024"/>
  </r>
  <r>
    <x v="147"/>
    <x v="3"/>
    <x v="0"/>
    <x v="2"/>
    <n v="11996"/>
    <n v="2981"/>
    <n v="0"/>
    <n v="9015"/>
    <n v="0.75150050016672221"/>
    <n v="2022"/>
  </r>
  <r>
    <x v="148"/>
    <x v="0"/>
    <x v="2"/>
    <x v="2"/>
    <n v="10049"/>
    <n v="8010"/>
    <n v="15"/>
    <n v="2039"/>
    <n v="0.20290576176734004"/>
    <n v="2022"/>
  </r>
  <r>
    <x v="149"/>
    <x v="1"/>
    <x v="1"/>
    <x v="3"/>
    <n v="3213"/>
    <n v="7782"/>
    <n v="5"/>
    <n v="-4569"/>
    <n v="-1.4220354808590103"/>
    <n v="2024"/>
  </r>
  <r>
    <x v="150"/>
    <x v="2"/>
    <x v="2"/>
    <x v="3"/>
    <n v="4685"/>
    <n v="5386"/>
    <n v="0"/>
    <n v="-701"/>
    <n v="-0.1496264674493063"/>
    <n v="2022"/>
  </r>
  <r>
    <x v="151"/>
    <x v="3"/>
    <x v="0"/>
    <x v="0"/>
    <n v="10049"/>
    <n v="8264"/>
    <n v="0"/>
    <n v="1785"/>
    <n v="0.17762961488705345"/>
    <n v="2024"/>
  </r>
  <r>
    <x v="152"/>
    <x v="1"/>
    <x v="2"/>
    <x v="3"/>
    <n v="12986"/>
    <n v="2965"/>
    <n v="15"/>
    <n v="10021"/>
    <n v="0.77167719082088404"/>
    <n v="2024"/>
  </r>
  <r>
    <x v="153"/>
    <x v="2"/>
    <x v="0"/>
    <x v="2"/>
    <n v="7828"/>
    <n v="10251"/>
    <n v="20"/>
    <n v="-2423"/>
    <n v="-0.30952989269289727"/>
    <n v="2022"/>
  </r>
  <r>
    <x v="154"/>
    <x v="1"/>
    <x v="0"/>
    <x v="2"/>
    <n v="5133"/>
    <n v="11983"/>
    <n v="20"/>
    <n v="-6850"/>
    <n v="-1.3345022404052211"/>
    <n v="2023"/>
  </r>
  <r>
    <x v="155"/>
    <x v="1"/>
    <x v="1"/>
    <x v="3"/>
    <n v="3692"/>
    <n v="11307"/>
    <n v="5"/>
    <n v="-7615"/>
    <n v="-2.0625677139761649"/>
    <n v="2022"/>
  </r>
  <r>
    <x v="156"/>
    <x v="1"/>
    <x v="3"/>
    <x v="1"/>
    <n v="800"/>
    <n v="3813"/>
    <n v="5"/>
    <n v="-3013"/>
    <n v="-3.7662499999999999"/>
    <n v="2023"/>
  </r>
  <r>
    <x v="157"/>
    <x v="3"/>
    <x v="0"/>
    <x v="0"/>
    <n v="1223"/>
    <n v="795"/>
    <n v="15"/>
    <n v="428"/>
    <n v="0.34995911692559278"/>
    <n v="2023"/>
  </r>
  <r>
    <x v="67"/>
    <x v="2"/>
    <x v="0"/>
    <x v="1"/>
    <n v="6194"/>
    <n v="11672"/>
    <n v="5"/>
    <n v="-5478"/>
    <n v="-0.88440426218921542"/>
    <n v="2024"/>
  </r>
  <r>
    <x v="158"/>
    <x v="0"/>
    <x v="1"/>
    <x v="0"/>
    <n v="3510"/>
    <n v="6122"/>
    <n v="15"/>
    <n v="-2612"/>
    <n v="-0.74415954415954411"/>
    <n v="2024"/>
  </r>
  <r>
    <x v="159"/>
    <x v="3"/>
    <x v="0"/>
    <x v="1"/>
    <n v="6055"/>
    <n v="2372"/>
    <n v="0"/>
    <n v="3683"/>
    <n v="0.60825763831544177"/>
    <n v="2023"/>
  </r>
  <r>
    <x v="160"/>
    <x v="3"/>
    <x v="3"/>
    <x v="3"/>
    <n v="567"/>
    <n v="8095"/>
    <n v="5"/>
    <n v="-7528"/>
    <n v="-13.276895943562611"/>
    <n v="2022"/>
  </r>
  <r>
    <x v="110"/>
    <x v="3"/>
    <x v="1"/>
    <x v="0"/>
    <n v="12528"/>
    <n v="8829"/>
    <n v="0"/>
    <n v="3699"/>
    <n v="0.29525862068965519"/>
    <n v="2024"/>
  </r>
  <r>
    <x v="161"/>
    <x v="0"/>
    <x v="3"/>
    <x v="0"/>
    <n v="12685"/>
    <n v="4249"/>
    <n v="10"/>
    <n v="8436"/>
    <n v="0.66503744580212854"/>
    <n v="2023"/>
  </r>
  <r>
    <x v="162"/>
    <x v="2"/>
    <x v="3"/>
    <x v="0"/>
    <n v="3006"/>
    <n v="6333"/>
    <n v="15"/>
    <n v="-3327"/>
    <n v="-1.1067864271457086"/>
    <n v="2024"/>
  </r>
  <r>
    <x v="163"/>
    <x v="2"/>
    <x v="1"/>
    <x v="2"/>
    <n v="2037"/>
    <n v="11600"/>
    <n v="10"/>
    <n v="-9563"/>
    <n v="-4.694648993618066"/>
    <n v="2023"/>
  </r>
  <r>
    <x v="62"/>
    <x v="2"/>
    <x v="0"/>
    <x v="2"/>
    <n v="897"/>
    <n v="10309"/>
    <n v="5"/>
    <n v="-9412"/>
    <n v="-10.492753623188406"/>
    <n v="2022"/>
  </r>
  <r>
    <x v="7"/>
    <x v="1"/>
    <x v="3"/>
    <x v="1"/>
    <n v="13407"/>
    <n v="8628"/>
    <n v="0"/>
    <n v="4779"/>
    <n v="0.35645558290445289"/>
    <n v="2024"/>
  </r>
  <r>
    <x v="164"/>
    <x v="1"/>
    <x v="3"/>
    <x v="3"/>
    <n v="12049"/>
    <n v="2855"/>
    <n v="5"/>
    <n v="9194"/>
    <n v="0.76305087559133533"/>
    <n v="2023"/>
  </r>
  <r>
    <x v="165"/>
    <x v="1"/>
    <x v="3"/>
    <x v="2"/>
    <n v="6180"/>
    <n v="6670"/>
    <n v="10"/>
    <n v="-490"/>
    <n v="-7.9288025889967639E-2"/>
    <n v="2023"/>
  </r>
  <r>
    <x v="166"/>
    <x v="0"/>
    <x v="3"/>
    <x v="0"/>
    <n v="9855"/>
    <n v="4715"/>
    <n v="5"/>
    <n v="5140"/>
    <n v="0.52156265854895989"/>
    <n v="2022"/>
  </r>
  <r>
    <x v="167"/>
    <x v="1"/>
    <x v="1"/>
    <x v="2"/>
    <n v="5325"/>
    <n v="6259"/>
    <n v="20"/>
    <n v="-934"/>
    <n v="-0.17539906103286385"/>
    <n v="2022"/>
  </r>
  <r>
    <x v="153"/>
    <x v="0"/>
    <x v="1"/>
    <x v="3"/>
    <n v="9247"/>
    <n v="9407"/>
    <n v="10"/>
    <n v="-160"/>
    <n v="-1.7302909051584298E-2"/>
    <n v="2022"/>
  </r>
  <r>
    <x v="168"/>
    <x v="2"/>
    <x v="2"/>
    <x v="2"/>
    <n v="6548"/>
    <n v="6293"/>
    <n v="5"/>
    <n v="255"/>
    <n v="3.8943188759926695E-2"/>
    <n v="2022"/>
  </r>
  <r>
    <x v="169"/>
    <x v="1"/>
    <x v="2"/>
    <x v="0"/>
    <n v="4161"/>
    <n v="5321"/>
    <n v="0"/>
    <n v="-1160"/>
    <n v="-0.27877913962989664"/>
    <n v="2023"/>
  </r>
  <r>
    <x v="59"/>
    <x v="1"/>
    <x v="3"/>
    <x v="1"/>
    <n v="10443"/>
    <n v="10592"/>
    <n v="5"/>
    <n v="-149"/>
    <n v="-1.4267930671263047E-2"/>
    <n v="2024"/>
  </r>
  <r>
    <x v="170"/>
    <x v="3"/>
    <x v="0"/>
    <x v="0"/>
    <n v="3441"/>
    <n v="3207"/>
    <n v="0"/>
    <n v="234"/>
    <n v="6.8003487358326065E-2"/>
    <n v="2024"/>
  </r>
  <r>
    <x v="137"/>
    <x v="0"/>
    <x v="3"/>
    <x v="3"/>
    <n v="11349"/>
    <n v="3214"/>
    <n v="20"/>
    <n v="8135"/>
    <n v="0.71680324257643846"/>
    <n v="2022"/>
  </r>
  <r>
    <x v="171"/>
    <x v="2"/>
    <x v="0"/>
    <x v="1"/>
    <n v="11487"/>
    <n v="10474"/>
    <n v="5"/>
    <n v="1013"/>
    <n v="8.8186645773483063E-2"/>
    <n v="2024"/>
  </r>
  <r>
    <x v="172"/>
    <x v="3"/>
    <x v="3"/>
    <x v="2"/>
    <n v="11021"/>
    <n v="4170"/>
    <n v="20"/>
    <n v="6851"/>
    <n v="0.62163143090463657"/>
    <n v="2022"/>
  </r>
  <r>
    <x v="173"/>
    <x v="3"/>
    <x v="2"/>
    <x v="2"/>
    <n v="7567"/>
    <n v="9490"/>
    <n v="10"/>
    <n v="-1923"/>
    <n v="-0.25412977401876569"/>
    <n v="2023"/>
  </r>
  <r>
    <x v="174"/>
    <x v="2"/>
    <x v="2"/>
    <x v="2"/>
    <n v="5591"/>
    <n v="10639"/>
    <n v="0"/>
    <n v="-5048"/>
    <n v="-0.90287962797352883"/>
    <n v="2024"/>
  </r>
  <r>
    <x v="175"/>
    <x v="3"/>
    <x v="0"/>
    <x v="1"/>
    <n v="10651"/>
    <n v="5385"/>
    <n v="10"/>
    <n v="5266"/>
    <n v="0.49441367007792697"/>
    <n v="2024"/>
  </r>
  <r>
    <x v="176"/>
    <x v="0"/>
    <x v="3"/>
    <x v="0"/>
    <n v="2101"/>
    <n v="6846"/>
    <n v="0"/>
    <n v="-4745"/>
    <n v="-2.2584483579247978"/>
    <n v="2022"/>
  </r>
  <r>
    <x v="57"/>
    <x v="0"/>
    <x v="0"/>
    <x v="1"/>
    <n v="11485"/>
    <n v="695"/>
    <n v="20"/>
    <n v="10790"/>
    <n v="0.93948628646060084"/>
    <n v="2024"/>
  </r>
  <r>
    <x v="177"/>
    <x v="1"/>
    <x v="2"/>
    <x v="1"/>
    <n v="1980"/>
    <n v="1238"/>
    <n v="15"/>
    <n v="742"/>
    <n v="0.37474747474747477"/>
    <n v="2022"/>
  </r>
  <r>
    <x v="178"/>
    <x v="3"/>
    <x v="3"/>
    <x v="3"/>
    <n v="6730"/>
    <n v="10128"/>
    <n v="5"/>
    <n v="-3398"/>
    <n v="-0.50490341753343237"/>
    <n v="2023"/>
  </r>
  <r>
    <x v="179"/>
    <x v="1"/>
    <x v="3"/>
    <x v="1"/>
    <n v="9794"/>
    <n v="11216"/>
    <n v="20"/>
    <n v="-1422"/>
    <n v="-0.14519093322442311"/>
    <n v="2022"/>
  </r>
  <r>
    <x v="180"/>
    <x v="3"/>
    <x v="0"/>
    <x v="2"/>
    <n v="3776"/>
    <n v="2810"/>
    <n v="0"/>
    <n v="966"/>
    <n v="0.25582627118644069"/>
    <n v="2022"/>
  </r>
  <r>
    <x v="127"/>
    <x v="0"/>
    <x v="1"/>
    <x v="0"/>
    <n v="6947"/>
    <n v="4936"/>
    <n v="0"/>
    <n v="2011"/>
    <n v="0.28947747229019721"/>
    <n v="2023"/>
  </r>
  <r>
    <x v="181"/>
    <x v="0"/>
    <x v="0"/>
    <x v="0"/>
    <n v="5999"/>
    <n v="1949"/>
    <n v="0"/>
    <n v="4050"/>
    <n v="0.6751125187531255"/>
    <n v="2023"/>
  </r>
  <r>
    <x v="182"/>
    <x v="0"/>
    <x v="2"/>
    <x v="0"/>
    <n v="6773"/>
    <n v="3990"/>
    <n v="0"/>
    <n v="2783"/>
    <n v="0.4108962055219253"/>
    <n v="2022"/>
  </r>
  <r>
    <x v="172"/>
    <x v="3"/>
    <x v="2"/>
    <x v="2"/>
    <n v="1799"/>
    <n v="3735"/>
    <n v="5"/>
    <n v="-1936"/>
    <n v="-1.0761534185658699"/>
    <n v="2022"/>
  </r>
  <r>
    <x v="183"/>
    <x v="0"/>
    <x v="2"/>
    <x v="2"/>
    <n v="6318"/>
    <n v="3501"/>
    <n v="10"/>
    <n v="2817"/>
    <n v="0.44586894586894588"/>
    <n v="2023"/>
  </r>
  <r>
    <x v="95"/>
    <x v="3"/>
    <x v="2"/>
    <x v="2"/>
    <n v="7201"/>
    <n v="4479"/>
    <n v="15"/>
    <n v="2722"/>
    <n v="0.37800305513123178"/>
    <n v="2022"/>
  </r>
  <r>
    <x v="184"/>
    <x v="1"/>
    <x v="2"/>
    <x v="2"/>
    <n v="5494"/>
    <n v="10783"/>
    <n v="5"/>
    <n v="-5289"/>
    <n v="-0.96268656716417911"/>
    <n v="2022"/>
  </r>
  <r>
    <x v="185"/>
    <x v="3"/>
    <x v="1"/>
    <x v="2"/>
    <n v="13994"/>
    <n v="8705"/>
    <n v="0"/>
    <n v="5289"/>
    <n v="0.37794769186794341"/>
    <n v="2024"/>
  </r>
  <r>
    <x v="186"/>
    <x v="1"/>
    <x v="3"/>
    <x v="1"/>
    <n v="12571"/>
    <n v="3537"/>
    <n v="5"/>
    <n v="9034"/>
    <n v="0.7186381353909792"/>
    <n v="2024"/>
  </r>
  <r>
    <x v="62"/>
    <x v="3"/>
    <x v="0"/>
    <x v="2"/>
    <n v="7989"/>
    <n v="4162"/>
    <n v="20"/>
    <n v="3827"/>
    <n v="0.47903367129803481"/>
    <n v="2022"/>
  </r>
  <r>
    <x v="187"/>
    <x v="1"/>
    <x v="0"/>
    <x v="2"/>
    <n v="10227"/>
    <n v="358"/>
    <n v="0"/>
    <n v="9869"/>
    <n v="0.96499462207881104"/>
    <n v="2024"/>
  </r>
  <r>
    <x v="188"/>
    <x v="0"/>
    <x v="2"/>
    <x v="2"/>
    <n v="8769"/>
    <n v="11422"/>
    <n v="15"/>
    <n v="-2653"/>
    <n v="-0.30254304937849241"/>
    <n v="2024"/>
  </r>
  <r>
    <x v="189"/>
    <x v="1"/>
    <x v="0"/>
    <x v="2"/>
    <n v="3331"/>
    <n v="5238"/>
    <n v="0"/>
    <n v="-1907"/>
    <n v="-0.57250075052536775"/>
    <n v="2022"/>
  </r>
  <r>
    <x v="190"/>
    <x v="0"/>
    <x v="2"/>
    <x v="0"/>
    <n v="12102"/>
    <n v="3271"/>
    <n v="15"/>
    <n v="8831"/>
    <n v="0.72971409684349697"/>
    <n v="2024"/>
  </r>
  <r>
    <x v="103"/>
    <x v="0"/>
    <x v="1"/>
    <x v="2"/>
    <n v="3221"/>
    <n v="10019"/>
    <n v="15"/>
    <n v="-6798"/>
    <n v="-2.1105246817758458"/>
    <n v="2023"/>
  </r>
  <r>
    <x v="57"/>
    <x v="1"/>
    <x v="1"/>
    <x v="1"/>
    <n v="12319"/>
    <n v="8614"/>
    <n v="10"/>
    <n v="3705"/>
    <n v="0.30075493140677001"/>
    <n v="2024"/>
  </r>
  <r>
    <x v="146"/>
    <x v="3"/>
    <x v="3"/>
    <x v="1"/>
    <n v="2032"/>
    <n v="9928"/>
    <n v="10"/>
    <n v="-7896"/>
    <n v="-3.8858267716535435"/>
    <n v="2023"/>
  </r>
  <r>
    <x v="191"/>
    <x v="3"/>
    <x v="1"/>
    <x v="1"/>
    <n v="8929"/>
    <n v="9654"/>
    <n v="5"/>
    <n v="-725"/>
    <n v="-8.1196102587075825E-2"/>
    <n v="2023"/>
  </r>
  <r>
    <x v="90"/>
    <x v="2"/>
    <x v="1"/>
    <x v="3"/>
    <n v="5753"/>
    <n v="11792"/>
    <n v="5"/>
    <n v="-6039"/>
    <n v="-1.0497131931166348"/>
    <n v="2024"/>
  </r>
  <r>
    <x v="192"/>
    <x v="3"/>
    <x v="3"/>
    <x v="0"/>
    <n v="2496"/>
    <n v="3645"/>
    <n v="15"/>
    <n v="-1149"/>
    <n v="-0.46033653846153844"/>
    <n v="2023"/>
  </r>
  <r>
    <x v="15"/>
    <x v="2"/>
    <x v="0"/>
    <x v="2"/>
    <n v="5811"/>
    <n v="2786"/>
    <n v="0"/>
    <n v="3025"/>
    <n v="0.52056444673894342"/>
    <n v="2023"/>
  </r>
  <r>
    <x v="158"/>
    <x v="3"/>
    <x v="2"/>
    <x v="3"/>
    <n v="12119"/>
    <n v="861"/>
    <n v="20"/>
    <n v="11258"/>
    <n v="0.92895453420249197"/>
    <n v="2024"/>
  </r>
  <r>
    <x v="193"/>
    <x v="3"/>
    <x v="2"/>
    <x v="2"/>
    <n v="777"/>
    <n v="4281"/>
    <n v="20"/>
    <n v="-3504"/>
    <n v="-4.5096525096525095"/>
    <n v="2023"/>
  </r>
  <r>
    <x v="194"/>
    <x v="0"/>
    <x v="0"/>
    <x v="3"/>
    <n v="3589"/>
    <n v="6561"/>
    <n v="0"/>
    <n v="-2972"/>
    <n v="-0.82808581777653945"/>
    <n v="2024"/>
  </r>
  <r>
    <x v="195"/>
    <x v="2"/>
    <x v="3"/>
    <x v="3"/>
    <n v="1023"/>
    <n v="2037"/>
    <n v="0"/>
    <n v="-1014"/>
    <n v="-0.99120234604105573"/>
    <n v="2024"/>
  </r>
  <r>
    <x v="196"/>
    <x v="3"/>
    <x v="0"/>
    <x v="1"/>
    <n v="4775"/>
    <n v="9396"/>
    <n v="10"/>
    <n v="-4621"/>
    <n v="-0.96774869109947648"/>
    <n v="2022"/>
  </r>
  <r>
    <x v="197"/>
    <x v="2"/>
    <x v="1"/>
    <x v="1"/>
    <n v="12910"/>
    <n v="3854"/>
    <n v="20"/>
    <n v="9056"/>
    <n v="0.70147172734314489"/>
    <n v="2022"/>
  </r>
  <r>
    <x v="28"/>
    <x v="0"/>
    <x v="3"/>
    <x v="3"/>
    <n v="5865"/>
    <n v="10218"/>
    <n v="15"/>
    <n v="-4353"/>
    <n v="-0.74219948849104855"/>
    <n v="2023"/>
  </r>
  <r>
    <x v="198"/>
    <x v="0"/>
    <x v="3"/>
    <x v="1"/>
    <n v="14545"/>
    <n v="11415"/>
    <n v="5"/>
    <n v="3130"/>
    <n v="0.2151942248195256"/>
    <n v="2023"/>
  </r>
  <r>
    <x v="199"/>
    <x v="2"/>
    <x v="3"/>
    <x v="3"/>
    <n v="3622"/>
    <n v="9426"/>
    <n v="10"/>
    <n v="-5804"/>
    <n v="-1.6024295969077857"/>
    <n v="2022"/>
  </r>
  <r>
    <x v="200"/>
    <x v="0"/>
    <x v="2"/>
    <x v="0"/>
    <n v="8667"/>
    <n v="7395"/>
    <n v="20"/>
    <n v="1272"/>
    <n v="0.14676358601592246"/>
    <n v="2022"/>
  </r>
  <r>
    <x v="201"/>
    <x v="1"/>
    <x v="0"/>
    <x v="1"/>
    <n v="5690"/>
    <n v="8566"/>
    <n v="0"/>
    <n v="-2876"/>
    <n v="-0.50544815465729354"/>
    <n v="2024"/>
  </r>
  <r>
    <x v="202"/>
    <x v="1"/>
    <x v="3"/>
    <x v="1"/>
    <n v="5075"/>
    <n v="594"/>
    <n v="20"/>
    <n v="4481"/>
    <n v="0.88295566502463052"/>
    <n v="2022"/>
  </r>
  <r>
    <x v="63"/>
    <x v="0"/>
    <x v="3"/>
    <x v="1"/>
    <n v="8227"/>
    <n v="8512"/>
    <n v="15"/>
    <n v="-285"/>
    <n v="-3.4642032332563508E-2"/>
    <n v="2024"/>
  </r>
  <r>
    <x v="203"/>
    <x v="1"/>
    <x v="3"/>
    <x v="0"/>
    <n v="2297"/>
    <n v="11734"/>
    <n v="10"/>
    <n v="-9437"/>
    <n v="-4.1084022638223772"/>
    <n v="2024"/>
  </r>
  <r>
    <x v="173"/>
    <x v="3"/>
    <x v="0"/>
    <x v="3"/>
    <n v="2631"/>
    <n v="9530"/>
    <n v="0"/>
    <n v="-6899"/>
    <n v="-2.622196883314329"/>
    <n v="2023"/>
  </r>
  <r>
    <x v="204"/>
    <x v="2"/>
    <x v="2"/>
    <x v="2"/>
    <n v="7822"/>
    <n v="5630"/>
    <n v="15"/>
    <n v="2192"/>
    <n v="0.28023523395551009"/>
    <n v="2024"/>
  </r>
  <r>
    <x v="57"/>
    <x v="3"/>
    <x v="1"/>
    <x v="1"/>
    <n v="7000"/>
    <n v="4955"/>
    <n v="5"/>
    <n v="2045"/>
    <n v="0.29214285714285715"/>
    <n v="2024"/>
  </r>
  <r>
    <x v="205"/>
    <x v="2"/>
    <x v="2"/>
    <x v="3"/>
    <n v="1315"/>
    <n v="1409"/>
    <n v="10"/>
    <n v="-94"/>
    <n v="-7.1482889733840302E-2"/>
    <n v="2023"/>
  </r>
  <r>
    <x v="206"/>
    <x v="0"/>
    <x v="3"/>
    <x v="0"/>
    <n v="11386"/>
    <n v="4071"/>
    <n v="15"/>
    <n v="7315"/>
    <n v="0.64245564728614091"/>
    <n v="2023"/>
  </r>
  <r>
    <x v="207"/>
    <x v="3"/>
    <x v="2"/>
    <x v="2"/>
    <n v="9134"/>
    <n v="8863"/>
    <n v="15"/>
    <n v="271"/>
    <n v="2.9669367199474491E-2"/>
    <n v="2024"/>
  </r>
  <r>
    <x v="208"/>
    <x v="0"/>
    <x v="2"/>
    <x v="1"/>
    <n v="11832"/>
    <n v="6423"/>
    <n v="0"/>
    <n v="5409"/>
    <n v="0.45715010141987827"/>
    <n v="2022"/>
  </r>
  <r>
    <x v="209"/>
    <x v="0"/>
    <x v="1"/>
    <x v="0"/>
    <n v="7166"/>
    <n v="7947"/>
    <n v="5"/>
    <n v="-781"/>
    <n v="-0.10898688250069774"/>
    <n v="2022"/>
  </r>
  <r>
    <x v="210"/>
    <x v="2"/>
    <x v="0"/>
    <x v="0"/>
    <n v="642"/>
    <n v="1474"/>
    <n v="15"/>
    <n v="-832"/>
    <n v="-1.2959501557632398"/>
    <n v="2023"/>
  </r>
  <r>
    <x v="211"/>
    <x v="2"/>
    <x v="0"/>
    <x v="2"/>
    <n v="12979"/>
    <n v="1464"/>
    <n v="10"/>
    <n v="11515"/>
    <n v="0.88720240388319593"/>
    <n v="2024"/>
  </r>
  <r>
    <x v="212"/>
    <x v="2"/>
    <x v="2"/>
    <x v="3"/>
    <n v="1910"/>
    <n v="9584"/>
    <n v="15"/>
    <n v="-7674"/>
    <n v="-4.0178010471204191"/>
    <n v="2023"/>
  </r>
  <r>
    <x v="95"/>
    <x v="3"/>
    <x v="2"/>
    <x v="1"/>
    <n v="13165"/>
    <n v="9775"/>
    <n v="20"/>
    <n v="3390"/>
    <n v="0.25750094948727686"/>
    <n v="2022"/>
  </r>
  <r>
    <x v="174"/>
    <x v="1"/>
    <x v="0"/>
    <x v="1"/>
    <n v="1034"/>
    <n v="10503"/>
    <n v="10"/>
    <n v="-9469"/>
    <n v="-9.1576402321083172"/>
    <n v="2024"/>
  </r>
  <r>
    <x v="148"/>
    <x v="2"/>
    <x v="0"/>
    <x v="3"/>
    <n v="10408"/>
    <n v="9337"/>
    <n v="10"/>
    <n v="1071"/>
    <n v="0.10290161414296695"/>
    <n v="2022"/>
  </r>
  <r>
    <x v="213"/>
    <x v="2"/>
    <x v="1"/>
    <x v="3"/>
    <n v="3864"/>
    <n v="10483"/>
    <n v="15"/>
    <n v="-6619"/>
    <n v="-1.7129917184265011"/>
    <n v="2023"/>
  </r>
  <r>
    <x v="214"/>
    <x v="3"/>
    <x v="3"/>
    <x v="3"/>
    <n v="1532"/>
    <n v="9012"/>
    <n v="0"/>
    <n v="-7480"/>
    <n v="-4.8825065274151438"/>
    <n v="2022"/>
  </r>
  <r>
    <x v="215"/>
    <x v="2"/>
    <x v="2"/>
    <x v="2"/>
    <n v="3842"/>
    <n v="4766"/>
    <n v="10"/>
    <n v="-924"/>
    <n v="-0.2404997397188964"/>
    <n v="2022"/>
  </r>
  <r>
    <x v="216"/>
    <x v="3"/>
    <x v="0"/>
    <x v="2"/>
    <n v="10102"/>
    <n v="5838"/>
    <n v="20"/>
    <n v="4264"/>
    <n v="0.42209463472579689"/>
    <n v="2023"/>
  </r>
  <r>
    <x v="23"/>
    <x v="0"/>
    <x v="2"/>
    <x v="1"/>
    <n v="14928"/>
    <n v="7411"/>
    <n v="0"/>
    <n v="7517"/>
    <n v="0.50355037513397638"/>
    <n v="2023"/>
  </r>
  <r>
    <x v="217"/>
    <x v="2"/>
    <x v="2"/>
    <x v="2"/>
    <n v="6585"/>
    <n v="8734"/>
    <n v="0"/>
    <n v="-2149"/>
    <n v="-0.32634776006074412"/>
    <n v="2024"/>
  </r>
  <r>
    <x v="218"/>
    <x v="2"/>
    <x v="0"/>
    <x v="0"/>
    <n v="13965"/>
    <n v="3100"/>
    <n v="0"/>
    <n v="10865"/>
    <n v="0.77801646974579308"/>
    <n v="2022"/>
  </r>
  <r>
    <x v="17"/>
    <x v="0"/>
    <x v="1"/>
    <x v="1"/>
    <n v="5000"/>
    <n v="4907"/>
    <n v="10"/>
    <n v="93"/>
    <n v="1.8599999999999998E-2"/>
    <n v="2022"/>
  </r>
  <r>
    <x v="219"/>
    <x v="0"/>
    <x v="2"/>
    <x v="2"/>
    <n v="1672"/>
    <n v="11388"/>
    <n v="0"/>
    <n v="-9716"/>
    <n v="-5.8110047846889952"/>
    <n v="2024"/>
  </r>
  <r>
    <x v="220"/>
    <x v="0"/>
    <x v="1"/>
    <x v="3"/>
    <n v="9580"/>
    <n v="11094"/>
    <n v="15"/>
    <n v="-1514"/>
    <n v="-0.15803757828810022"/>
    <n v="2024"/>
  </r>
  <r>
    <x v="221"/>
    <x v="2"/>
    <x v="0"/>
    <x v="0"/>
    <n v="12030"/>
    <n v="7562"/>
    <n v="0"/>
    <n v="4468"/>
    <n v="0.37140482128013302"/>
    <n v="2022"/>
  </r>
  <r>
    <x v="222"/>
    <x v="1"/>
    <x v="3"/>
    <x v="3"/>
    <n v="5017"/>
    <n v="10765"/>
    <n v="20"/>
    <n v="-5748"/>
    <n v="-1.1457046043452261"/>
    <n v="2022"/>
  </r>
  <r>
    <x v="49"/>
    <x v="1"/>
    <x v="3"/>
    <x v="1"/>
    <n v="8507"/>
    <n v="1841"/>
    <n v="5"/>
    <n v="6666"/>
    <n v="0.78358998471846719"/>
    <n v="2023"/>
  </r>
  <r>
    <x v="223"/>
    <x v="1"/>
    <x v="2"/>
    <x v="3"/>
    <n v="2141"/>
    <n v="3065"/>
    <n v="20"/>
    <n v="-924"/>
    <n v="-0.43157403082671647"/>
    <n v="2023"/>
  </r>
  <r>
    <x v="224"/>
    <x v="2"/>
    <x v="0"/>
    <x v="2"/>
    <n v="971"/>
    <n v="10606"/>
    <n v="10"/>
    <n v="-9635"/>
    <n v="-9.9227600411946444"/>
    <n v="2023"/>
  </r>
  <r>
    <x v="225"/>
    <x v="0"/>
    <x v="1"/>
    <x v="2"/>
    <n v="3440"/>
    <n v="4791"/>
    <n v="0"/>
    <n v="-1351"/>
    <n v="-0.39273255813953489"/>
    <n v="2023"/>
  </r>
  <r>
    <x v="226"/>
    <x v="2"/>
    <x v="2"/>
    <x v="1"/>
    <n v="9238"/>
    <n v="3383"/>
    <n v="0"/>
    <n v="5855"/>
    <n v="0.63379519376488413"/>
    <n v="2024"/>
  </r>
  <r>
    <x v="227"/>
    <x v="0"/>
    <x v="0"/>
    <x v="3"/>
    <n v="5226"/>
    <n v="5656"/>
    <n v="15"/>
    <n v="-430"/>
    <n v="-8.2280903176425571E-2"/>
    <n v="2024"/>
  </r>
  <r>
    <x v="228"/>
    <x v="2"/>
    <x v="0"/>
    <x v="1"/>
    <n v="12289"/>
    <n v="2157"/>
    <n v="0"/>
    <n v="10132"/>
    <n v="0.82447717470908943"/>
    <n v="2022"/>
  </r>
  <r>
    <x v="229"/>
    <x v="2"/>
    <x v="1"/>
    <x v="3"/>
    <n v="8170"/>
    <n v="1069"/>
    <n v="20"/>
    <n v="7101"/>
    <n v="0.86915544675642598"/>
    <n v="2023"/>
  </r>
  <r>
    <x v="230"/>
    <x v="0"/>
    <x v="2"/>
    <x v="0"/>
    <n v="13825"/>
    <n v="1722"/>
    <n v="10"/>
    <n v="12103"/>
    <n v="0.87544303797468359"/>
    <n v="2024"/>
  </r>
  <r>
    <x v="231"/>
    <x v="1"/>
    <x v="0"/>
    <x v="2"/>
    <n v="11517"/>
    <n v="8898"/>
    <n v="5"/>
    <n v="2619"/>
    <n v="0.22740296952331338"/>
    <n v="2022"/>
  </r>
  <r>
    <x v="232"/>
    <x v="0"/>
    <x v="0"/>
    <x v="1"/>
    <n v="4223"/>
    <n v="3272"/>
    <n v="0"/>
    <n v="951"/>
    <n v="0.22519535874970401"/>
    <n v="2024"/>
  </r>
  <r>
    <x v="233"/>
    <x v="3"/>
    <x v="0"/>
    <x v="0"/>
    <n v="14617"/>
    <n v="2172"/>
    <n v="5"/>
    <n v="12445"/>
    <n v="0.85140589724293636"/>
    <n v="2024"/>
  </r>
  <r>
    <x v="234"/>
    <x v="3"/>
    <x v="1"/>
    <x v="0"/>
    <n v="863"/>
    <n v="5899"/>
    <n v="0"/>
    <n v="-5036"/>
    <n v="-5.835457705677868"/>
    <n v="2023"/>
  </r>
  <r>
    <x v="235"/>
    <x v="0"/>
    <x v="2"/>
    <x v="1"/>
    <n v="10858"/>
    <n v="11186"/>
    <n v="10"/>
    <n v="-328"/>
    <n v="-3.0208141462516117E-2"/>
    <n v="2024"/>
  </r>
  <r>
    <x v="236"/>
    <x v="2"/>
    <x v="2"/>
    <x v="1"/>
    <n v="3809"/>
    <n v="2569"/>
    <n v="20"/>
    <n v="1240"/>
    <n v="0.32554476240483066"/>
    <n v="2023"/>
  </r>
  <r>
    <x v="119"/>
    <x v="3"/>
    <x v="2"/>
    <x v="0"/>
    <n v="1045"/>
    <n v="5575"/>
    <n v="10"/>
    <n v="-4530"/>
    <n v="-4.3349282296650715"/>
    <n v="2023"/>
  </r>
  <r>
    <x v="237"/>
    <x v="3"/>
    <x v="2"/>
    <x v="3"/>
    <n v="3740"/>
    <n v="5049"/>
    <n v="5"/>
    <n v="-1309"/>
    <n v="-0.35"/>
    <n v="2024"/>
  </r>
  <r>
    <x v="238"/>
    <x v="2"/>
    <x v="3"/>
    <x v="0"/>
    <n v="7165"/>
    <n v="6871"/>
    <n v="0"/>
    <n v="294"/>
    <n v="4.1032798325191903E-2"/>
    <n v="2024"/>
  </r>
  <r>
    <x v="239"/>
    <x v="2"/>
    <x v="3"/>
    <x v="1"/>
    <n v="13421"/>
    <n v="9673"/>
    <n v="5"/>
    <n v="3748"/>
    <n v="0.27926384025035395"/>
    <n v="2022"/>
  </r>
  <r>
    <x v="240"/>
    <x v="1"/>
    <x v="2"/>
    <x v="0"/>
    <n v="2436"/>
    <n v="5372"/>
    <n v="20"/>
    <n v="-2936"/>
    <n v="-1.2052545155993433"/>
    <n v="2023"/>
  </r>
  <r>
    <x v="241"/>
    <x v="2"/>
    <x v="1"/>
    <x v="3"/>
    <n v="14468"/>
    <n v="9931"/>
    <n v="10"/>
    <n v="4537"/>
    <n v="0.31358860934476085"/>
    <n v="2022"/>
  </r>
  <r>
    <x v="242"/>
    <x v="0"/>
    <x v="3"/>
    <x v="2"/>
    <n v="9654"/>
    <n v="11545"/>
    <n v="5"/>
    <n v="-1891"/>
    <n v="-0.19587735653615082"/>
    <n v="2022"/>
  </r>
  <r>
    <x v="243"/>
    <x v="0"/>
    <x v="0"/>
    <x v="2"/>
    <n v="11697"/>
    <n v="5763"/>
    <n v="5"/>
    <n v="5934"/>
    <n v="0.50730956655552706"/>
    <n v="2023"/>
  </r>
  <r>
    <x v="244"/>
    <x v="1"/>
    <x v="3"/>
    <x v="0"/>
    <n v="12498"/>
    <n v="11825"/>
    <n v="20"/>
    <n v="673"/>
    <n v="5.3848615778524567E-2"/>
    <n v="2023"/>
  </r>
  <r>
    <x v="245"/>
    <x v="3"/>
    <x v="0"/>
    <x v="3"/>
    <n v="1382"/>
    <n v="7750"/>
    <n v="0"/>
    <n v="-6368"/>
    <n v="-4.6078147612156295"/>
    <n v="2023"/>
  </r>
  <r>
    <x v="246"/>
    <x v="3"/>
    <x v="2"/>
    <x v="2"/>
    <n v="4340"/>
    <n v="11389"/>
    <n v="5"/>
    <n v="-7049"/>
    <n v="-1.6241935483870968"/>
    <n v="2024"/>
  </r>
  <r>
    <x v="247"/>
    <x v="2"/>
    <x v="3"/>
    <x v="0"/>
    <n v="7423"/>
    <n v="11395"/>
    <n v="20"/>
    <n v="-3972"/>
    <n v="-0.53509362791324266"/>
    <n v="2023"/>
  </r>
  <r>
    <x v="248"/>
    <x v="0"/>
    <x v="1"/>
    <x v="0"/>
    <n v="9562"/>
    <n v="8720"/>
    <n v="0"/>
    <n v="842"/>
    <n v="8.8056891863626863E-2"/>
    <n v="2024"/>
  </r>
  <r>
    <x v="249"/>
    <x v="3"/>
    <x v="3"/>
    <x v="3"/>
    <n v="5111"/>
    <n v="4259"/>
    <n v="0"/>
    <n v="852"/>
    <n v="0.16669927607121893"/>
    <n v="2023"/>
  </r>
  <r>
    <x v="226"/>
    <x v="1"/>
    <x v="3"/>
    <x v="1"/>
    <n v="11677"/>
    <n v="10385"/>
    <n v="10"/>
    <n v="1292"/>
    <n v="0.11064485741200651"/>
    <n v="2024"/>
  </r>
  <r>
    <x v="250"/>
    <x v="1"/>
    <x v="3"/>
    <x v="0"/>
    <n v="14208"/>
    <n v="1613"/>
    <n v="20"/>
    <n v="12595"/>
    <n v="0.88647240990990994"/>
    <n v="2022"/>
  </r>
  <r>
    <x v="251"/>
    <x v="0"/>
    <x v="2"/>
    <x v="1"/>
    <n v="9557"/>
    <n v="8147"/>
    <n v="0"/>
    <n v="1410"/>
    <n v="0.1475358376059433"/>
    <n v="2023"/>
  </r>
  <r>
    <x v="252"/>
    <x v="1"/>
    <x v="1"/>
    <x v="1"/>
    <n v="14941"/>
    <n v="1370"/>
    <n v="10"/>
    <n v="13571"/>
    <n v="0.90830600361421587"/>
    <n v="2022"/>
  </r>
  <r>
    <x v="253"/>
    <x v="1"/>
    <x v="3"/>
    <x v="2"/>
    <n v="5704"/>
    <n v="9466"/>
    <n v="15"/>
    <n v="-3762"/>
    <n v="-0.65953716690042075"/>
    <n v="2022"/>
  </r>
  <r>
    <x v="223"/>
    <x v="0"/>
    <x v="1"/>
    <x v="1"/>
    <n v="13001"/>
    <n v="10230"/>
    <n v="20"/>
    <n v="2771"/>
    <n v="0.21313745096531037"/>
    <n v="2023"/>
  </r>
  <r>
    <x v="254"/>
    <x v="2"/>
    <x v="2"/>
    <x v="3"/>
    <n v="7788"/>
    <n v="3585"/>
    <n v="15"/>
    <n v="4203"/>
    <n v="0.53967642526964565"/>
    <n v="2022"/>
  </r>
  <r>
    <x v="121"/>
    <x v="2"/>
    <x v="0"/>
    <x v="2"/>
    <n v="3703"/>
    <n v="9249"/>
    <n v="0"/>
    <n v="-5546"/>
    <n v="-1.4977045638671347"/>
    <n v="2023"/>
  </r>
  <r>
    <x v="255"/>
    <x v="1"/>
    <x v="3"/>
    <x v="2"/>
    <n v="11589"/>
    <n v="3395"/>
    <n v="20"/>
    <n v="8194"/>
    <n v="0.7070497885926309"/>
    <n v="2024"/>
  </r>
  <r>
    <x v="256"/>
    <x v="2"/>
    <x v="1"/>
    <x v="2"/>
    <n v="2744"/>
    <n v="620"/>
    <n v="10"/>
    <n v="2124"/>
    <n v="0.77405247813411082"/>
    <n v="2024"/>
  </r>
  <r>
    <x v="257"/>
    <x v="2"/>
    <x v="1"/>
    <x v="0"/>
    <n v="518"/>
    <n v="2621"/>
    <n v="0"/>
    <n v="-2103"/>
    <n v="-4.0598455598455603"/>
    <n v="2024"/>
  </r>
  <r>
    <x v="258"/>
    <x v="1"/>
    <x v="2"/>
    <x v="0"/>
    <n v="1141"/>
    <n v="855"/>
    <n v="20"/>
    <n v="286"/>
    <n v="0.25065731814198072"/>
    <n v="2023"/>
  </r>
  <r>
    <x v="99"/>
    <x v="2"/>
    <x v="3"/>
    <x v="1"/>
    <n v="3583"/>
    <n v="5239"/>
    <n v="20"/>
    <n v="-1656"/>
    <n v="-0.46218252860731229"/>
    <n v="2023"/>
  </r>
  <r>
    <x v="217"/>
    <x v="1"/>
    <x v="0"/>
    <x v="2"/>
    <n v="5700"/>
    <n v="5732"/>
    <n v="15"/>
    <n v="-32"/>
    <n v="-5.6140350877192978E-3"/>
    <n v="2024"/>
  </r>
  <r>
    <x v="259"/>
    <x v="3"/>
    <x v="1"/>
    <x v="2"/>
    <n v="9021"/>
    <n v="1686"/>
    <n v="0"/>
    <n v="7335"/>
    <n v="0.81310276022613903"/>
    <n v="2022"/>
  </r>
  <r>
    <x v="64"/>
    <x v="0"/>
    <x v="3"/>
    <x v="3"/>
    <n v="1365"/>
    <n v="5063"/>
    <n v="10"/>
    <n v="-3698"/>
    <n v="-2.7091575091575093"/>
    <n v="2024"/>
  </r>
  <r>
    <x v="260"/>
    <x v="0"/>
    <x v="0"/>
    <x v="1"/>
    <n v="1273"/>
    <n v="11539"/>
    <n v="10"/>
    <n v="-10266"/>
    <n v="-8.0644147682639442"/>
    <n v="2024"/>
  </r>
  <r>
    <x v="261"/>
    <x v="2"/>
    <x v="1"/>
    <x v="3"/>
    <n v="13179"/>
    <n v="10919"/>
    <n v="0"/>
    <n v="2260"/>
    <n v="0.17148493815919266"/>
    <n v="2022"/>
  </r>
  <r>
    <x v="262"/>
    <x v="2"/>
    <x v="1"/>
    <x v="1"/>
    <n v="5232"/>
    <n v="7154"/>
    <n v="0"/>
    <n v="-1922"/>
    <n v="-0.36735474006116209"/>
    <n v="2024"/>
  </r>
  <r>
    <x v="263"/>
    <x v="2"/>
    <x v="0"/>
    <x v="1"/>
    <n v="11046"/>
    <n v="10496"/>
    <n v="5"/>
    <n v="550"/>
    <n v="4.9791779829802645E-2"/>
    <n v="2024"/>
  </r>
  <r>
    <x v="264"/>
    <x v="0"/>
    <x v="0"/>
    <x v="0"/>
    <n v="12030"/>
    <n v="10422"/>
    <n v="15"/>
    <n v="1608"/>
    <n v="0.13366583541147131"/>
    <n v="2024"/>
  </r>
  <r>
    <x v="149"/>
    <x v="3"/>
    <x v="2"/>
    <x v="0"/>
    <n v="4018"/>
    <n v="7937"/>
    <n v="0"/>
    <n v="-3919"/>
    <n v="-0.97536087605774013"/>
    <n v="2024"/>
  </r>
  <r>
    <x v="265"/>
    <x v="3"/>
    <x v="3"/>
    <x v="3"/>
    <n v="11634"/>
    <n v="5141"/>
    <n v="0"/>
    <n v="6493"/>
    <n v="0.55810555269039019"/>
    <n v="2022"/>
  </r>
  <r>
    <x v="266"/>
    <x v="0"/>
    <x v="3"/>
    <x v="1"/>
    <n v="7295"/>
    <n v="10655"/>
    <n v="5"/>
    <n v="-3360"/>
    <n v="-0.46058944482522274"/>
    <n v="2024"/>
  </r>
  <r>
    <x v="267"/>
    <x v="3"/>
    <x v="2"/>
    <x v="2"/>
    <n v="7484"/>
    <n v="4167"/>
    <n v="5"/>
    <n v="3317"/>
    <n v="0.44321218599679318"/>
    <n v="2024"/>
  </r>
  <r>
    <x v="268"/>
    <x v="0"/>
    <x v="1"/>
    <x v="0"/>
    <n v="13813"/>
    <n v="10918"/>
    <n v="20"/>
    <n v="2895"/>
    <n v="0.20958517338738869"/>
    <n v="2024"/>
  </r>
  <r>
    <x v="269"/>
    <x v="3"/>
    <x v="0"/>
    <x v="2"/>
    <n v="3067"/>
    <n v="4093"/>
    <n v="10"/>
    <n v="-1026"/>
    <n v="-0.33452885555917833"/>
    <n v="2023"/>
  </r>
  <r>
    <x v="270"/>
    <x v="1"/>
    <x v="0"/>
    <x v="3"/>
    <n v="2174"/>
    <n v="7673"/>
    <n v="15"/>
    <n v="-5499"/>
    <n v="-2.5294388224471023"/>
    <n v="2022"/>
  </r>
  <r>
    <x v="271"/>
    <x v="1"/>
    <x v="0"/>
    <x v="0"/>
    <n v="11375"/>
    <n v="2813"/>
    <n v="20"/>
    <n v="8562"/>
    <n v="0.75270329670329672"/>
    <n v="2023"/>
  </r>
  <r>
    <x v="272"/>
    <x v="0"/>
    <x v="1"/>
    <x v="0"/>
    <n v="12072"/>
    <n v="4103"/>
    <n v="0"/>
    <n v="7969"/>
    <n v="0.66012259774685222"/>
    <n v="2023"/>
  </r>
  <r>
    <x v="273"/>
    <x v="3"/>
    <x v="0"/>
    <x v="1"/>
    <n v="1239"/>
    <n v="2627"/>
    <n v="5"/>
    <n v="-1388"/>
    <n v="-1.1202582728006456"/>
    <n v="2023"/>
  </r>
  <r>
    <x v="274"/>
    <x v="2"/>
    <x v="0"/>
    <x v="3"/>
    <n v="2045"/>
    <n v="9109"/>
    <n v="10"/>
    <n v="-7064"/>
    <n v="-3.454278728606357"/>
    <n v="2022"/>
  </r>
  <r>
    <x v="275"/>
    <x v="3"/>
    <x v="2"/>
    <x v="1"/>
    <n v="13256"/>
    <n v="2465"/>
    <n v="20"/>
    <n v="10791"/>
    <n v="0.81404646952323478"/>
    <n v="2024"/>
  </r>
  <r>
    <x v="276"/>
    <x v="1"/>
    <x v="1"/>
    <x v="0"/>
    <n v="10951"/>
    <n v="3608"/>
    <n v="10"/>
    <n v="7343"/>
    <n v="0.67053237147292488"/>
    <n v="2024"/>
  </r>
  <r>
    <x v="277"/>
    <x v="1"/>
    <x v="3"/>
    <x v="3"/>
    <n v="9827"/>
    <n v="6752"/>
    <n v="5"/>
    <n v="3075"/>
    <n v="0.31291340185204031"/>
    <n v="2024"/>
  </r>
  <r>
    <x v="278"/>
    <x v="3"/>
    <x v="2"/>
    <x v="0"/>
    <n v="5627"/>
    <n v="8367"/>
    <n v="20"/>
    <n v="-2740"/>
    <n v="-0.48693797760796159"/>
    <n v="2022"/>
  </r>
  <r>
    <x v="279"/>
    <x v="3"/>
    <x v="2"/>
    <x v="3"/>
    <n v="7447"/>
    <n v="7942"/>
    <n v="20"/>
    <n v="-495"/>
    <n v="-6.6469719350073855E-2"/>
    <n v="2024"/>
  </r>
  <r>
    <x v="123"/>
    <x v="2"/>
    <x v="3"/>
    <x v="0"/>
    <n v="7120"/>
    <n v="6704"/>
    <n v="10"/>
    <n v="416"/>
    <n v="5.8426966292134834E-2"/>
    <n v="2024"/>
  </r>
  <r>
    <x v="276"/>
    <x v="2"/>
    <x v="2"/>
    <x v="2"/>
    <n v="9565"/>
    <n v="1292"/>
    <n v="5"/>
    <n v="8273"/>
    <n v="0.86492420282279148"/>
    <n v="2024"/>
  </r>
  <r>
    <x v="280"/>
    <x v="3"/>
    <x v="1"/>
    <x v="2"/>
    <n v="5055"/>
    <n v="5724"/>
    <n v="0"/>
    <n v="-669"/>
    <n v="-0.13234421364985163"/>
    <n v="2023"/>
  </r>
  <r>
    <x v="281"/>
    <x v="3"/>
    <x v="0"/>
    <x v="1"/>
    <n v="10992"/>
    <n v="9869"/>
    <n v="20"/>
    <n v="1123"/>
    <n v="0.10216521106259098"/>
    <n v="2023"/>
  </r>
  <r>
    <x v="282"/>
    <x v="3"/>
    <x v="1"/>
    <x v="2"/>
    <n v="6145"/>
    <n v="4681"/>
    <n v="0"/>
    <n v="1464"/>
    <n v="0.23824247355573638"/>
    <n v="2024"/>
  </r>
  <r>
    <x v="283"/>
    <x v="3"/>
    <x v="3"/>
    <x v="0"/>
    <n v="9443"/>
    <n v="3474"/>
    <n v="5"/>
    <n v="5969"/>
    <n v="0.6321084401143704"/>
    <n v="2023"/>
  </r>
  <r>
    <x v="284"/>
    <x v="0"/>
    <x v="3"/>
    <x v="0"/>
    <n v="14249"/>
    <n v="5082"/>
    <n v="20"/>
    <n v="9167"/>
    <n v="0.64334339251877326"/>
    <n v="2023"/>
  </r>
  <r>
    <x v="171"/>
    <x v="3"/>
    <x v="2"/>
    <x v="2"/>
    <n v="14565"/>
    <n v="9797"/>
    <n v="20"/>
    <n v="4768"/>
    <n v="0.32736010985238584"/>
    <n v="2024"/>
  </r>
  <r>
    <x v="285"/>
    <x v="2"/>
    <x v="1"/>
    <x v="1"/>
    <n v="7624"/>
    <n v="5860"/>
    <n v="0"/>
    <n v="1764"/>
    <n v="0.23137460650577124"/>
    <n v="2023"/>
  </r>
  <r>
    <x v="286"/>
    <x v="1"/>
    <x v="1"/>
    <x v="2"/>
    <n v="9545"/>
    <n v="7760"/>
    <n v="15"/>
    <n v="1785"/>
    <n v="0.18700890518596125"/>
    <n v="2023"/>
  </r>
  <r>
    <x v="287"/>
    <x v="0"/>
    <x v="3"/>
    <x v="3"/>
    <n v="4232"/>
    <n v="3378"/>
    <n v="0"/>
    <n v="854"/>
    <n v="0.20179584120982988"/>
    <n v="2024"/>
  </r>
  <r>
    <x v="0"/>
    <x v="3"/>
    <x v="1"/>
    <x v="3"/>
    <n v="2783"/>
    <n v="11178"/>
    <n v="0"/>
    <n v="-8395"/>
    <n v="-3.0165289256198347"/>
    <n v="2024"/>
  </r>
  <r>
    <x v="142"/>
    <x v="1"/>
    <x v="3"/>
    <x v="3"/>
    <n v="10021"/>
    <n v="3283"/>
    <n v="15"/>
    <n v="6738"/>
    <n v="0.67238798523101484"/>
    <n v="2022"/>
  </r>
  <r>
    <x v="288"/>
    <x v="0"/>
    <x v="1"/>
    <x v="2"/>
    <n v="9169"/>
    <n v="7559"/>
    <n v="5"/>
    <n v="1610"/>
    <n v="0.17559166757552622"/>
    <n v="2022"/>
  </r>
  <r>
    <x v="289"/>
    <x v="1"/>
    <x v="1"/>
    <x v="2"/>
    <n v="11418"/>
    <n v="6354"/>
    <n v="5"/>
    <n v="5064"/>
    <n v="0.44351024697845509"/>
    <n v="2024"/>
  </r>
  <r>
    <x v="290"/>
    <x v="3"/>
    <x v="1"/>
    <x v="2"/>
    <n v="11783"/>
    <n v="2823"/>
    <n v="20"/>
    <n v="8960"/>
    <n v="0.76041755070864803"/>
    <n v="2023"/>
  </r>
  <r>
    <x v="291"/>
    <x v="3"/>
    <x v="3"/>
    <x v="3"/>
    <n v="7498"/>
    <n v="9977"/>
    <n v="10"/>
    <n v="-2479"/>
    <n v="-0.33062149906641769"/>
    <n v="2024"/>
  </r>
  <r>
    <x v="292"/>
    <x v="2"/>
    <x v="2"/>
    <x v="1"/>
    <n v="12922"/>
    <n v="10592"/>
    <n v="10"/>
    <n v="2330"/>
    <n v="0.18031264510137748"/>
    <n v="2024"/>
  </r>
  <r>
    <x v="293"/>
    <x v="3"/>
    <x v="1"/>
    <x v="0"/>
    <n v="13940"/>
    <n v="4881"/>
    <n v="20"/>
    <n v="9059"/>
    <n v="0.64985652797704452"/>
    <n v="2024"/>
  </r>
  <r>
    <x v="294"/>
    <x v="3"/>
    <x v="3"/>
    <x v="2"/>
    <n v="13197"/>
    <n v="5909"/>
    <n v="10"/>
    <n v="7288"/>
    <n v="0.55224672274001663"/>
    <n v="2022"/>
  </r>
  <r>
    <x v="26"/>
    <x v="0"/>
    <x v="3"/>
    <x v="1"/>
    <n v="14233"/>
    <n v="2301"/>
    <n v="0"/>
    <n v="11932"/>
    <n v="0.8383334504320944"/>
    <n v="2024"/>
  </r>
  <r>
    <x v="295"/>
    <x v="2"/>
    <x v="1"/>
    <x v="0"/>
    <n v="5913"/>
    <n v="1687"/>
    <n v="0"/>
    <n v="4226"/>
    <n v="0.71469643159140872"/>
    <n v="2024"/>
  </r>
  <r>
    <x v="173"/>
    <x v="0"/>
    <x v="1"/>
    <x v="0"/>
    <n v="1769"/>
    <n v="11675"/>
    <n v="15"/>
    <n v="-9906"/>
    <n v="-5.5997738835500286"/>
    <n v="2023"/>
  </r>
  <r>
    <x v="296"/>
    <x v="1"/>
    <x v="2"/>
    <x v="0"/>
    <n v="8368"/>
    <n v="6852"/>
    <n v="15"/>
    <n v="1516"/>
    <n v="0.18116634799235182"/>
    <n v="2024"/>
  </r>
  <r>
    <x v="297"/>
    <x v="3"/>
    <x v="3"/>
    <x v="1"/>
    <n v="14367"/>
    <n v="1330"/>
    <n v="20"/>
    <n v="13037"/>
    <n v="0.90742674183893646"/>
    <n v="2022"/>
  </r>
  <r>
    <x v="298"/>
    <x v="1"/>
    <x v="3"/>
    <x v="1"/>
    <n v="12873"/>
    <n v="10257"/>
    <n v="20"/>
    <n v="2616"/>
    <n v="0.20321603355861104"/>
    <n v="2023"/>
  </r>
  <r>
    <x v="299"/>
    <x v="0"/>
    <x v="0"/>
    <x v="3"/>
    <n v="3103"/>
    <n v="1520"/>
    <n v="20"/>
    <n v="1583"/>
    <n v="0.51015146632291331"/>
    <n v="2023"/>
  </r>
  <r>
    <x v="300"/>
    <x v="3"/>
    <x v="3"/>
    <x v="1"/>
    <n v="6461"/>
    <n v="10906"/>
    <n v="0"/>
    <n v="-4445"/>
    <n v="-0.68797399783315272"/>
    <n v="2022"/>
  </r>
  <r>
    <x v="163"/>
    <x v="3"/>
    <x v="2"/>
    <x v="1"/>
    <n v="10161"/>
    <n v="6335"/>
    <n v="10"/>
    <n v="3826"/>
    <n v="0.37653774234819409"/>
    <n v="2023"/>
  </r>
  <r>
    <x v="301"/>
    <x v="0"/>
    <x v="0"/>
    <x v="1"/>
    <n v="9069"/>
    <n v="10110"/>
    <n v="20"/>
    <n v="-1041"/>
    <n v="-0.11478663579225934"/>
    <n v="2022"/>
  </r>
  <r>
    <x v="302"/>
    <x v="0"/>
    <x v="0"/>
    <x v="0"/>
    <n v="8057"/>
    <n v="9755"/>
    <n v="20"/>
    <n v="-1698"/>
    <n v="-0.21074841752513343"/>
    <n v="2022"/>
  </r>
  <r>
    <x v="303"/>
    <x v="0"/>
    <x v="0"/>
    <x v="2"/>
    <n v="2180"/>
    <n v="6823"/>
    <n v="0"/>
    <n v="-4643"/>
    <n v="-2.129816513761468"/>
    <n v="2023"/>
  </r>
  <r>
    <x v="282"/>
    <x v="0"/>
    <x v="1"/>
    <x v="3"/>
    <n v="13862"/>
    <n v="8374"/>
    <n v="0"/>
    <n v="5488"/>
    <n v="0.39590246717645361"/>
    <n v="2024"/>
  </r>
  <r>
    <x v="304"/>
    <x v="0"/>
    <x v="1"/>
    <x v="2"/>
    <n v="8933"/>
    <n v="9363"/>
    <n v="0"/>
    <n v="-430"/>
    <n v="-4.8136124482256799E-2"/>
    <n v="2024"/>
  </r>
  <r>
    <x v="133"/>
    <x v="3"/>
    <x v="3"/>
    <x v="2"/>
    <n v="9611"/>
    <n v="1134"/>
    <n v="10"/>
    <n v="8477"/>
    <n v="0.88201019664967228"/>
    <n v="2023"/>
  </r>
  <r>
    <x v="305"/>
    <x v="0"/>
    <x v="0"/>
    <x v="1"/>
    <n v="6182"/>
    <n v="11314"/>
    <n v="20"/>
    <n v="-5132"/>
    <n v="-0.83015205435134265"/>
    <n v="2024"/>
  </r>
  <r>
    <x v="306"/>
    <x v="3"/>
    <x v="2"/>
    <x v="3"/>
    <n v="8584"/>
    <n v="9410"/>
    <n v="5"/>
    <n v="-826"/>
    <n v="-9.6225535880708299E-2"/>
    <n v="2024"/>
  </r>
  <r>
    <x v="307"/>
    <x v="3"/>
    <x v="1"/>
    <x v="2"/>
    <n v="5867"/>
    <n v="2024"/>
    <n v="5"/>
    <n v="3843"/>
    <n v="0.65501960115902502"/>
    <n v="2023"/>
  </r>
  <r>
    <x v="308"/>
    <x v="0"/>
    <x v="2"/>
    <x v="2"/>
    <n v="569"/>
    <n v="6898"/>
    <n v="20"/>
    <n v="-6329"/>
    <n v="-11.123022847100176"/>
    <n v="2024"/>
  </r>
  <r>
    <x v="65"/>
    <x v="0"/>
    <x v="2"/>
    <x v="3"/>
    <n v="4424"/>
    <n v="2713"/>
    <n v="20"/>
    <n v="1711"/>
    <n v="0.38675406871609402"/>
    <n v="2024"/>
  </r>
  <r>
    <x v="309"/>
    <x v="2"/>
    <x v="1"/>
    <x v="1"/>
    <n v="6700"/>
    <n v="9805"/>
    <n v="20"/>
    <n v="-3105"/>
    <n v="-0.46343283582089551"/>
    <n v="2022"/>
  </r>
  <r>
    <x v="310"/>
    <x v="3"/>
    <x v="1"/>
    <x v="2"/>
    <n v="14193"/>
    <n v="6293"/>
    <n v="20"/>
    <n v="7900"/>
    <n v="0.55661241457056299"/>
    <n v="2022"/>
  </r>
  <r>
    <x v="213"/>
    <x v="0"/>
    <x v="1"/>
    <x v="0"/>
    <n v="10778"/>
    <n v="4798"/>
    <n v="10"/>
    <n v="5980"/>
    <n v="0.55483392095008355"/>
    <n v="2023"/>
  </r>
  <r>
    <x v="311"/>
    <x v="0"/>
    <x v="1"/>
    <x v="2"/>
    <n v="2507"/>
    <n v="2405"/>
    <n v="5"/>
    <n v="102"/>
    <n v="4.0686078978859196E-2"/>
    <n v="2024"/>
  </r>
  <r>
    <x v="312"/>
    <x v="0"/>
    <x v="0"/>
    <x v="0"/>
    <n v="9492"/>
    <n v="2868"/>
    <n v="15"/>
    <n v="6624"/>
    <n v="0.69785082174462709"/>
    <n v="2022"/>
  </r>
  <r>
    <x v="313"/>
    <x v="2"/>
    <x v="0"/>
    <x v="1"/>
    <n v="13829"/>
    <n v="9630"/>
    <n v="5"/>
    <n v="4199"/>
    <n v="0.30363728396847206"/>
    <n v="2024"/>
  </r>
  <r>
    <x v="314"/>
    <x v="2"/>
    <x v="0"/>
    <x v="2"/>
    <n v="8619"/>
    <n v="509"/>
    <n v="5"/>
    <n v="8110"/>
    <n v="0.94094442510732101"/>
    <n v="2023"/>
  </r>
  <r>
    <x v="69"/>
    <x v="1"/>
    <x v="0"/>
    <x v="3"/>
    <n v="3279"/>
    <n v="9556"/>
    <n v="0"/>
    <n v="-6277"/>
    <n v="-1.9143031412015858"/>
    <n v="2023"/>
  </r>
  <r>
    <x v="188"/>
    <x v="3"/>
    <x v="3"/>
    <x v="3"/>
    <n v="5420"/>
    <n v="5211"/>
    <n v="20"/>
    <n v="209"/>
    <n v="3.8560885608856087E-2"/>
    <n v="2024"/>
  </r>
  <r>
    <x v="315"/>
    <x v="1"/>
    <x v="0"/>
    <x v="2"/>
    <n v="1255"/>
    <n v="2520"/>
    <n v="20"/>
    <n v="-1265"/>
    <n v="-1.0079681274900398"/>
    <n v="2023"/>
  </r>
  <r>
    <x v="316"/>
    <x v="0"/>
    <x v="1"/>
    <x v="1"/>
    <n v="6995"/>
    <n v="533"/>
    <n v="20"/>
    <n v="6462"/>
    <n v="0.92380271622587562"/>
    <n v="2024"/>
  </r>
  <r>
    <x v="317"/>
    <x v="2"/>
    <x v="2"/>
    <x v="1"/>
    <n v="10687"/>
    <n v="1092"/>
    <n v="0"/>
    <n v="9595"/>
    <n v="0.89781978104238791"/>
    <n v="2022"/>
  </r>
  <r>
    <x v="318"/>
    <x v="2"/>
    <x v="0"/>
    <x v="3"/>
    <n v="6435"/>
    <n v="3410"/>
    <n v="10"/>
    <n v="3025"/>
    <n v="0.47008547008547008"/>
    <n v="2023"/>
  </r>
  <r>
    <x v="319"/>
    <x v="1"/>
    <x v="3"/>
    <x v="2"/>
    <n v="10013"/>
    <n v="2466"/>
    <n v="10"/>
    <n v="7547"/>
    <n v="0.75372016378707685"/>
    <n v="2022"/>
  </r>
  <r>
    <x v="320"/>
    <x v="2"/>
    <x v="1"/>
    <x v="1"/>
    <n v="2830"/>
    <n v="8826"/>
    <n v="15"/>
    <n v="-5996"/>
    <n v="-2.1187279151943463"/>
    <n v="2023"/>
  </r>
  <r>
    <x v="321"/>
    <x v="0"/>
    <x v="2"/>
    <x v="3"/>
    <n v="6205"/>
    <n v="9851"/>
    <n v="10"/>
    <n v="-3646"/>
    <n v="-0.58759065269943589"/>
    <n v="2024"/>
  </r>
  <r>
    <x v="45"/>
    <x v="2"/>
    <x v="2"/>
    <x v="0"/>
    <n v="8801"/>
    <n v="5493"/>
    <n v="10"/>
    <n v="3308"/>
    <n v="0.37586637882058854"/>
    <n v="2022"/>
  </r>
  <r>
    <x v="249"/>
    <x v="1"/>
    <x v="0"/>
    <x v="2"/>
    <n v="1516"/>
    <n v="1514"/>
    <n v="20"/>
    <n v="2"/>
    <n v="1.3192612137203166E-3"/>
    <n v="2023"/>
  </r>
  <r>
    <x v="322"/>
    <x v="0"/>
    <x v="2"/>
    <x v="0"/>
    <n v="7847"/>
    <n v="4719"/>
    <n v="5"/>
    <n v="3128"/>
    <n v="0.39862367783866448"/>
    <n v="2024"/>
  </r>
  <r>
    <x v="323"/>
    <x v="1"/>
    <x v="0"/>
    <x v="0"/>
    <n v="14749"/>
    <n v="7614"/>
    <n v="10"/>
    <n v="7135"/>
    <n v="0.48376161095667503"/>
    <n v="2022"/>
  </r>
  <r>
    <x v="44"/>
    <x v="2"/>
    <x v="0"/>
    <x v="1"/>
    <n v="14557"/>
    <n v="8775"/>
    <n v="10"/>
    <n v="5782"/>
    <n v="0.39719722470289209"/>
    <n v="2024"/>
  </r>
  <r>
    <x v="324"/>
    <x v="1"/>
    <x v="1"/>
    <x v="1"/>
    <n v="12557"/>
    <n v="512"/>
    <n v="0"/>
    <n v="12045"/>
    <n v="0.95922592976029308"/>
    <n v="2023"/>
  </r>
  <r>
    <x v="325"/>
    <x v="1"/>
    <x v="1"/>
    <x v="1"/>
    <n v="8716"/>
    <n v="1958"/>
    <n v="15"/>
    <n v="6758"/>
    <n v="0.77535566773749431"/>
    <n v="2024"/>
  </r>
  <r>
    <x v="48"/>
    <x v="3"/>
    <x v="3"/>
    <x v="2"/>
    <n v="5438"/>
    <n v="5324"/>
    <n v="0"/>
    <n v="114"/>
    <n v="2.0963589554983449E-2"/>
    <n v="2024"/>
  </r>
  <r>
    <x v="326"/>
    <x v="2"/>
    <x v="1"/>
    <x v="0"/>
    <n v="3338"/>
    <n v="9909"/>
    <n v="20"/>
    <n v="-6571"/>
    <n v="-1.9685440383463151"/>
    <n v="2023"/>
  </r>
  <r>
    <x v="327"/>
    <x v="2"/>
    <x v="1"/>
    <x v="2"/>
    <n v="1237"/>
    <n v="10878"/>
    <n v="5"/>
    <n v="-9641"/>
    <n v="-7.793856103476152"/>
    <n v="2022"/>
  </r>
  <r>
    <x v="328"/>
    <x v="1"/>
    <x v="0"/>
    <x v="1"/>
    <n v="6700"/>
    <n v="6217"/>
    <n v="15"/>
    <n v="483"/>
    <n v="7.2089552238805976E-2"/>
    <n v="2023"/>
  </r>
  <r>
    <x v="329"/>
    <x v="3"/>
    <x v="1"/>
    <x v="0"/>
    <n v="8871"/>
    <n v="5441"/>
    <n v="0"/>
    <n v="3430"/>
    <n v="0.38665313944312929"/>
    <n v="2024"/>
  </r>
  <r>
    <x v="330"/>
    <x v="2"/>
    <x v="0"/>
    <x v="2"/>
    <n v="731"/>
    <n v="2094"/>
    <n v="10"/>
    <n v="-1363"/>
    <n v="-1.8645690834473325"/>
    <n v="2023"/>
  </r>
  <r>
    <x v="331"/>
    <x v="0"/>
    <x v="0"/>
    <x v="2"/>
    <n v="2417"/>
    <n v="6288"/>
    <n v="10"/>
    <n v="-3871"/>
    <n v="-1.6015721969383534"/>
    <n v="2023"/>
  </r>
  <r>
    <x v="113"/>
    <x v="1"/>
    <x v="1"/>
    <x v="3"/>
    <n v="9034"/>
    <n v="8596"/>
    <n v="15"/>
    <n v="438"/>
    <n v="4.8483506752269208E-2"/>
    <n v="2024"/>
  </r>
  <r>
    <x v="332"/>
    <x v="2"/>
    <x v="3"/>
    <x v="2"/>
    <n v="13264"/>
    <n v="5878"/>
    <n v="10"/>
    <n v="7386"/>
    <n v="0.55684559710494574"/>
    <n v="2024"/>
  </r>
  <r>
    <x v="333"/>
    <x v="0"/>
    <x v="3"/>
    <x v="1"/>
    <n v="6418"/>
    <n v="5851"/>
    <n v="0"/>
    <n v="567"/>
    <n v="8.8345278903085078E-2"/>
    <n v="2023"/>
  </r>
  <r>
    <x v="334"/>
    <x v="2"/>
    <x v="2"/>
    <x v="2"/>
    <n v="3123"/>
    <n v="4145"/>
    <n v="0"/>
    <n v="-1022"/>
    <n v="-0.32724943964137049"/>
    <n v="2023"/>
  </r>
  <r>
    <x v="335"/>
    <x v="0"/>
    <x v="2"/>
    <x v="0"/>
    <n v="9146"/>
    <n v="7206"/>
    <n v="10"/>
    <n v="1940"/>
    <n v="0.21211458561119614"/>
    <n v="2024"/>
  </r>
  <r>
    <x v="336"/>
    <x v="1"/>
    <x v="1"/>
    <x v="2"/>
    <n v="14043"/>
    <n v="11784"/>
    <n v="10"/>
    <n v="2259"/>
    <n v="0.16086306344798121"/>
    <n v="2022"/>
  </r>
  <r>
    <x v="337"/>
    <x v="2"/>
    <x v="3"/>
    <x v="3"/>
    <n v="13076"/>
    <n v="678"/>
    <n v="20"/>
    <n v="12398"/>
    <n v="0.9481492811257265"/>
    <n v="2024"/>
  </r>
  <r>
    <x v="338"/>
    <x v="2"/>
    <x v="0"/>
    <x v="0"/>
    <n v="14024"/>
    <n v="3593"/>
    <n v="5"/>
    <n v="10431"/>
    <n v="0.7437963491158015"/>
    <n v="2024"/>
  </r>
  <r>
    <x v="293"/>
    <x v="3"/>
    <x v="2"/>
    <x v="0"/>
    <n v="6901"/>
    <n v="3629"/>
    <n v="15"/>
    <n v="3272"/>
    <n v="0.47413418345167369"/>
    <n v="2024"/>
  </r>
  <r>
    <x v="114"/>
    <x v="1"/>
    <x v="0"/>
    <x v="3"/>
    <n v="13317"/>
    <n v="5108"/>
    <n v="0"/>
    <n v="8209"/>
    <n v="0.61643012690545917"/>
    <n v="2022"/>
  </r>
  <r>
    <x v="339"/>
    <x v="0"/>
    <x v="2"/>
    <x v="1"/>
    <n v="7572"/>
    <n v="11930"/>
    <n v="15"/>
    <n v="-4358"/>
    <n v="-0.57554146856840993"/>
    <n v="2023"/>
  </r>
  <r>
    <x v="340"/>
    <x v="2"/>
    <x v="1"/>
    <x v="0"/>
    <n v="2776"/>
    <n v="8237"/>
    <n v="20"/>
    <n v="-5461"/>
    <n v="-1.9672190201729107"/>
    <n v="2022"/>
  </r>
  <r>
    <x v="341"/>
    <x v="2"/>
    <x v="3"/>
    <x v="1"/>
    <n v="7893"/>
    <n v="524"/>
    <n v="0"/>
    <n v="7369"/>
    <n v="0.93361206132015706"/>
    <n v="2022"/>
  </r>
  <r>
    <x v="66"/>
    <x v="0"/>
    <x v="2"/>
    <x v="0"/>
    <n v="9287"/>
    <n v="1037"/>
    <n v="20"/>
    <n v="8250"/>
    <n v="0.88833853774092819"/>
    <n v="2022"/>
  </r>
  <r>
    <x v="266"/>
    <x v="1"/>
    <x v="3"/>
    <x v="0"/>
    <n v="4374"/>
    <n v="535"/>
    <n v="20"/>
    <n v="3839"/>
    <n v="0.87768632830361226"/>
    <n v="2024"/>
  </r>
  <r>
    <x v="342"/>
    <x v="3"/>
    <x v="0"/>
    <x v="1"/>
    <n v="5030"/>
    <n v="1011"/>
    <n v="10"/>
    <n v="4019"/>
    <n v="0.79900596421471171"/>
    <n v="2024"/>
  </r>
  <r>
    <x v="343"/>
    <x v="3"/>
    <x v="1"/>
    <x v="0"/>
    <n v="13669"/>
    <n v="6288"/>
    <n v="15"/>
    <n v="7381"/>
    <n v="0.53998097885726826"/>
    <n v="2022"/>
  </r>
  <r>
    <x v="344"/>
    <x v="2"/>
    <x v="3"/>
    <x v="1"/>
    <n v="7664"/>
    <n v="2188"/>
    <n v="15"/>
    <n v="5476"/>
    <n v="0.714509394572025"/>
    <n v="2023"/>
  </r>
  <r>
    <x v="331"/>
    <x v="0"/>
    <x v="1"/>
    <x v="3"/>
    <n v="14569"/>
    <n v="7473"/>
    <n v="10"/>
    <n v="7096"/>
    <n v="0.48706156908504361"/>
    <n v="2023"/>
  </r>
  <r>
    <x v="318"/>
    <x v="2"/>
    <x v="3"/>
    <x v="1"/>
    <n v="4997"/>
    <n v="1559"/>
    <n v="15"/>
    <n v="3438"/>
    <n v="0.68801280768461082"/>
    <n v="2023"/>
  </r>
  <r>
    <x v="135"/>
    <x v="0"/>
    <x v="0"/>
    <x v="3"/>
    <n v="11361"/>
    <n v="5546"/>
    <n v="10"/>
    <n v="5815"/>
    <n v="0.51183874658920869"/>
    <n v="2023"/>
  </r>
  <r>
    <x v="345"/>
    <x v="3"/>
    <x v="0"/>
    <x v="0"/>
    <n v="8433"/>
    <n v="7571"/>
    <n v="0"/>
    <n v="862"/>
    <n v="0.10221747895173722"/>
    <n v="2024"/>
  </r>
  <r>
    <x v="346"/>
    <x v="1"/>
    <x v="1"/>
    <x v="1"/>
    <n v="2635"/>
    <n v="1048"/>
    <n v="20"/>
    <n v="1587"/>
    <n v="0.60227703984819736"/>
    <n v="2022"/>
  </r>
  <r>
    <x v="347"/>
    <x v="0"/>
    <x v="0"/>
    <x v="0"/>
    <n v="7227"/>
    <n v="3851"/>
    <n v="20"/>
    <n v="3376"/>
    <n v="0.46713712467137125"/>
    <n v="2023"/>
  </r>
  <r>
    <x v="348"/>
    <x v="3"/>
    <x v="2"/>
    <x v="1"/>
    <n v="12656"/>
    <n v="6700"/>
    <n v="15"/>
    <n v="5956"/>
    <n v="0.47060682680151705"/>
    <n v="2023"/>
  </r>
  <r>
    <x v="349"/>
    <x v="2"/>
    <x v="3"/>
    <x v="3"/>
    <n v="2065"/>
    <n v="6943"/>
    <n v="5"/>
    <n v="-4878"/>
    <n v="-2.3622276029055689"/>
    <n v="2022"/>
  </r>
  <r>
    <x v="350"/>
    <x v="0"/>
    <x v="0"/>
    <x v="3"/>
    <n v="808"/>
    <n v="9001"/>
    <n v="20"/>
    <n v="-8193"/>
    <n v="-10.139851485148515"/>
    <n v="2022"/>
  </r>
  <r>
    <x v="351"/>
    <x v="1"/>
    <x v="2"/>
    <x v="1"/>
    <n v="9034"/>
    <n v="2123"/>
    <n v="10"/>
    <n v="6911"/>
    <n v="0.76499889307062208"/>
    <n v="2023"/>
  </r>
  <r>
    <x v="352"/>
    <x v="2"/>
    <x v="1"/>
    <x v="3"/>
    <n v="9127"/>
    <n v="7152"/>
    <n v="5"/>
    <n v="1975"/>
    <n v="0.21639092801577736"/>
    <n v="2023"/>
  </r>
  <r>
    <x v="353"/>
    <x v="2"/>
    <x v="2"/>
    <x v="0"/>
    <n v="8868"/>
    <n v="11433"/>
    <n v="5"/>
    <n v="-2565"/>
    <n v="-0.28924221921515564"/>
    <n v="2024"/>
  </r>
  <r>
    <x v="354"/>
    <x v="3"/>
    <x v="1"/>
    <x v="0"/>
    <n v="638"/>
    <n v="8077"/>
    <n v="20"/>
    <n v="-7439"/>
    <n v="-11.659874608150471"/>
    <n v="2024"/>
  </r>
  <r>
    <x v="153"/>
    <x v="0"/>
    <x v="1"/>
    <x v="2"/>
    <n v="693"/>
    <n v="4532"/>
    <n v="20"/>
    <n v="-3839"/>
    <n v="-5.5396825396825395"/>
    <n v="2022"/>
  </r>
  <r>
    <x v="355"/>
    <x v="2"/>
    <x v="3"/>
    <x v="3"/>
    <n v="3757"/>
    <n v="6819"/>
    <n v="20"/>
    <n v="-3062"/>
    <n v="-0.81501197764173539"/>
    <n v="2024"/>
  </r>
  <r>
    <x v="291"/>
    <x v="1"/>
    <x v="3"/>
    <x v="0"/>
    <n v="3735"/>
    <n v="10626"/>
    <n v="10"/>
    <n v="-6891"/>
    <n v="-1.8449799196787149"/>
    <n v="2024"/>
  </r>
  <r>
    <x v="347"/>
    <x v="0"/>
    <x v="2"/>
    <x v="1"/>
    <n v="13972"/>
    <n v="2077"/>
    <n v="5"/>
    <n v="11895"/>
    <n v="0.85134554823933584"/>
    <n v="2023"/>
  </r>
  <r>
    <x v="356"/>
    <x v="1"/>
    <x v="3"/>
    <x v="3"/>
    <n v="1442"/>
    <n v="1522"/>
    <n v="15"/>
    <n v="-80"/>
    <n v="-5.5478502080443831E-2"/>
    <n v="2024"/>
  </r>
  <r>
    <x v="357"/>
    <x v="2"/>
    <x v="3"/>
    <x v="0"/>
    <n v="5120"/>
    <n v="7930"/>
    <n v="10"/>
    <n v="-2810"/>
    <n v="-0.548828125"/>
    <n v="2024"/>
  </r>
  <r>
    <x v="358"/>
    <x v="1"/>
    <x v="3"/>
    <x v="3"/>
    <n v="12571"/>
    <n v="2077"/>
    <n v="0"/>
    <n v="10494"/>
    <n v="0.83477845835653486"/>
    <n v="2024"/>
  </r>
  <r>
    <x v="359"/>
    <x v="3"/>
    <x v="2"/>
    <x v="1"/>
    <n v="6220"/>
    <n v="9796"/>
    <n v="20"/>
    <n v="-3576"/>
    <n v="-0.57491961414790993"/>
    <n v="2023"/>
  </r>
  <r>
    <x v="232"/>
    <x v="1"/>
    <x v="0"/>
    <x v="0"/>
    <n v="11805"/>
    <n v="7790"/>
    <n v="5"/>
    <n v="4015"/>
    <n v="0.34011012282930964"/>
    <n v="2024"/>
  </r>
  <r>
    <x v="360"/>
    <x v="0"/>
    <x v="3"/>
    <x v="2"/>
    <n v="11654"/>
    <n v="5159"/>
    <n v="10"/>
    <n v="6495"/>
    <n v="0.55731937532177789"/>
    <n v="2022"/>
  </r>
  <r>
    <x v="361"/>
    <x v="1"/>
    <x v="3"/>
    <x v="2"/>
    <n v="6853"/>
    <n v="9193"/>
    <n v="0"/>
    <n v="-2340"/>
    <n v="-0.34145629651247628"/>
    <n v="2024"/>
  </r>
  <r>
    <x v="362"/>
    <x v="1"/>
    <x v="2"/>
    <x v="3"/>
    <n v="13528"/>
    <n v="8418"/>
    <n v="10"/>
    <n v="5110"/>
    <n v="0.37773506800709639"/>
    <n v="2024"/>
  </r>
  <r>
    <x v="103"/>
    <x v="3"/>
    <x v="0"/>
    <x v="1"/>
    <n v="5457"/>
    <n v="3289"/>
    <n v="10"/>
    <n v="2168"/>
    <n v="0.39728788711746382"/>
    <n v="2023"/>
  </r>
  <r>
    <x v="280"/>
    <x v="1"/>
    <x v="3"/>
    <x v="0"/>
    <n v="9645"/>
    <n v="8643"/>
    <n v="15"/>
    <n v="1002"/>
    <n v="0.10388802488335926"/>
    <n v="2023"/>
  </r>
  <r>
    <x v="363"/>
    <x v="1"/>
    <x v="1"/>
    <x v="1"/>
    <n v="9994"/>
    <n v="1625"/>
    <n v="15"/>
    <n v="8369"/>
    <n v="0.83740244146487897"/>
    <n v="2024"/>
  </r>
  <r>
    <x v="364"/>
    <x v="2"/>
    <x v="2"/>
    <x v="0"/>
    <n v="14062"/>
    <n v="9793"/>
    <n v="10"/>
    <n v="4269"/>
    <n v="0.30358412743564217"/>
    <n v="2022"/>
  </r>
  <r>
    <x v="365"/>
    <x v="2"/>
    <x v="3"/>
    <x v="3"/>
    <n v="3881"/>
    <n v="10203"/>
    <n v="0"/>
    <n v="-6322"/>
    <n v="-1.6289616078330327"/>
    <n v="2023"/>
  </r>
  <r>
    <x v="366"/>
    <x v="0"/>
    <x v="3"/>
    <x v="0"/>
    <n v="6339"/>
    <n v="5427"/>
    <n v="5"/>
    <n v="912"/>
    <n v="0.14387127307146239"/>
    <n v="2024"/>
  </r>
  <r>
    <x v="367"/>
    <x v="2"/>
    <x v="1"/>
    <x v="1"/>
    <n v="3380"/>
    <n v="9298"/>
    <n v="5"/>
    <n v="-5918"/>
    <n v="-1.7508875739644971"/>
    <n v="2023"/>
  </r>
  <r>
    <x v="368"/>
    <x v="2"/>
    <x v="1"/>
    <x v="1"/>
    <n v="10879"/>
    <n v="3022"/>
    <n v="20"/>
    <n v="7857"/>
    <n v="0.72221711554370804"/>
    <n v="2024"/>
  </r>
  <r>
    <x v="369"/>
    <x v="2"/>
    <x v="2"/>
    <x v="3"/>
    <n v="5387"/>
    <n v="4956"/>
    <n v="20"/>
    <n v="431"/>
    <n v="8.000742528308892E-2"/>
    <n v="2024"/>
  </r>
  <r>
    <x v="370"/>
    <x v="2"/>
    <x v="2"/>
    <x v="1"/>
    <n v="1045"/>
    <n v="1625"/>
    <n v="5"/>
    <n v="-580"/>
    <n v="-0.55502392344497609"/>
    <n v="2023"/>
  </r>
  <r>
    <x v="371"/>
    <x v="3"/>
    <x v="1"/>
    <x v="0"/>
    <n v="14632"/>
    <n v="4433"/>
    <n v="10"/>
    <n v="10199"/>
    <n v="0.69703389830508478"/>
    <n v="2024"/>
  </r>
  <r>
    <x v="372"/>
    <x v="2"/>
    <x v="2"/>
    <x v="3"/>
    <n v="13804"/>
    <n v="9651"/>
    <n v="10"/>
    <n v="4153"/>
    <n v="0.30085482468849611"/>
    <n v="2022"/>
  </r>
  <r>
    <x v="373"/>
    <x v="3"/>
    <x v="1"/>
    <x v="0"/>
    <n v="2427"/>
    <n v="3169"/>
    <n v="15"/>
    <n v="-742"/>
    <n v="-0.30572723526988049"/>
    <n v="2024"/>
  </r>
  <r>
    <x v="105"/>
    <x v="3"/>
    <x v="3"/>
    <x v="1"/>
    <n v="14341"/>
    <n v="1542"/>
    <n v="15"/>
    <n v="12799"/>
    <n v="0.8924761174255631"/>
    <n v="2024"/>
  </r>
  <r>
    <x v="280"/>
    <x v="2"/>
    <x v="1"/>
    <x v="3"/>
    <n v="4652"/>
    <n v="8839"/>
    <n v="20"/>
    <n v="-4187"/>
    <n v="-0.90004299226139295"/>
    <n v="2023"/>
  </r>
  <r>
    <x v="374"/>
    <x v="1"/>
    <x v="1"/>
    <x v="0"/>
    <n v="14947"/>
    <n v="2131"/>
    <n v="5"/>
    <n v="12816"/>
    <n v="0.85742958453201312"/>
    <n v="2022"/>
  </r>
  <r>
    <x v="375"/>
    <x v="3"/>
    <x v="0"/>
    <x v="1"/>
    <n v="504"/>
    <n v="1869"/>
    <n v="10"/>
    <n v="-1365"/>
    <n v="-2.7083333333333335"/>
    <n v="2022"/>
  </r>
  <r>
    <x v="376"/>
    <x v="1"/>
    <x v="1"/>
    <x v="1"/>
    <n v="12173"/>
    <n v="7546"/>
    <n v="5"/>
    <n v="4627"/>
    <n v="0.38010350776308222"/>
    <n v="2023"/>
  </r>
  <r>
    <x v="22"/>
    <x v="1"/>
    <x v="1"/>
    <x v="2"/>
    <n v="6033"/>
    <n v="2218"/>
    <n v="0"/>
    <n v="3815"/>
    <n v="0.6323553787502072"/>
    <n v="2023"/>
  </r>
  <r>
    <x v="66"/>
    <x v="2"/>
    <x v="0"/>
    <x v="1"/>
    <n v="11945"/>
    <n v="6716"/>
    <n v="5"/>
    <n v="5229"/>
    <n v="0.43775638342402678"/>
    <n v="2022"/>
  </r>
  <r>
    <x v="377"/>
    <x v="0"/>
    <x v="2"/>
    <x v="0"/>
    <n v="10054"/>
    <n v="3532"/>
    <n v="0"/>
    <n v="6522"/>
    <n v="0.64869703600556994"/>
    <n v="2024"/>
  </r>
  <r>
    <x v="348"/>
    <x v="2"/>
    <x v="0"/>
    <x v="3"/>
    <n v="10512"/>
    <n v="4058"/>
    <n v="15"/>
    <n v="6454"/>
    <n v="0.61396499238964997"/>
    <n v="2023"/>
  </r>
  <r>
    <x v="378"/>
    <x v="0"/>
    <x v="3"/>
    <x v="2"/>
    <n v="5878"/>
    <n v="6297"/>
    <n v="15"/>
    <n v="-419"/>
    <n v="-7.1282749234433479E-2"/>
    <n v="2024"/>
  </r>
  <r>
    <x v="33"/>
    <x v="0"/>
    <x v="0"/>
    <x v="1"/>
    <n v="6733"/>
    <n v="2655"/>
    <n v="20"/>
    <n v="4078"/>
    <n v="0.60567354819545527"/>
    <n v="2022"/>
  </r>
  <r>
    <x v="379"/>
    <x v="2"/>
    <x v="3"/>
    <x v="1"/>
    <n v="3163"/>
    <n v="9889"/>
    <n v="5"/>
    <n v="-6726"/>
    <n v="-2.1264622194119505"/>
    <n v="2022"/>
  </r>
  <r>
    <x v="380"/>
    <x v="2"/>
    <x v="2"/>
    <x v="1"/>
    <n v="11630"/>
    <n v="11272"/>
    <n v="5"/>
    <n v="358"/>
    <n v="3.0782459157351678E-2"/>
    <n v="2023"/>
  </r>
  <r>
    <x v="381"/>
    <x v="0"/>
    <x v="0"/>
    <x v="0"/>
    <n v="9965"/>
    <n v="2124"/>
    <n v="0"/>
    <n v="7841"/>
    <n v="0.78685398896136483"/>
    <n v="2022"/>
  </r>
  <r>
    <x v="382"/>
    <x v="2"/>
    <x v="0"/>
    <x v="2"/>
    <n v="3826"/>
    <n v="10983"/>
    <n v="15"/>
    <n v="-7157"/>
    <n v="-1.8706220595922634"/>
    <n v="2022"/>
  </r>
  <r>
    <x v="383"/>
    <x v="0"/>
    <x v="2"/>
    <x v="0"/>
    <n v="4159"/>
    <n v="7580"/>
    <n v="0"/>
    <n v="-3421"/>
    <n v="-0.82255349843712433"/>
    <n v="2023"/>
  </r>
  <r>
    <x v="321"/>
    <x v="1"/>
    <x v="3"/>
    <x v="2"/>
    <n v="11637"/>
    <n v="4360"/>
    <n v="15"/>
    <n v="7277"/>
    <n v="0.62533298960213113"/>
    <n v="2024"/>
  </r>
  <r>
    <x v="276"/>
    <x v="2"/>
    <x v="0"/>
    <x v="3"/>
    <n v="11710"/>
    <n v="5624"/>
    <n v="0"/>
    <n v="6086"/>
    <n v="0.51972672929120411"/>
    <n v="2024"/>
  </r>
  <r>
    <x v="384"/>
    <x v="1"/>
    <x v="3"/>
    <x v="0"/>
    <n v="1631"/>
    <n v="704"/>
    <n v="15"/>
    <n v="927"/>
    <n v="0.56836296750459836"/>
    <n v="2023"/>
  </r>
  <r>
    <x v="58"/>
    <x v="3"/>
    <x v="0"/>
    <x v="0"/>
    <n v="5263"/>
    <n v="2021"/>
    <n v="0"/>
    <n v="3242"/>
    <n v="0.6159984799543986"/>
    <n v="2023"/>
  </r>
  <r>
    <x v="385"/>
    <x v="1"/>
    <x v="1"/>
    <x v="3"/>
    <n v="7237"/>
    <n v="5616"/>
    <n v="15"/>
    <n v="1621"/>
    <n v="0.2239878402653033"/>
    <n v="2024"/>
  </r>
  <r>
    <x v="386"/>
    <x v="1"/>
    <x v="0"/>
    <x v="2"/>
    <n v="11328"/>
    <n v="11317"/>
    <n v="0"/>
    <n v="11"/>
    <n v="9.7104519774011305E-4"/>
    <n v="2024"/>
  </r>
  <r>
    <x v="387"/>
    <x v="0"/>
    <x v="2"/>
    <x v="1"/>
    <n v="11721"/>
    <n v="4145"/>
    <n v="5"/>
    <n v="7576"/>
    <n v="0.64636123197679374"/>
    <n v="2024"/>
  </r>
  <r>
    <x v="388"/>
    <x v="1"/>
    <x v="2"/>
    <x v="3"/>
    <n v="11711"/>
    <n v="4510"/>
    <n v="20"/>
    <n v="7201"/>
    <n v="0.61489198189736149"/>
    <n v="2023"/>
  </r>
  <r>
    <x v="389"/>
    <x v="2"/>
    <x v="3"/>
    <x v="1"/>
    <n v="14069"/>
    <n v="11684"/>
    <n v="0"/>
    <n v="2385"/>
    <n v="0.16952164332930555"/>
    <n v="2022"/>
  </r>
  <r>
    <x v="25"/>
    <x v="0"/>
    <x v="0"/>
    <x v="1"/>
    <n v="5592"/>
    <n v="364"/>
    <n v="20"/>
    <n v="5228"/>
    <n v="0.93490701001430621"/>
    <n v="2022"/>
  </r>
  <r>
    <x v="390"/>
    <x v="3"/>
    <x v="3"/>
    <x v="3"/>
    <n v="6522"/>
    <n v="9791"/>
    <n v="5"/>
    <n v="-3269"/>
    <n v="-0.50122661760196263"/>
    <n v="2023"/>
  </r>
  <r>
    <x v="391"/>
    <x v="2"/>
    <x v="3"/>
    <x v="2"/>
    <n v="13069"/>
    <n v="6682"/>
    <n v="5"/>
    <n v="6387"/>
    <n v="0.48871375009564616"/>
    <n v="2024"/>
  </r>
  <r>
    <x v="162"/>
    <x v="3"/>
    <x v="1"/>
    <x v="1"/>
    <n v="3659"/>
    <n v="9907"/>
    <n v="15"/>
    <n v="-6248"/>
    <n v="-1.7075703744192403"/>
    <n v="2024"/>
  </r>
  <r>
    <x v="392"/>
    <x v="1"/>
    <x v="1"/>
    <x v="3"/>
    <n v="14015"/>
    <n v="1268"/>
    <n v="20"/>
    <n v="12747"/>
    <n v="0.90952550838387447"/>
    <n v="2024"/>
  </r>
  <r>
    <x v="393"/>
    <x v="2"/>
    <x v="2"/>
    <x v="0"/>
    <n v="6659"/>
    <n v="668"/>
    <n v="10"/>
    <n v="5991"/>
    <n v="0.89968463733293291"/>
    <n v="2022"/>
  </r>
  <r>
    <x v="394"/>
    <x v="2"/>
    <x v="3"/>
    <x v="0"/>
    <n v="7818"/>
    <n v="8724"/>
    <n v="15"/>
    <n v="-906"/>
    <n v="-0.11588641596316193"/>
    <n v="2022"/>
  </r>
  <r>
    <x v="240"/>
    <x v="3"/>
    <x v="2"/>
    <x v="0"/>
    <n v="13723"/>
    <n v="2542"/>
    <n v="20"/>
    <n v="11181"/>
    <n v="0.814763535670043"/>
    <n v="2023"/>
  </r>
  <r>
    <x v="395"/>
    <x v="2"/>
    <x v="0"/>
    <x v="3"/>
    <n v="8945"/>
    <n v="5302"/>
    <n v="0"/>
    <n v="3643"/>
    <n v="0.4072666294019005"/>
    <n v="2023"/>
  </r>
  <r>
    <x v="382"/>
    <x v="2"/>
    <x v="3"/>
    <x v="0"/>
    <n v="5807"/>
    <n v="3383"/>
    <n v="0"/>
    <n v="2424"/>
    <n v="0.41742724298260719"/>
    <n v="2022"/>
  </r>
  <r>
    <x v="396"/>
    <x v="2"/>
    <x v="3"/>
    <x v="1"/>
    <n v="9020"/>
    <n v="8373"/>
    <n v="5"/>
    <n v="647"/>
    <n v="7.1729490022172951E-2"/>
    <n v="2024"/>
  </r>
  <r>
    <x v="397"/>
    <x v="1"/>
    <x v="0"/>
    <x v="0"/>
    <n v="11283"/>
    <n v="9412"/>
    <n v="10"/>
    <n v="1871"/>
    <n v="0.16582469201453515"/>
    <n v="2022"/>
  </r>
  <r>
    <x v="398"/>
    <x v="3"/>
    <x v="0"/>
    <x v="0"/>
    <n v="11522"/>
    <n v="9180"/>
    <n v="0"/>
    <n v="2342"/>
    <n v="0.20326332233987154"/>
    <n v="2024"/>
  </r>
  <r>
    <x v="144"/>
    <x v="2"/>
    <x v="2"/>
    <x v="1"/>
    <n v="3544"/>
    <n v="1769"/>
    <n v="20"/>
    <n v="1775"/>
    <n v="0.50084650112866813"/>
    <n v="2022"/>
  </r>
  <r>
    <x v="67"/>
    <x v="0"/>
    <x v="2"/>
    <x v="0"/>
    <n v="10112"/>
    <n v="5025"/>
    <n v="20"/>
    <n v="5087"/>
    <n v="0.503065664556962"/>
    <n v="2024"/>
  </r>
  <r>
    <x v="265"/>
    <x v="0"/>
    <x v="0"/>
    <x v="1"/>
    <n v="6136"/>
    <n v="4559"/>
    <n v="0"/>
    <n v="1577"/>
    <n v="0.25700782268578881"/>
    <n v="2022"/>
  </r>
  <r>
    <x v="269"/>
    <x v="0"/>
    <x v="2"/>
    <x v="0"/>
    <n v="12093"/>
    <n v="3922"/>
    <n v="20"/>
    <n v="8171"/>
    <n v="0.67568014553874145"/>
    <n v="2023"/>
  </r>
  <r>
    <x v="247"/>
    <x v="0"/>
    <x v="0"/>
    <x v="1"/>
    <n v="3392"/>
    <n v="10592"/>
    <n v="20"/>
    <n v="-7200"/>
    <n v="-2.1226415094339623"/>
    <n v="2023"/>
  </r>
  <r>
    <x v="399"/>
    <x v="1"/>
    <x v="3"/>
    <x v="0"/>
    <n v="5788"/>
    <n v="10757"/>
    <n v="5"/>
    <n v="-4969"/>
    <n v="-0.85850034554250176"/>
    <n v="2024"/>
  </r>
  <r>
    <x v="400"/>
    <x v="2"/>
    <x v="3"/>
    <x v="1"/>
    <n v="6312"/>
    <n v="1123"/>
    <n v="10"/>
    <n v="5189"/>
    <n v="0.82208491761723701"/>
    <n v="2024"/>
  </r>
  <r>
    <x v="401"/>
    <x v="3"/>
    <x v="1"/>
    <x v="3"/>
    <n v="13989"/>
    <n v="3731"/>
    <n v="5"/>
    <n v="10258"/>
    <n v="0.73329044249052833"/>
    <n v="2024"/>
  </r>
  <r>
    <x v="402"/>
    <x v="2"/>
    <x v="3"/>
    <x v="1"/>
    <n v="1154"/>
    <n v="6828"/>
    <n v="10"/>
    <n v="-5674"/>
    <n v="-4.9168110918544192"/>
    <n v="2024"/>
  </r>
  <r>
    <x v="403"/>
    <x v="1"/>
    <x v="0"/>
    <x v="0"/>
    <n v="5981"/>
    <n v="4451"/>
    <n v="20"/>
    <n v="1530"/>
    <n v="0.25581006520648719"/>
    <n v="2024"/>
  </r>
  <r>
    <x v="404"/>
    <x v="0"/>
    <x v="2"/>
    <x v="0"/>
    <n v="1259"/>
    <n v="4513"/>
    <n v="10"/>
    <n v="-3254"/>
    <n v="-2.584590945194599"/>
    <n v="2022"/>
  </r>
  <r>
    <x v="246"/>
    <x v="1"/>
    <x v="1"/>
    <x v="2"/>
    <n v="7282"/>
    <n v="7720"/>
    <n v="20"/>
    <n v="-438"/>
    <n v="-6.0148310903597915E-2"/>
    <n v="2024"/>
  </r>
  <r>
    <x v="405"/>
    <x v="2"/>
    <x v="2"/>
    <x v="1"/>
    <n v="2298"/>
    <n v="9289"/>
    <n v="20"/>
    <n v="-6991"/>
    <n v="-3.0422106179286335"/>
    <n v="2023"/>
  </r>
  <r>
    <x v="406"/>
    <x v="3"/>
    <x v="0"/>
    <x v="3"/>
    <n v="5659"/>
    <n v="1079"/>
    <n v="5"/>
    <n v="4580"/>
    <n v="0.80933027036578897"/>
    <n v="2023"/>
  </r>
  <r>
    <x v="407"/>
    <x v="1"/>
    <x v="3"/>
    <x v="1"/>
    <n v="11663"/>
    <n v="11342"/>
    <n v="5"/>
    <n v="321"/>
    <n v="2.7522935779816515E-2"/>
    <n v="2024"/>
  </r>
  <r>
    <x v="333"/>
    <x v="3"/>
    <x v="1"/>
    <x v="1"/>
    <n v="13203"/>
    <n v="3192"/>
    <n v="15"/>
    <n v="10011"/>
    <n v="0.75823676437173371"/>
    <n v="2023"/>
  </r>
  <r>
    <x v="323"/>
    <x v="1"/>
    <x v="0"/>
    <x v="3"/>
    <n v="12118"/>
    <n v="5834"/>
    <n v="0"/>
    <n v="6284"/>
    <n v="0.51856742036639714"/>
    <n v="2022"/>
  </r>
  <r>
    <x v="408"/>
    <x v="3"/>
    <x v="1"/>
    <x v="1"/>
    <n v="8946"/>
    <n v="10385"/>
    <n v="15"/>
    <n v="-1439"/>
    <n v="-0.16085401296668903"/>
    <n v="2023"/>
  </r>
  <r>
    <x v="409"/>
    <x v="3"/>
    <x v="1"/>
    <x v="3"/>
    <n v="5762"/>
    <n v="3606"/>
    <n v="15"/>
    <n v="2156"/>
    <n v="0.37417563346060395"/>
    <n v="2023"/>
  </r>
  <r>
    <x v="410"/>
    <x v="0"/>
    <x v="3"/>
    <x v="3"/>
    <n v="4323"/>
    <n v="3202"/>
    <n v="10"/>
    <n v="1121"/>
    <n v="0.25931066389081658"/>
    <n v="2024"/>
  </r>
  <r>
    <x v="411"/>
    <x v="3"/>
    <x v="0"/>
    <x v="1"/>
    <n v="2376"/>
    <n v="4018"/>
    <n v="20"/>
    <n v="-1642"/>
    <n v="-0.69107744107744107"/>
    <n v="2024"/>
  </r>
  <r>
    <x v="84"/>
    <x v="0"/>
    <x v="2"/>
    <x v="1"/>
    <n v="11449"/>
    <n v="321"/>
    <n v="20"/>
    <n v="11128"/>
    <n v="0.9719626168224299"/>
    <n v="2022"/>
  </r>
  <r>
    <x v="412"/>
    <x v="2"/>
    <x v="1"/>
    <x v="0"/>
    <n v="11316"/>
    <n v="1800"/>
    <n v="20"/>
    <n v="9516"/>
    <n v="0.84093319194061511"/>
    <n v="2024"/>
  </r>
  <r>
    <x v="413"/>
    <x v="2"/>
    <x v="1"/>
    <x v="0"/>
    <n v="13687"/>
    <n v="9334"/>
    <n v="0"/>
    <n v="4353"/>
    <n v="0.31803901512384014"/>
    <n v="2023"/>
  </r>
  <r>
    <x v="414"/>
    <x v="0"/>
    <x v="2"/>
    <x v="2"/>
    <n v="6654"/>
    <n v="10252"/>
    <n v="10"/>
    <n v="-3598"/>
    <n v="-0.54072738202584913"/>
    <n v="2024"/>
  </r>
  <r>
    <x v="162"/>
    <x v="0"/>
    <x v="0"/>
    <x v="2"/>
    <n v="8287"/>
    <n v="3941"/>
    <n v="10"/>
    <n v="4346"/>
    <n v="0.52443586340050685"/>
    <n v="2024"/>
  </r>
  <r>
    <x v="415"/>
    <x v="1"/>
    <x v="1"/>
    <x v="1"/>
    <n v="12813"/>
    <n v="5512"/>
    <n v="20"/>
    <n v="7301"/>
    <n v="0.56981190977913054"/>
    <n v="2023"/>
  </r>
  <r>
    <x v="410"/>
    <x v="1"/>
    <x v="1"/>
    <x v="3"/>
    <n v="11696"/>
    <n v="491"/>
    <n v="15"/>
    <n v="11205"/>
    <n v="0.95801983584131323"/>
    <n v="2024"/>
  </r>
  <r>
    <x v="152"/>
    <x v="1"/>
    <x v="1"/>
    <x v="2"/>
    <n v="5016"/>
    <n v="8887"/>
    <n v="0"/>
    <n v="-3871"/>
    <n v="-0.77173046251993616"/>
    <n v="2024"/>
  </r>
  <r>
    <x v="416"/>
    <x v="2"/>
    <x v="0"/>
    <x v="1"/>
    <n v="4234"/>
    <n v="7474"/>
    <n v="15"/>
    <n v="-3240"/>
    <n v="-0.76523382144544161"/>
    <n v="2024"/>
  </r>
  <r>
    <x v="417"/>
    <x v="1"/>
    <x v="0"/>
    <x v="2"/>
    <n v="9936"/>
    <n v="5414"/>
    <n v="5"/>
    <n v="4522"/>
    <n v="0.45511272141706927"/>
    <n v="2024"/>
  </r>
  <r>
    <x v="418"/>
    <x v="3"/>
    <x v="2"/>
    <x v="3"/>
    <n v="6472"/>
    <n v="4962"/>
    <n v="10"/>
    <n v="1510"/>
    <n v="0.23331273176761433"/>
    <n v="2023"/>
  </r>
  <r>
    <x v="419"/>
    <x v="3"/>
    <x v="0"/>
    <x v="1"/>
    <n v="7139"/>
    <n v="4626"/>
    <n v="10"/>
    <n v="2513"/>
    <n v="0.35201008544614093"/>
    <n v="2024"/>
  </r>
  <r>
    <x v="420"/>
    <x v="1"/>
    <x v="0"/>
    <x v="3"/>
    <n v="5856"/>
    <n v="9365"/>
    <n v="15"/>
    <n v="-3509"/>
    <n v="-0.59921448087431695"/>
    <n v="2022"/>
  </r>
  <r>
    <x v="421"/>
    <x v="3"/>
    <x v="3"/>
    <x v="1"/>
    <n v="6880"/>
    <n v="11113"/>
    <n v="0"/>
    <n v="-4233"/>
    <n v="-0.61526162790697669"/>
    <n v="2023"/>
  </r>
  <r>
    <x v="422"/>
    <x v="2"/>
    <x v="2"/>
    <x v="2"/>
    <n v="1508"/>
    <n v="4635"/>
    <n v="10"/>
    <n v="-3127"/>
    <n v="-2.0736074270557028"/>
    <n v="2023"/>
  </r>
  <r>
    <x v="423"/>
    <x v="3"/>
    <x v="1"/>
    <x v="0"/>
    <n v="4814"/>
    <n v="8581"/>
    <n v="15"/>
    <n v="-3767"/>
    <n v="-0.78250934773577063"/>
    <n v="2022"/>
  </r>
  <r>
    <x v="391"/>
    <x v="2"/>
    <x v="0"/>
    <x v="2"/>
    <n v="10202"/>
    <n v="10771"/>
    <n v="0"/>
    <n v="-569"/>
    <n v="-5.5773377769064887E-2"/>
    <n v="2024"/>
  </r>
  <r>
    <x v="201"/>
    <x v="0"/>
    <x v="1"/>
    <x v="2"/>
    <n v="10651"/>
    <n v="8948"/>
    <n v="15"/>
    <n v="1703"/>
    <n v="0.15989109003849403"/>
    <n v="2024"/>
  </r>
  <r>
    <x v="263"/>
    <x v="0"/>
    <x v="1"/>
    <x v="0"/>
    <n v="3008"/>
    <n v="10772"/>
    <n v="0"/>
    <n v="-7764"/>
    <n v="-2.5811170212765959"/>
    <n v="2024"/>
  </r>
  <r>
    <x v="101"/>
    <x v="0"/>
    <x v="3"/>
    <x v="0"/>
    <n v="5258"/>
    <n v="9496"/>
    <n v="20"/>
    <n v="-4238"/>
    <n v="-0.80600988969189802"/>
    <n v="2024"/>
  </r>
  <r>
    <x v="306"/>
    <x v="0"/>
    <x v="0"/>
    <x v="1"/>
    <n v="3182"/>
    <n v="5794"/>
    <n v="0"/>
    <n v="-2612"/>
    <n v="-0.82086737900691387"/>
    <n v="2024"/>
  </r>
  <r>
    <x v="424"/>
    <x v="3"/>
    <x v="2"/>
    <x v="1"/>
    <n v="7811"/>
    <n v="8836"/>
    <n v="5"/>
    <n v="-1025"/>
    <n v="-0.1312251952374856"/>
    <n v="2023"/>
  </r>
  <r>
    <x v="425"/>
    <x v="1"/>
    <x v="0"/>
    <x v="3"/>
    <n v="1489"/>
    <n v="3011"/>
    <n v="20"/>
    <n v="-1522"/>
    <n v="-1.0221625251846878"/>
    <n v="2024"/>
  </r>
  <r>
    <x v="426"/>
    <x v="3"/>
    <x v="1"/>
    <x v="3"/>
    <n v="12976"/>
    <n v="7895"/>
    <n v="15"/>
    <n v="5081"/>
    <n v="0.39156905055487051"/>
    <n v="2022"/>
  </r>
  <r>
    <x v="427"/>
    <x v="2"/>
    <x v="2"/>
    <x v="2"/>
    <n v="8946"/>
    <n v="6573"/>
    <n v="20"/>
    <n v="2373"/>
    <n v="0.26525821596244131"/>
    <n v="2022"/>
  </r>
  <r>
    <x v="346"/>
    <x v="3"/>
    <x v="0"/>
    <x v="0"/>
    <n v="12855"/>
    <n v="6584"/>
    <n v="20"/>
    <n v="6271"/>
    <n v="0.48782574873590046"/>
    <n v="2022"/>
  </r>
  <r>
    <x v="428"/>
    <x v="3"/>
    <x v="1"/>
    <x v="3"/>
    <n v="5211"/>
    <n v="10954"/>
    <n v="15"/>
    <n v="-5743"/>
    <n v="-1.1020917290347343"/>
    <n v="2024"/>
  </r>
  <r>
    <x v="429"/>
    <x v="2"/>
    <x v="1"/>
    <x v="2"/>
    <n v="6979"/>
    <n v="9608"/>
    <n v="15"/>
    <n v="-2629"/>
    <n v="-0.3767015331709414"/>
    <n v="2022"/>
  </r>
  <r>
    <x v="430"/>
    <x v="0"/>
    <x v="3"/>
    <x v="0"/>
    <n v="7464"/>
    <n v="9117"/>
    <n v="5"/>
    <n v="-1653"/>
    <n v="-0.22146302250803859"/>
    <n v="2024"/>
  </r>
  <r>
    <x v="105"/>
    <x v="0"/>
    <x v="3"/>
    <x v="1"/>
    <n v="13661"/>
    <n v="10471"/>
    <n v="15"/>
    <n v="3190"/>
    <n v="0.23351145596954834"/>
    <n v="2024"/>
  </r>
  <r>
    <x v="431"/>
    <x v="0"/>
    <x v="3"/>
    <x v="2"/>
    <n v="8575"/>
    <n v="4294"/>
    <n v="10"/>
    <n v="4281"/>
    <n v="0.49924198250728863"/>
    <n v="2023"/>
  </r>
  <r>
    <x v="432"/>
    <x v="1"/>
    <x v="1"/>
    <x v="1"/>
    <n v="14413"/>
    <n v="1978"/>
    <n v="10"/>
    <n v="12435"/>
    <n v="0.86276278359814051"/>
    <n v="2022"/>
  </r>
  <r>
    <x v="22"/>
    <x v="2"/>
    <x v="0"/>
    <x v="3"/>
    <n v="4952"/>
    <n v="8714"/>
    <n v="5"/>
    <n v="-3762"/>
    <n v="-0.75969305331179326"/>
    <n v="2023"/>
  </r>
  <r>
    <x v="141"/>
    <x v="2"/>
    <x v="3"/>
    <x v="3"/>
    <n v="8947"/>
    <n v="1043"/>
    <n v="0"/>
    <n v="7904"/>
    <n v="0.8834246116016542"/>
    <n v="2023"/>
  </r>
  <r>
    <x v="433"/>
    <x v="3"/>
    <x v="0"/>
    <x v="0"/>
    <n v="1507"/>
    <n v="762"/>
    <n v="0"/>
    <n v="745"/>
    <n v="0.49435965494359657"/>
    <n v="2023"/>
  </r>
  <r>
    <x v="267"/>
    <x v="1"/>
    <x v="3"/>
    <x v="2"/>
    <n v="6996"/>
    <n v="1868"/>
    <n v="10"/>
    <n v="5128"/>
    <n v="0.73299028016009149"/>
    <n v="2024"/>
  </r>
  <r>
    <x v="212"/>
    <x v="0"/>
    <x v="2"/>
    <x v="1"/>
    <n v="10447"/>
    <n v="11839"/>
    <n v="15"/>
    <n v="-1392"/>
    <n v="-0.13324399349095434"/>
    <n v="2023"/>
  </r>
  <r>
    <x v="384"/>
    <x v="1"/>
    <x v="2"/>
    <x v="0"/>
    <n v="8188"/>
    <n v="2036"/>
    <n v="5"/>
    <n v="6152"/>
    <n v="0.75134342940889109"/>
    <n v="2023"/>
  </r>
  <r>
    <x v="421"/>
    <x v="2"/>
    <x v="3"/>
    <x v="3"/>
    <n v="11263"/>
    <n v="8203"/>
    <n v="0"/>
    <n v="3060"/>
    <n v="0.27168605167362159"/>
    <n v="2023"/>
  </r>
  <r>
    <x v="434"/>
    <x v="2"/>
    <x v="1"/>
    <x v="3"/>
    <n v="4408"/>
    <n v="7302"/>
    <n v="0"/>
    <n v="-2894"/>
    <n v="-0.65653357531760437"/>
    <n v="2024"/>
  </r>
  <r>
    <x v="435"/>
    <x v="3"/>
    <x v="3"/>
    <x v="2"/>
    <n v="11689"/>
    <n v="9156"/>
    <n v="20"/>
    <n v="2533"/>
    <n v="0.21669946103173923"/>
    <n v="2024"/>
  </r>
  <r>
    <x v="289"/>
    <x v="3"/>
    <x v="3"/>
    <x v="1"/>
    <n v="3303"/>
    <n v="1656"/>
    <n v="10"/>
    <n v="1647"/>
    <n v="0.49863760217983649"/>
    <n v="2024"/>
  </r>
  <r>
    <x v="436"/>
    <x v="2"/>
    <x v="1"/>
    <x v="2"/>
    <n v="12457"/>
    <n v="1314"/>
    <n v="15"/>
    <n v="11143"/>
    <n v="0.89451713895801555"/>
    <n v="2023"/>
  </r>
  <r>
    <x v="380"/>
    <x v="0"/>
    <x v="2"/>
    <x v="1"/>
    <n v="4879"/>
    <n v="10624"/>
    <n v="5"/>
    <n v="-5745"/>
    <n v="-1.177495388399262"/>
    <n v="2023"/>
  </r>
  <r>
    <x v="437"/>
    <x v="0"/>
    <x v="0"/>
    <x v="1"/>
    <n v="12075"/>
    <n v="11160"/>
    <n v="0"/>
    <n v="915"/>
    <n v="7.5776397515527949E-2"/>
    <n v="2022"/>
  </r>
  <r>
    <x v="334"/>
    <x v="1"/>
    <x v="3"/>
    <x v="2"/>
    <n v="598"/>
    <n v="1354"/>
    <n v="20"/>
    <n v="-756"/>
    <n v="-1.2642140468227425"/>
    <n v="2023"/>
  </r>
  <r>
    <x v="438"/>
    <x v="2"/>
    <x v="1"/>
    <x v="0"/>
    <n v="8888"/>
    <n v="2064"/>
    <n v="10"/>
    <n v="6824"/>
    <n v="0.76777677767776775"/>
    <n v="2022"/>
  </r>
  <r>
    <x v="250"/>
    <x v="2"/>
    <x v="3"/>
    <x v="2"/>
    <n v="11221"/>
    <n v="6309"/>
    <n v="10"/>
    <n v="4912"/>
    <n v="0.43775064610997239"/>
    <n v="2022"/>
  </r>
  <r>
    <x v="240"/>
    <x v="0"/>
    <x v="1"/>
    <x v="2"/>
    <n v="1377"/>
    <n v="4758"/>
    <n v="5"/>
    <n v="-3381"/>
    <n v="-2.4553376906318083"/>
    <n v="2023"/>
  </r>
  <r>
    <x v="439"/>
    <x v="0"/>
    <x v="0"/>
    <x v="3"/>
    <n v="2368"/>
    <n v="11361"/>
    <n v="0"/>
    <n v="-8993"/>
    <n v="-3.7977195945945947"/>
    <n v="2023"/>
  </r>
  <r>
    <x v="440"/>
    <x v="2"/>
    <x v="0"/>
    <x v="3"/>
    <n v="3165"/>
    <n v="9904"/>
    <n v="5"/>
    <n v="-6739"/>
    <n v="-2.129225908372828"/>
    <n v="2023"/>
  </r>
  <r>
    <x v="170"/>
    <x v="3"/>
    <x v="2"/>
    <x v="2"/>
    <n v="1888"/>
    <n v="967"/>
    <n v="5"/>
    <n v="921"/>
    <n v="0.4878177966101695"/>
    <n v="2024"/>
  </r>
  <r>
    <x v="284"/>
    <x v="2"/>
    <x v="1"/>
    <x v="2"/>
    <n v="2915"/>
    <n v="3670"/>
    <n v="20"/>
    <n v="-755"/>
    <n v="-0.25900514579759865"/>
    <n v="2023"/>
  </r>
  <r>
    <x v="441"/>
    <x v="2"/>
    <x v="1"/>
    <x v="3"/>
    <n v="9261"/>
    <n v="6276"/>
    <n v="10"/>
    <n v="2985"/>
    <n v="0.32231940395205699"/>
    <n v="2022"/>
  </r>
  <r>
    <x v="442"/>
    <x v="0"/>
    <x v="2"/>
    <x v="1"/>
    <n v="3137"/>
    <n v="1694"/>
    <n v="15"/>
    <n v="1443"/>
    <n v="0.45999362448198916"/>
    <n v="2022"/>
  </r>
  <r>
    <x v="1"/>
    <x v="0"/>
    <x v="2"/>
    <x v="2"/>
    <n v="7742"/>
    <n v="8590"/>
    <n v="10"/>
    <n v="-848"/>
    <n v="-0.10953242056316197"/>
    <n v="2024"/>
  </r>
  <r>
    <x v="288"/>
    <x v="3"/>
    <x v="1"/>
    <x v="0"/>
    <n v="9757"/>
    <n v="4370"/>
    <n v="10"/>
    <n v="5387"/>
    <n v="0.55211642923029625"/>
    <n v="2022"/>
  </r>
  <r>
    <x v="443"/>
    <x v="3"/>
    <x v="2"/>
    <x v="0"/>
    <n v="9113"/>
    <n v="7282"/>
    <n v="20"/>
    <n v="1831"/>
    <n v="0.20092176012290136"/>
    <n v="2022"/>
  </r>
  <r>
    <x v="444"/>
    <x v="1"/>
    <x v="0"/>
    <x v="0"/>
    <n v="3383"/>
    <n v="8913"/>
    <n v="15"/>
    <n v="-5530"/>
    <n v="-1.6346438072716525"/>
    <n v="2023"/>
  </r>
  <r>
    <x v="198"/>
    <x v="2"/>
    <x v="3"/>
    <x v="2"/>
    <n v="1704"/>
    <n v="5899"/>
    <n v="0"/>
    <n v="-4195"/>
    <n v="-2.4618544600938965"/>
    <n v="2023"/>
  </r>
  <r>
    <x v="445"/>
    <x v="0"/>
    <x v="0"/>
    <x v="1"/>
    <n v="1044"/>
    <n v="3950"/>
    <n v="15"/>
    <n v="-2906"/>
    <n v="-2.7835249042145596"/>
    <n v="2022"/>
  </r>
  <r>
    <x v="434"/>
    <x v="3"/>
    <x v="2"/>
    <x v="1"/>
    <n v="12858"/>
    <n v="9624"/>
    <n v="0"/>
    <n v="3234"/>
    <n v="0.25151656556229585"/>
    <n v="2024"/>
  </r>
  <r>
    <x v="446"/>
    <x v="1"/>
    <x v="1"/>
    <x v="3"/>
    <n v="12331"/>
    <n v="10194"/>
    <n v="15"/>
    <n v="2137"/>
    <n v="0.17330305733517151"/>
    <n v="2022"/>
  </r>
  <r>
    <x v="256"/>
    <x v="1"/>
    <x v="1"/>
    <x v="2"/>
    <n v="1723"/>
    <n v="3920"/>
    <n v="5"/>
    <n v="-2197"/>
    <n v="-1.2751015670342427"/>
    <n v="2024"/>
  </r>
  <r>
    <x v="447"/>
    <x v="0"/>
    <x v="0"/>
    <x v="1"/>
    <n v="3672"/>
    <n v="3490"/>
    <n v="15"/>
    <n v="182"/>
    <n v="4.9564270152505446E-2"/>
    <n v="2022"/>
  </r>
  <r>
    <x v="448"/>
    <x v="0"/>
    <x v="1"/>
    <x v="2"/>
    <n v="9459"/>
    <n v="9089"/>
    <n v="20"/>
    <n v="370"/>
    <n v="3.9116185643302673E-2"/>
    <n v="2023"/>
  </r>
  <r>
    <x v="449"/>
    <x v="1"/>
    <x v="2"/>
    <x v="3"/>
    <n v="6950"/>
    <n v="691"/>
    <n v="0"/>
    <n v="6259"/>
    <n v="0.90057553956834535"/>
    <n v="2024"/>
  </r>
  <r>
    <x v="450"/>
    <x v="3"/>
    <x v="0"/>
    <x v="3"/>
    <n v="12349"/>
    <n v="1375"/>
    <n v="10"/>
    <n v="10974"/>
    <n v="0.88865495181796095"/>
    <n v="2024"/>
  </r>
  <r>
    <x v="146"/>
    <x v="1"/>
    <x v="1"/>
    <x v="3"/>
    <n v="14494"/>
    <n v="2950"/>
    <n v="20"/>
    <n v="11544"/>
    <n v="0.79646750379467368"/>
    <n v="2023"/>
  </r>
  <r>
    <x v="169"/>
    <x v="2"/>
    <x v="3"/>
    <x v="0"/>
    <n v="7020"/>
    <n v="2684"/>
    <n v="0"/>
    <n v="4336"/>
    <n v="0.61766381766381762"/>
    <n v="2023"/>
  </r>
  <r>
    <x v="102"/>
    <x v="2"/>
    <x v="3"/>
    <x v="2"/>
    <n v="1154"/>
    <n v="1109"/>
    <n v="0"/>
    <n v="45"/>
    <n v="3.8994800693240898E-2"/>
    <n v="2024"/>
  </r>
  <r>
    <x v="451"/>
    <x v="0"/>
    <x v="2"/>
    <x v="3"/>
    <n v="7321"/>
    <n v="8347"/>
    <n v="10"/>
    <n v="-1026"/>
    <n v="-0.14014478896325638"/>
    <n v="2024"/>
  </r>
  <r>
    <x v="428"/>
    <x v="3"/>
    <x v="1"/>
    <x v="2"/>
    <n v="2946"/>
    <n v="11801"/>
    <n v="5"/>
    <n v="-8855"/>
    <n v="-3.0057705363204343"/>
    <n v="2024"/>
  </r>
  <r>
    <x v="120"/>
    <x v="3"/>
    <x v="2"/>
    <x v="0"/>
    <n v="6392"/>
    <n v="5801"/>
    <n v="20"/>
    <n v="591"/>
    <n v="9.2459324155193992E-2"/>
    <n v="2023"/>
  </r>
  <r>
    <x v="452"/>
    <x v="2"/>
    <x v="0"/>
    <x v="0"/>
    <n v="8912"/>
    <n v="7195"/>
    <n v="10"/>
    <n v="1717"/>
    <n v="0.19266157989228008"/>
    <n v="2022"/>
  </r>
  <r>
    <x v="453"/>
    <x v="1"/>
    <x v="3"/>
    <x v="3"/>
    <n v="4166"/>
    <n v="1459"/>
    <n v="10"/>
    <n v="2707"/>
    <n v="0.64978396543446948"/>
    <n v="2023"/>
  </r>
  <r>
    <x v="454"/>
    <x v="0"/>
    <x v="0"/>
    <x v="3"/>
    <n v="4777"/>
    <n v="7874"/>
    <n v="5"/>
    <n v="-3097"/>
    <n v="-0.6483148419510153"/>
    <n v="2022"/>
  </r>
  <r>
    <x v="67"/>
    <x v="1"/>
    <x v="1"/>
    <x v="1"/>
    <n v="4902"/>
    <n v="1831"/>
    <n v="20"/>
    <n v="3071"/>
    <n v="0.62647898816809466"/>
    <n v="2024"/>
  </r>
  <r>
    <x v="455"/>
    <x v="1"/>
    <x v="2"/>
    <x v="2"/>
    <n v="3069"/>
    <n v="5781"/>
    <n v="10"/>
    <n v="-2712"/>
    <n v="-0.8836754643206256"/>
    <n v="2024"/>
  </r>
  <r>
    <x v="11"/>
    <x v="1"/>
    <x v="2"/>
    <x v="3"/>
    <n v="6015"/>
    <n v="7848"/>
    <n v="5"/>
    <n v="-1833"/>
    <n v="-0.30473815461346632"/>
    <n v="2024"/>
  </r>
  <r>
    <x v="456"/>
    <x v="3"/>
    <x v="2"/>
    <x v="1"/>
    <n v="9705"/>
    <n v="5276"/>
    <n v="20"/>
    <n v="4429"/>
    <n v="0.45636269963936116"/>
    <n v="2022"/>
  </r>
  <r>
    <x v="201"/>
    <x v="2"/>
    <x v="0"/>
    <x v="2"/>
    <n v="10743"/>
    <n v="5995"/>
    <n v="15"/>
    <n v="4748"/>
    <n v="0.44196220794936236"/>
    <n v="2024"/>
  </r>
  <r>
    <x v="457"/>
    <x v="3"/>
    <x v="3"/>
    <x v="3"/>
    <n v="4485"/>
    <n v="11174"/>
    <n v="0"/>
    <n v="-6689"/>
    <n v="-1.4914158305462653"/>
    <n v="2024"/>
  </r>
  <r>
    <x v="453"/>
    <x v="2"/>
    <x v="0"/>
    <x v="1"/>
    <n v="13635"/>
    <n v="8745"/>
    <n v="5"/>
    <n v="4890"/>
    <n v="0.35863586358635863"/>
    <n v="2023"/>
  </r>
  <r>
    <x v="458"/>
    <x v="0"/>
    <x v="0"/>
    <x v="1"/>
    <n v="8667"/>
    <n v="3848"/>
    <n v="0"/>
    <n v="4819"/>
    <n v="0.55601707626629748"/>
    <n v="2023"/>
  </r>
  <r>
    <x v="459"/>
    <x v="0"/>
    <x v="1"/>
    <x v="2"/>
    <n v="13591"/>
    <n v="11677"/>
    <n v="15"/>
    <n v="1914"/>
    <n v="0.14082848944154219"/>
    <n v="2022"/>
  </r>
  <r>
    <x v="460"/>
    <x v="1"/>
    <x v="1"/>
    <x v="1"/>
    <n v="7948"/>
    <n v="6463"/>
    <n v="10"/>
    <n v="1485"/>
    <n v="0.18683945646703573"/>
    <n v="2022"/>
  </r>
  <r>
    <x v="461"/>
    <x v="2"/>
    <x v="1"/>
    <x v="2"/>
    <n v="4810"/>
    <n v="6971"/>
    <n v="10"/>
    <n v="-2161"/>
    <n v="-0.44927234927234927"/>
    <n v="2024"/>
  </r>
  <r>
    <x v="204"/>
    <x v="2"/>
    <x v="3"/>
    <x v="2"/>
    <n v="3519"/>
    <n v="5564"/>
    <n v="20"/>
    <n v="-2045"/>
    <n v="-0.58113100312588806"/>
    <n v="2024"/>
  </r>
  <r>
    <x v="462"/>
    <x v="2"/>
    <x v="3"/>
    <x v="2"/>
    <n v="4181"/>
    <n v="1531"/>
    <n v="5"/>
    <n v="2650"/>
    <n v="0.63381966036833293"/>
    <n v="2023"/>
  </r>
  <r>
    <x v="233"/>
    <x v="1"/>
    <x v="1"/>
    <x v="0"/>
    <n v="10135"/>
    <n v="2723"/>
    <n v="5"/>
    <n v="7412"/>
    <n v="0.73132708436112481"/>
    <n v="2024"/>
  </r>
  <r>
    <x v="463"/>
    <x v="1"/>
    <x v="1"/>
    <x v="1"/>
    <n v="4696"/>
    <n v="8371"/>
    <n v="20"/>
    <n v="-3675"/>
    <n v="-0.78258091993185686"/>
    <n v="2022"/>
  </r>
  <r>
    <x v="464"/>
    <x v="0"/>
    <x v="3"/>
    <x v="2"/>
    <n v="11702"/>
    <n v="4561"/>
    <n v="0"/>
    <n v="7141"/>
    <n v="0.61023756622799519"/>
    <n v="2022"/>
  </r>
  <r>
    <x v="465"/>
    <x v="3"/>
    <x v="2"/>
    <x v="3"/>
    <n v="1072"/>
    <n v="10065"/>
    <n v="10"/>
    <n v="-8993"/>
    <n v="-8.3889925373134329"/>
    <n v="2024"/>
  </r>
  <r>
    <x v="466"/>
    <x v="2"/>
    <x v="3"/>
    <x v="0"/>
    <n v="10024"/>
    <n v="3208"/>
    <n v="10"/>
    <n v="6816"/>
    <n v="0.67996807661612135"/>
    <n v="2024"/>
  </r>
  <r>
    <x v="467"/>
    <x v="2"/>
    <x v="3"/>
    <x v="0"/>
    <n v="5253"/>
    <n v="5012"/>
    <n v="5"/>
    <n v="241"/>
    <n v="4.587854559299448E-2"/>
    <n v="2022"/>
  </r>
  <r>
    <x v="468"/>
    <x v="3"/>
    <x v="3"/>
    <x v="1"/>
    <n v="7582"/>
    <n v="7055"/>
    <n v="5"/>
    <n v="527"/>
    <n v="6.9506726457399109E-2"/>
    <n v="2022"/>
  </r>
  <r>
    <x v="230"/>
    <x v="2"/>
    <x v="1"/>
    <x v="2"/>
    <n v="4502"/>
    <n v="10117"/>
    <n v="20"/>
    <n v="-5615"/>
    <n v="-1.2472234562416704"/>
    <n v="2024"/>
  </r>
  <r>
    <x v="461"/>
    <x v="1"/>
    <x v="2"/>
    <x v="1"/>
    <n v="6129"/>
    <n v="4183"/>
    <n v="15"/>
    <n v="1946"/>
    <n v="0.31750693424702237"/>
    <n v="2024"/>
  </r>
  <r>
    <x v="469"/>
    <x v="1"/>
    <x v="3"/>
    <x v="0"/>
    <n v="11826"/>
    <n v="3815"/>
    <n v="0"/>
    <n v="8011"/>
    <n v="0.67740571621850165"/>
    <n v="2022"/>
  </r>
  <r>
    <x v="470"/>
    <x v="2"/>
    <x v="1"/>
    <x v="2"/>
    <n v="14444"/>
    <n v="3703"/>
    <n v="15"/>
    <n v="10741"/>
    <n v="0.74363057324840764"/>
    <n v="2023"/>
  </r>
  <r>
    <x v="471"/>
    <x v="1"/>
    <x v="0"/>
    <x v="3"/>
    <n v="12778"/>
    <n v="4898"/>
    <n v="15"/>
    <n v="7880"/>
    <n v="0.61668492721865709"/>
    <n v="2022"/>
  </r>
  <r>
    <x v="472"/>
    <x v="1"/>
    <x v="0"/>
    <x v="2"/>
    <n v="8917"/>
    <n v="5308"/>
    <n v="5"/>
    <n v="3609"/>
    <n v="0.40473253336323878"/>
    <n v="2022"/>
  </r>
  <r>
    <x v="473"/>
    <x v="2"/>
    <x v="3"/>
    <x v="0"/>
    <n v="4700"/>
    <n v="6522"/>
    <n v="5"/>
    <n v="-1822"/>
    <n v="-0.38765957446808513"/>
    <n v="2022"/>
  </r>
  <r>
    <x v="474"/>
    <x v="0"/>
    <x v="0"/>
    <x v="3"/>
    <n v="2497"/>
    <n v="10450"/>
    <n v="5"/>
    <n v="-7953"/>
    <n v="-3.1850220264317182"/>
    <n v="2022"/>
  </r>
  <r>
    <x v="475"/>
    <x v="3"/>
    <x v="2"/>
    <x v="2"/>
    <n v="9463"/>
    <n v="4309"/>
    <n v="15"/>
    <n v="5154"/>
    <n v="0.54464757476487369"/>
    <n v="2022"/>
  </r>
  <r>
    <x v="332"/>
    <x v="1"/>
    <x v="0"/>
    <x v="3"/>
    <n v="7922"/>
    <n v="3035"/>
    <n v="0"/>
    <n v="4887"/>
    <n v="0.61688967432466546"/>
    <n v="2024"/>
  </r>
  <r>
    <x v="476"/>
    <x v="0"/>
    <x v="0"/>
    <x v="3"/>
    <n v="5024"/>
    <n v="4791"/>
    <n v="5"/>
    <n v="233"/>
    <n v="4.6377388535031844E-2"/>
    <n v="2024"/>
  </r>
  <r>
    <x v="442"/>
    <x v="1"/>
    <x v="2"/>
    <x v="0"/>
    <n v="9125"/>
    <n v="11666"/>
    <n v="10"/>
    <n v="-2541"/>
    <n v="-0.27846575342465751"/>
    <n v="2022"/>
  </r>
  <r>
    <x v="466"/>
    <x v="1"/>
    <x v="3"/>
    <x v="3"/>
    <n v="14018"/>
    <n v="8893"/>
    <n v="0"/>
    <n v="5125"/>
    <n v="0.36560136966757029"/>
    <n v="2024"/>
  </r>
  <r>
    <x v="477"/>
    <x v="3"/>
    <x v="3"/>
    <x v="1"/>
    <n v="11791"/>
    <n v="1274"/>
    <n v="10"/>
    <n v="10517"/>
    <n v="0.8919514884233738"/>
    <n v="2022"/>
  </r>
  <r>
    <x v="466"/>
    <x v="1"/>
    <x v="2"/>
    <x v="0"/>
    <n v="11421"/>
    <n v="523"/>
    <n v="0"/>
    <n v="10898"/>
    <n v="0.95420716224498725"/>
    <n v="2024"/>
  </r>
  <r>
    <x v="478"/>
    <x v="3"/>
    <x v="2"/>
    <x v="1"/>
    <n v="3907"/>
    <n v="4913"/>
    <n v="5"/>
    <n v="-1006"/>
    <n v="-0.25748656257998465"/>
    <n v="2022"/>
  </r>
  <r>
    <x v="479"/>
    <x v="3"/>
    <x v="2"/>
    <x v="3"/>
    <n v="7231"/>
    <n v="7077"/>
    <n v="20"/>
    <n v="154"/>
    <n v="2.1297192642787996E-2"/>
    <n v="2023"/>
  </r>
  <r>
    <x v="480"/>
    <x v="3"/>
    <x v="0"/>
    <x v="1"/>
    <n v="8295"/>
    <n v="8727"/>
    <n v="5"/>
    <n v="-432"/>
    <n v="-5.2079566003616636E-2"/>
    <n v="2022"/>
  </r>
  <r>
    <x v="395"/>
    <x v="0"/>
    <x v="2"/>
    <x v="2"/>
    <n v="11832"/>
    <n v="11990"/>
    <n v="15"/>
    <n v="-158"/>
    <n v="-1.3353617308992562E-2"/>
    <n v="2023"/>
  </r>
  <r>
    <x v="481"/>
    <x v="2"/>
    <x v="1"/>
    <x v="3"/>
    <n v="9557"/>
    <n v="4511"/>
    <n v="15"/>
    <n v="5046"/>
    <n v="0.52798995500680135"/>
    <n v="2022"/>
  </r>
  <r>
    <x v="280"/>
    <x v="0"/>
    <x v="0"/>
    <x v="2"/>
    <n v="3293"/>
    <n v="11726"/>
    <n v="0"/>
    <n v="-8433"/>
    <n v="-2.5608867294260551"/>
    <n v="2023"/>
  </r>
  <r>
    <x v="482"/>
    <x v="2"/>
    <x v="3"/>
    <x v="1"/>
    <n v="7834"/>
    <n v="525"/>
    <n v="15"/>
    <n v="7309"/>
    <n v="0.93298442685728877"/>
    <n v="2024"/>
  </r>
  <r>
    <x v="101"/>
    <x v="2"/>
    <x v="3"/>
    <x v="2"/>
    <n v="3411"/>
    <n v="10769"/>
    <n v="5"/>
    <n v="-7358"/>
    <n v="-2.1571386690120198"/>
    <n v="2024"/>
  </r>
  <r>
    <x v="483"/>
    <x v="3"/>
    <x v="3"/>
    <x v="3"/>
    <n v="8452"/>
    <n v="8483"/>
    <n v="10"/>
    <n v="-31"/>
    <n v="-3.6677709417889258E-3"/>
    <n v="2023"/>
  </r>
  <r>
    <x v="121"/>
    <x v="1"/>
    <x v="0"/>
    <x v="2"/>
    <n v="2915"/>
    <n v="4577"/>
    <n v="5"/>
    <n v="-1662"/>
    <n v="-0.57015437392795887"/>
    <n v="2023"/>
  </r>
  <r>
    <x v="484"/>
    <x v="3"/>
    <x v="1"/>
    <x v="1"/>
    <n v="750"/>
    <n v="1641"/>
    <n v="0"/>
    <n v="-891"/>
    <n v="-1.1879999999999999"/>
    <n v="2023"/>
  </r>
  <r>
    <x v="255"/>
    <x v="1"/>
    <x v="2"/>
    <x v="1"/>
    <n v="5451"/>
    <n v="4336"/>
    <n v="15"/>
    <n v="1115"/>
    <n v="0.2045496239222161"/>
    <n v="2024"/>
  </r>
  <r>
    <x v="485"/>
    <x v="2"/>
    <x v="2"/>
    <x v="1"/>
    <n v="8598"/>
    <n v="8701"/>
    <n v="10"/>
    <n v="-103"/>
    <n v="-1.1979530123284485E-2"/>
    <n v="2023"/>
  </r>
  <r>
    <x v="486"/>
    <x v="3"/>
    <x v="3"/>
    <x v="3"/>
    <n v="12449"/>
    <n v="4027"/>
    <n v="20"/>
    <n v="8422"/>
    <n v="0.67652020242589761"/>
    <n v="2022"/>
  </r>
  <r>
    <x v="487"/>
    <x v="1"/>
    <x v="3"/>
    <x v="1"/>
    <n v="5789"/>
    <n v="4228"/>
    <n v="10"/>
    <n v="1561"/>
    <n v="0.26964933494558646"/>
    <n v="2023"/>
  </r>
  <r>
    <x v="168"/>
    <x v="0"/>
    <x v="0"/>
    <x v="3"/>
    <n v="8602"/>
    <n v="3103"/>
    <n v="10"/>
    <n v="5499"/>
    <n v="0.63926993722390146"/>
    <n v="2022"/>
  </r>
  <r>
    <x v="211"/>
    <x v="1"/>
    <x v="1"/>
    <x v="2"/>
    <n v="7757"/>
    <n v="9601"/>
    <n v="5"/>
    <n v="-1844"/>
    <n v="-0.2377207683382751"/>
    <n v="2024"/>
  </r>
  <r>
    <x v="470"/>
    <x v="3"/>
    <x v="2"/>
    <x v="1"/>
    <n v="13348"/>
    <n v="6858"/>
    <n v="20"/>
    <n v="6490"/>
    <n v="0.48621516332034764"/>
    <n v="2023"/>
  </r>
  <r>
    <x v="488"/>
    <x v="0"/>
    <x v="0"/>
    <x v="2"/>
    <n v="6065"/>
    <n v="10518"/>
    <n v="0"/>
    <n v="-4453"/>
    <n v="-0.73421269579554826"/>
    <n v="2024"/>
  </r>
  <r>
    <x v="459"/>
    <x v="1"/>
    <x v="2"/>
    <x v="0"/>
    <n v="6937"/>
    <n v="693"/>
    <n v="0"/>
    <n v="6244"/>
    <n v="0.90010090817356203"/>
    <n v="2022"/>
  </r>
  <r>
    <x v="265"/>
    <x v="1"/>
    <x v="3"/>
    <x v="2"/>
    <n v="9610"/>
    <n v="7139"/>
    <n v="10"/>
    <n v="2471"/>
    <n v="0.25712799167533817"/>
    <n v="2022"/>
  </r>
  <r>
    <x v="489"/>
    <x v="1"/>
    <x v="2"/>
    <x v="0"/>
    <n v="1673"/>
    <n v="9335"/>
    <n v="10"/>
    <n v="-7662"/>
    <n v="-4.5797967722653912"/>
    <n v="2022"/>
  </r>
  <r>
    <x v="490"/>
    <x v="1"/>
    <x v="1"/>
    <x v="2"/>
    <n v="11895"/>
    <n v="10016"/>
    <n v="15"/>
    <n v="1879"/>
    <n v="0.15796553173602354"/>
    <n v="2022"/>
  </r>
  <r>
    <x v="491"/>
    <x v="1"/>
    <x v="1"/>
    <x v="3"/>
    <n v="9124"/>
    <n v="9095"/>
    <n v="20"/>
    <n v="29"/>
    <n v="3.1784305129329243E-3"/>
    <n v="2024"/>
  </r>
  <r>
    <x v="492"/>
    <x v="0"/>
    <x v="3"/>
    <x v="2"/>
    <n v="14894"/>
    <n v="881"/>
    <n v="10"/>
    <n v="14013"/>
    <n v="0.9408486638914999"/>
    <n v="2022"/>
  </r>
  <r>
    <x v="493"/>
    <x v="2"/>
    <x v="1"/>
    <x v="3"/>
    <n v="13756"/>
    <n v="10431"/>
    <n v="15"/>
    <n v="3325"/>
    <n v="0.24171270718232044"/>
    <n v="2022"/>
  </r>
  <r>
    <x v="275"/>
    <x v="0"/>
    <x v="1"/>
    <x v="3"/>
    <n v="1335"/>
    <n v="432"/>
    <n v="20"/>
    <n v="903"/>
    <n v="0.67640449438202244"/>
    <n v="2024"/>
  </r>
  <r>
    <x v="494"/>
    <x v="0"/>
    <x v="0"/>
    <x v="1"/>
    <n v="10938"/>
    <n v="3138"/>
    <n v="0"/>
    <n v="7800"/>
    <n v="0.7131102578167855"/>
    <n v="2022"/>
  </r>
  <r>
    <x v="495"/>
    <x v="0"/>
    <x v="2"/>
    <x v="3"/>
    <n v="2762"/>
    <n v="3685"/>
    <n v="15"/>
    <n v="-923"/>
    <n v="-0.33417813178855904"/>
    <n v="2022"/>
  </r>
  <r>
    <x v="496"/>
    <x v="2"/>
    <x v="3"/>
    <x v="0"/>
    <n v="9589"/>
    <n v="4070"/>
    <n v="20"/>
    <n v="5519"/>
    <n v="0.57555532380853058"/>
    <n v="2024"/>
  </r>
  <r>
    <x v="497"/>
    <x v="3"/>
    <x v="3"/>
    <x v="1"/>
    <n v="12324"/>
    <n v="2568"/>
    <n v="15"/>
    <n v="9756"/>
    <n v="0.79162609542356377"/>
    <n v="2024"/>
  </r>
  <r>
    <x v="498"/>
    <x v="2"/>
    <x v="3"/>
    <x v="1"/>
    <n v="5067"/>
    <n v="1275"/>
    <n v="10"/>
    <n v="3792"/>
    <n v="0.74837181764357608"/>
    <n v="2022"/>
  </r>
  <r>
    <x v="499"/>
    <x v="0"/>
    <x v="3"/>
    <x v="2"/>
    <n v="4315"/>
    <n v="7905"/>
    <n v="5"/>
    <n v="-3590"/>
    <n v="-0.83198146002317497"/>
    <n v="2023"/>
  </r>
  <r>
    <x v="500"/>
    <x v="1"/>
    <x v="3"/>
    <x v="3"/>
    <n v="746"/>
    <n v="7513"/>
    <n v="0"/>
    <n v="-6767"/>
    <n v="-9.0710455764075064"/>
    <n v="2023"/>
  </r>
  <r>
    <x v="501"/>
    <x v="1"/>
    <x v="1"/>
    <x v="3"/>
    <n v="2929"/>
    <n v="10305"/>
    <n v="10"/>
    <n v="-7376"/>
    <n v="-2.518265619665415"/>
    <n v="2022"/>
  </r>
  <r>
    <x v="502"/>
    <x v="0"/>
    <x v="0"/>
    <x v="0"/>
    <n v="9682"/>
    <n v="11755"/>
    <n v="10"/>
    <n v="-2073"/>
    <n v="-0.21410865523652137"/>
    <n v="2023"/>
  </r>
  <r>
    <x v="503"/>
    <x v="1"/>
    <x v="3"/>
    <x v="2"/>
    <n v="12002"/>
    <n v="10035"/>
    <n v="20"/>
    <n v="1967"/>
    <n v="0.16388935177470421"/>
    <n v="2022"/>
  </r>
  <r>
    <x v="97"/>
    <x v="0"/>
    <x v="0"/>
    <x v="2"/>
    <n v="9618"/>
    <n v="3135"/>
    <n v="15"/>
    <n v="6483"/>
    <n v="0.67404865876481601"/>
    <n v="2023"/>
  </r>
  <r>
    <x v="504"/>
    <x v="1"/>
    <x v="0"/>
    <x v="1"/>
    <n v="12130"/>
    <n v="3038"/>
    <n v="0"/>
    <n v="9092"/>
    <n v="0.74954657873042041"/>
    <n v="2023"/>
  </r>
  <r>
    <x v="298"/>
    <x v="2"/>
    <x v="1"/>
    <x v="1"/>
    <n v="5787"/>
    <n v="9849"/>
    <n v="10"/>
    <n v="-4062"/>
    <n v="-0.70191809227579061"/>
    <n v="2023"/>
  </r>
  <r>
    <x v="505"/>
    <x v="3"/>
    <x v="3"/>
    <x v="1"/>
    <n v="3107"/>
    <n v="4434"/>
    <n v="20"/>
    <n v="-1327"/>
    <n v="-0.42710009655616349"/>
    <n v="2022"/>
  </r>
  <r>
    <x v="506"/>
    <x v="3"/>
    <x v="1"/>
    <x v="0"/>
    <n v="9766"/>
    <n v="9808"/>
    <n v="0"/>
    <n v="-42"/>
    <n v="-4.3006348556215443E-3"/>
    <n v="2022"/>
  </r>
  <r>
    <x v="507"/>
    <x v="2"/>
    <x v="3"/>
    <x v="0"/>
    <n v="6430"/>
    <n v="7133"/>
    <n v="15"/>
    <n v="-703"/>
    <n v="-0.1093312597200622"/>
    <n v="2022"/>
  </r>
  <r>
    <x v="508"/>
    <x v="2"/>
    <x v="1"/>
    <x v="1"/>
    <n v="4522"/>
    <n v="8653"/>
    <n v="10"/>
    <n v="-4131"/>
    <n v="-0.9135338345864662"/>
    <n v="2023"/>
  </r>
  <r>
    <x v="504"/>
    <x v="0"/>
    <x v="0"/>
    <x v="2"/>
    <n v="12491"/>
    <n v="2209"/>
    <n v="10"/>
    <n v="10282"/>
    <n v="0.82315266992234404"/>
    <n v="2023"/>
  </r>
  <r>
    <x v="135"/>
    <x v="0"/>
    <x v="3"/>
    <x v="0"/>
    <n v="5284"/>
    <n v="9619"/>
    <n v="10"/>
    <n v="-4335"/>
    <n v="-0.82040121120363363"/>
    <n v="2023"/>
  </r>
  <r>
    <x v="419"/>
    <x v="0"/>
    <x v="2"/>
    <x v="2"/>
    <n v="7117"/>
    <n v="10150"/>
    <n v="0"/>
    <n v="-3033"/>
    <n v="-0.42616270900660391"/>
    <n v="2024"/>
  </r>
  <r>
    <x v="509"/>
    <x v="1"/>
    <x v="0"/>
    <x v="2"/>
    <n v="3651"/>
    <n v="11617"/>
    <n v="0"/>
    <n v="-7966"/>
    <n v="-2.1818679813749657"/>
    <n v="2024"/>
  </r>
  <r>
    <x v="510"/>
    <x v="0"/>
    <x v="2"/>
    <x v="3"/>
    <n v="12130"/>
    <n v="2263"/>
    <n v="0"/>
    <n v="9867"/>
    <n v="0.81343775762572135"/>
    <n v="2024"/>
  </r>
  <r>
    <x v="451"/>
    <x v="2"/>
    <x v="0"/>
    <x v="1"/>
    <n v="6080"/>
    <n v="5453"/>
    <n v="0"/>
    <n v="627"/>
    <n v="0.10312499999999999"/>
    <n v="2024"/>
  </r>
  <r>
    <x v="195"/>
    <x v="3"/>
    <x v="1"/>
    <x v="3"/>
    <n v="7554"/>
    <n v="10781"/>
    <n v="20"/>
    <n v="-3227"/>
    <n v="-0.42719089224252049"/>
    <n v="2024"/>
  </r>
  <r>
    <x v="511"/>
    <x v="1"/>
    <x v="3"/>
    <x v="1"/>
    <n v="8206"/>
    <n v="1266"/>
    <n v="5"/>
    <n v="6940"/>
    <n v="0.84572264196929081"/>
    <n v="2022"/>
  </r>
  <r>
    <x v="11"/>
    <x v="0"/>
    <x v="0"/>
    <x v="1"/>
    <n v="8119"/>
    <n v="1189"/>
    <n v="20"/>
    <n v="6930"/>
    <n v="0.85355339327503388"/>
    <n v="2024"/>
  </r>
  <r>
    <x v="337"/>
    <x v="1"/>
    <x v="1"/>
    <x v="2"/>
    <n v="13747"/>
    <n v="3361"/>
    <n v="10"/>
    <n v="10386"/>
    <n v="0.75551029315487017"/>
    <n v="2024"/>
  </r>
  <r>
    <x v="108"/>
    <x v="1"/>
    <x v="3"/>
    <x v="1"/>
    <n v="5073"/>
    <n v="6761"/>
    <n v="20"/>
    <n v="-1688"/>
    <n v="-0.33274196727774491"/>
    <n v="2024"/>
  </r>
  <r>
    <x v="115"/>
    <x v="0"/>
    <x v="3"/>
    <x v="2"/>
    <n v="3991"/>
    <n v="6466"/>
    <n v="15"/>
    <n v="-2475"/>
    <n v="-0.62014532698571789"/>
    <n v="2023"/>
  </r>
  <r>
    <x v="505"/>
    <x v="1"/>
    <x v="0"/>
    <x v="2"/>
    <n v="1206"/>
    <n v="7267"/>
    <n v="0"/>
    <n v="-6061"/>
    <n v="-5.025704809286899"/>
    <n v="2022"/>
  </r>
  <r>
    <x v="380"/>
    <x v="3"/>
    <x v="3"/>
    <x v="1"/>
    <n v="7497"/>
    <n v="11681"/>
    <n v="15"/>
    <n v="-4184"/>
    <n v="-0.55808990262771774"/>
    <n v="2023"/>
  </r>
  <r>
    <x v="232"/>
    <x v="2"/>
    <x v="0"/>
    <x v="2"/>
    <n v="5733"/>
    <n v="11240"/>
    <n v="15"/>
    <n v="-5507"/>
    <n v="-0.96057910343624631"/>
    <n v="2024"/>
  </r>
  <r>
    <x v="512"/>
    <x v="2"/>
    <x v="3"/>
    <x v="2"/>
    <n v="11756"/>
    <n v="10158"/>
    <n v="10"/>
    <n v="1598"/>
    <n v="0.13593058863559035"/>
    <n v="2022"/>
  </r>
  <r>
    <x v="473"/>
    <x v="3"/>
    <x v="2"/>
    <x v="2"/>
    <n v="9445"/>
    <n v="11558"/>
    <n v="0"/>
    <n v="-2113"/>
    <n v="-0.22371625198517733"/>
    <n v="2022"/>
  </r>
  <r>
    <x v="513"/>
    <x v="1"/>
    <x v="1"/>
    <x v="0"/>
    <n v="6255"/>
    <n v="8401"/>
    <n v="15"/>
    <n v="-2146"/>
    <n v="-0.3430855315747402"/>
    <n v="2024"/>
  </r>
  <r>
    <x v="514"/>
    <x v="0"/>
    <x v="2"/>
    <x v="2"/>
    <n v="7460"/>
    <n v="7679"/>
    <n v="10"/>
    <n v="-219"/>
    <n v="-2.9356568364611261E-2"/>
    <n v="2023"/>
  </r>
  <r>
    <x v="515"/>
    <x v="1"/>
    <x v="0"/>
    <x v="0"/>
    <n v="9279"/>
    <n v="9933"/>
    <n v="0"/>
    <n v="-654"/>
    <n v="-7.048173294536049E-2"/>
    <n v="2022"/>
  </r>
  <r>
    <x v="516"/>
    <x v="3"/>
    <x v="2"/>
    <x v="0"/>
    <n v="1834"/>
    <n v="7580"/>
    <n v="5"/>
    <n v="-5746"/>
    <n v="-3.1330425299890949"/>
    <n v="2022"/>
  </r>
  <r>
    <x v="517"/>
    <x v="1"/>
    <x v="0"/>
    <x v="2"/>
    <n v="6088"/>
    <n v="1367"/>
    <n v="10"/>
    <n v="4721"/>
    <n v="0.77545992115637319"/>
    <n v="2022"/>
  </r>
  <r>
    <x v="486"/>
    <x v="2"/>
    <x v="3"/>
    <x v="2"/>
    <n v="2347"/>
    <n v="4523"/>
    <n v="20"/>
    <n v="-2176"/>
    <n v="-0.92714103110353641"/>
    <n v="2022"/>
  </r>
  <r>
    <x v="360"/>
    <x v="1"/>
    <x v="3"/>
    <x v="0"/>
    <n v="7351"/>
    <n v="11415"/>
    <n v="0"/>
    <n v="-4064"/>
    <n v="-0.55284995238743029"/>
    <n v="2022"/>
  </r>
  <r>
    <x v="475"/>
    <x v="3"/>
    <x v="0"/>
    <x v="0"/>
    <n v="12626"/>
    <n v="9318"/>
    <n v="15"/>
    <n v="3308"/>
    <n v="0.26199904958023129"/>
    <n v="2022"/>
  </r>
  <r>
    <x v="518"/>
    <x v="2"/>
    <x v="2"/>
    <x v="2"/>
    <n v="7711"/>
    <n v="4907"/>
    <n v="15"/>
    <n v="2804"/>
    <n v="0.36363636363636365"/>
    <n v="2022"/>
  </r>
  <r>
    <x v="475"/>
    <x v="1"/>
    <x v="3"/>
    <x v="2"/>
    <n v="8365"/>
    <n v="4285"/>
    <n v="20"/>
    <n v="4080"/>
    <n v="0.48774656306037062"/>
    <n v="2022"/>
  </r>
  <r>
    <x v="441"/>
    <x v="1"/>
    <x v="1"/>
    <x v="1"/>
    <n v="12618"/>
    <n v="10584"/>
    <n v="20"/>
    <n v="2034"/>
    <n v="0.16119828815977175"/>
    <n v="2022"/>
  </r>
  <r>
    <x v="519"/>
    <x v="2"/>
    <x v="3"/>
    <x v="0"/>
    <n v="3817"/>
    <n v="3479"/>
    <n v="15"/>
    <n v="338"/>
    <n v="8.8551218234215356E-2"/>
    <n v="2023"/>
  </r>
  <r>
    <x v="18"/>
    <x v="0"/>
    <x v="1"/>
    <x v="0"/>
    <n v="12712"/>
    <n v="4838"/>
    <n v="0"/>
    <n v="7874"/>
    <n v="0.61941472624292004"/>
    <n v="2024"/>
  </r>
  <r>
    <x v="520"/>
    <x v="2"/>
    <x v="2"/>
    <x v="1"/>
    <n v="11847"/>
    <n v="2662"/>
    <n v="10"/>
    <n v="9185"/>
    <n v="0.77530176415970287"/>
    <n v="2023"/>
  </r>
  <r>
    <x v="521"/>
    <x v="0"/>
    <x v="1"/>
    <x v="0"/>
    <n v="12994"/>
    <n v="2524"/>
    <n v="20"/>
    <n v="10470"/>
    <n v="0.80575650300138524"/>
    <n v="2023"/>
  </r>
  <r>
    <x v="99"/>
    <x v="3"/>
    <x v="1"/>
    <x v="3"/>
    <n v="10890"/>
    <n v="6671"/>
    <n v="20"/>
    <n v="4219"/>
    <n v="0.38741965105601467"/>
    <n v="2023"/>
  </r>
  <r>
    <x v="522"/>
    <x v="3"/>
    <x v="1"/>
    <x v="0"/>
    <n v="7311"/>
    <n v="2026"/>
    <n v="20"/>
    <n v="5285"/>
    <n v="0.72288332649432363"/>
    <n v="2023"/>
  </r>
  <r>
    <x v="523"/>
    <x v="2"/>
    <x v="1"/>
    <x v="1"/>
    <n v="664"/>
    <n v="10498"/>
    <n v="5"/>
    <n v="-9834"/>
    <n v="-14.810240963855422"/>
    <n v="2022"/>
  </r>
  <r>
    <x v="263"/>
    <x v="2"/>
    <x v="3"/>
    <x v="3"/>
    <n v="7560"/>
    <n v="6091"/>
    <n v="0"/>
    <n v="1469"/>
    <n v="0.19431216931216932"/>
    <n v="2024"/>
  </r>
  <r>
    <x v="524"/>
    <x v="3"/>
    <x v="1"/>
    <x v="2"/>
    <n v="10690"/>
    <n v="8373"/>
    <n v="0"/>
    <n v="2317"/>
    <n v="0.21674462114125351"/>
    <n v="2023"/>
  </r>
  <r>
    <x v="14"/>
    <x v="0"/>
    <x v="3"/>
    <x v="1"/>
    <n v="3557"/>
    <n v="8758"/>
    <n v="0"/>
    <n v="-5201"/>
    <n v="-1.4621872364351982"/>
    <n v="2022"/>
  </r>
  <r>
    <x v="169"/>
    <x v="3"/>
    <x v="1"/>
    <x v="1"/>
    <n v="10776"/>
    <n v="7313"/>
    <n v="0"/>
    <n v="3463"/>
    <n v="0.32136228656273202"/>
    <n v="2023"/>
  </r>
  <r>
    <x v="307"/>
    <x v="2"/>
    <x v="0"/>
    <x v="2"/>
    <n v="4928"/>
    <n v="1137"/>
    <n v="0"/>
    <n v="3791"/>
    <n v="0.76927759740259738"/>
    <n v="2023"/>
  </r>
  <r>
    <x v="525"/>
    <x v="3"/>
    <x v="2"/>
    <x v="1"/>
    <n v="902"/>
    <n v="4884"/>
    <n v="15"/>
    <n v="-3982"/>
    <n v="-4.4146341463414638"/>
    <n v="2024"/>
  </r>
  <r>
    <x v="492"/>
    <x v="2"/>
    <x v="1"/>
    <x v="0"/>
    <n v="9105"/>
    <n v="986"/>
    <n v="20"/>
    <n v="8119"/>
    <n v="0.89170785282811638"/>
    <n v="2022"/>
  </r>
  <r>
    <x v="267"/>
    <x v="2"/>
    <x v="0"/>
    <x v="2"/>
    <n v="8736"/>
    <n v="11853"/>
    <n v="15"/>
    <n v="-3117"/>
    <n v="-0.35679945054945056"/>
    <n v="2024"/>
  </r>
  <r>
    <x v="233"/>
    <x v="3"/>
    <x v="1"/>
    <x v="1"/>
    <n v="6849"/>
    <n v="656"/>
    <n v="5"/>
    <n v="6193"/>
    <n v="0.90421959410132868"/>
    <n v="2024"/>
  </r>
  <r>
    <x v="526"/>
    <x v="0"/>
    <x v="1"/>
    <x v="2"/>
    <n v="4657"/>
    <n v="9363"/>
    <n v="10"/>
    <n v="-4706"/>
    <n v="-1.0105217951470904"/>
    <n v="2024"/>
  </r>
  <r>
    <x v="527"/>
    <x v="1"/>
    <x v="1"/>
    <x v="2"/>
    <n v="11159"/>
    <n v="10465"/>
    <n v="20"/>
    <n v="694"/>
    <n v="6.2191952683932253E-2"/>
    <n v="2022"/>
  </r>
  <r>
    <x v="528"/>
    <x v="3"/>
    <x v="0"/>
    <x v="2"/>
    <n v="1367"/>
    <n v="4947"/>
    <n v="5"/>
    <n v="-3580"/>
    <n v="-2.6188734455010971"/>
    <n v="2023"/>
  </r>
  <r>
    <x v="529"/>
    <x v="1"/>
    <x v="2"/>
    <x v="3"/>
    <n v="14279"/>
    <n v="10302"/>
    <n v="15"/>
    <n v="3977"/>
    <n v="0.27852090482526787"/>
    <n v="2024"/>
  </r>
  <r>
    <x v="530"/>
    <x v="3"/>
    <x v="0"/>
    <x v="1"/>
    <n v="8710"/>
    <n v="4718"/>
    <n v="10"/>
    <n v="3992"/>
    <n v="0.45832376578645234"/>
    <n v="2022"/>
  </r>
  <r>
    <x v="531"/>
    <x v="1"/>
    <x v="2"/>
    <x v="3"/>
    <n v="864"/>
    <n v="11133"/>
    <n v="5"/>
    <n v="-10269"/>
    <n v="-11.885416666666666"/>
    <n v="2023"/>
  </r>
  <r>
    <x v="335"/>
    <x v="0"/>
    <x v="1"/>
    <x v="1"/>
    <n v="7967"/>
    <n v="10720"/>
    <n v="10"/>
    <n v="-2753"/>
    <n v="-0.3455503953809464"/>
    <n v="2024"/>
  </r>
  <r>
    <x v="532"/>
    <x v="0"/>
    <x v="3"/>
    <x v="0"/>
    <n v="12524"/>
    <n v="6942"/>
    <n v="5"/>
    <n v="5582"/>
    <n v="0.44570424784413926"/>
    <n v="2022"/>
  </r>
  <r>
    <x v="533"/>
    <x v="3"/>
    <x v="1"/>
    <x v="0"/>
    <n v="7071"/>
    <n v="3691"/>
    <n v="15"/>
    <n v="3380"/>
    <n v="0.47800876820817423"/>
    <n v="2023"/>
  </r>
  <r>
    <x v="452"/>
    <x v="2"/>
    <x v="2"/>
    <x v="0"/>
    <n v="13928"/>
    <n v="10842"/>
    <n v="10"/>
    <n v="3086"/>
    <n v="0.22156806433084433"/>
    <n v="2022"/>
  </r>
  <r>
    <x v="534"/>
    <x v="1"/>
    <x v="0"/>
    <x v="1"/>
    <n v="1079"/>
    <n v="4657"/>
    <n v="5"/>
    <n v="-3578"/>
    <n v="-3.3160333642261355"/>
    <n v="2022"/>
  </r>
  <r>
    <x v="124"/>
    <x v="2"/>
    <x v="1"/>
    <x v="2"/>
    <n v="8174"/>
    <n v="5179"/>
    <n v="15"/>
    <n v="2995"/>
    <n v="0.366405676535356"/>
    <n v="2023"/>
  </r>
  <r>
    <x v="445"/>
    <x v="2"/>
    <x v="0"/>
    <x v="2"/>
    <n v="9237"/>
    <n v="5619"/>
    <n v="20"/>
    <n v="3618"/>
    <n v="0.39168561221175707"/>
    <n v="2022"/>
  </r>
  <r>
    <x v="170"/>
    <x v="2"/>
    <x v="0"/>
    <x v="3"/>
    <n v="14517"/>
    <n v="3039"/>
    <n v="15"/>
    <n v="11478"/>
    <n v="0.79065922711303993"/>
    <n v="2024"/>
  </r>
  <r>
    <x v="535"/>
    <x v="0"/>
    <x v="0"/>
    <x v="3"/>
    <n v="6968"/>
    <n v="11222"/>
    <n v="15"/>
    <n v="-4254"/>
    <n v="-0.61050516647531572"/>
    <n v="2023"/>
  </r>
  <r>
    <x v="536"/>
    <x v="3"/>
    <x v="1"/>
    <x v="0"/>
    <n v="4650"/>
    <n v="9810"/>
    <n v="20"/>
    <n v="-5160"/>
    <n v="-1.1096774193548387"/>
    <n v="2024"/>
  </r>
  <r>
    <x v="537"/>
    <x v="3"/>
    <x v="0"/>
    <x v="3"/>
    <n v="13565"/>
    <n v="10027"/>
    <n v="15"/>
    <n v="3538"/>
    <n v="0.26081828234426835"/>
    <n v="2023"/>
  </r>
  <r>
    <x v="538"/>
    <x v="0"/>
    <x v="0"/>
    <x v="1"/>
    <n v="3539"/>
    <n v="5084"/>
    <n v="20"/>
    <n v="-1545"/>
    <n v="-0.43656400113026278"/>
    <n v="2022"/>
  </r>
  <r>
    <x v="539"/>
    <x v="0"/>
    <x v="1"/>
    <x v="1"/>
    <n v="4637"/>
    <n v="10935"/>
    <n v="20"/>
    <n v="-6298"/>
    <n v="-1.3582057364675437"/>
    <n v="2024"/>
  </r>
  <r>
    <x v="540"/>
    <x v="3"/>
    <x v="0"/>
    <x v="3"/>
    <n v="14108"/>
    <n v="10264"/>
    <n v="20"/>
    <n v="3844"/>
    <n v="0.27246952083924014"/>
    <n v="2023"/>
  </r>
  <r>
    <x v="496"/>
    <x v="2"/>
    <x v="1"/>
    <x v="3"/>
    <n v="12736"/>
    <n v="11701"/>
    <n v="5"/>
    <n v="1035"/>
    <n v="8.1265703517587939E-2"/>
    <n v="2024"/>
  </r>
  <r>
    <x v="382"/>
    <x v="1"/>
    <x v="2"/>
    <x v="3"/>
    <n v="13018"/>
    <n v="1177"/>
    <n v="10"/>
    <n v="11841"/>
    <n v="0.90958672607159319"/>
    <n v="2022"/>
  </r>
  <r>
    <x v="541"/>
    <x v="1"/>
    <x v="2"/>
    <x v="3"/>
    <n v="952"/>
    <n v="3170"/>
    <n v="5"/>
    <n v="-2218"/>
    <n v="-2.3298319327731094"/>
    <n v="2022"/>
  </r>
  <r>
    <x v="143"/>
    <x v="1"/>
    <x v="2"/>
    <x v="0"/>
    <n v="12653"/>
    <n v="11692"/>
    <n v="20"/>
    <n v="961"/>
    <n v="7.5950367501778235E-2"/>
    <n v="2024"/>
  </r>
  <r>
    <x v="542"/>
    <x v="2"/>
    <x v="0"/>
    <x v="0"/>
    <n v="7037"/>
    <n v="11328"/>
    <n v="10"/>
    <n v="-4291"/>
    <n v="-0.60977689356259768"/>
    <n v="2023"/>
  </r>
  <r>
    <x v="543"/>
    <x v="3"/>
    <x v="3"/>
    <x v="3"/>
    <n v="14333"/>
    <n v="592"/>
    <n v="10"/>
    <n v="13741"/>
    <n v="0.9586967138770669"/>
    <n v="2022"/>
  </r>
  <r>
    <x v="544"/>
    <x v="0"/>
    <x v="3"/>
    <x v="1"/>
    <n v="1881"/>
    <n v="10143"/>
    <n v="20"/>
    <n v="-8262"/>
    <n v="-4.3923444976076551"/>
    <n v="2023"/>
  </r>
  <r>
    <x v="136"/>
    <x v="3"/>
    <x v="0"/>
    <x v="0"/>
    <n v="8654"/>
    <n v="9028"/>
    <n v="10"/>
    <n v="-374"/>
    <n v="-4.3217009475387105E-2"/>
    <n v="2022"/>
  </r>
  <r>
    <x v="545"/>
    <x v="2"/>
    <x v="3"/>
    <x v="1"/>
    <n v="1967"/>
    <n v="2986"/>
    <n v="10"/>
    <n v="-1019"/>
    <n v="-0.51804778851042199"/>
    <n v="2022"/>
  </r>
  <r>
    <x v="546"/>
    <x v="0"/>
    <x v="1"/>
    <x v="2"/>
    <n v="13939"/>
    <n v="533"/>
    <n v="5"/>
    <n v="13406"/>
    <n v="0.96176196283808024"/>
    <n v="2023"/>
  </r>
  <r>
    <x v="438"/>
    <x v="2"/>
    <x v="3"/>
    <x v="1"/>
    <n v="3238"/>
    <n v="11144"/>
    <n v="10"/>
    <n v="-7906"/>
    <n v="-2.4416306361951823"/>
    <n v="2022"/>
  </r>
  <r>
    <x v="323"/>
    <x v="1"/>
    <x v="0"/>
    <x v="3"/>
    <n v="8072"/>
    <n v="2674"/>
    <n v="20"/>
    <n v="5398"/>
    <n v="0.66873141724479679"/>
    <n v="2022"/>
  </r>
  <r>
    <x v="245"/>
    <x v="1"/>
    <x v="0"/>
    <x v="2"/>
    <n v="9908"/>
    <n v="2572"/>
    <n v="0"/>
    <n v="7336"/>
    <n v="0.74041178845377476"/>
    <n v="2023"/>
  </r>
  <r>
    <x v="547"/>
    <x v="2"/>
    <x v="1"/>
    <x v="0"/>
    <n v="7247"/>
    <n v="1266"/>
    <n v="0"/>
    <n v="5981"/>
    <n v="0.82530702359597075"/>
    <n v="2022"/>
  </r>
  <r>
    <x v="548"/>
    <x v="0"/>
    <x v="2"/>
    <x v="0"/>
    <n v="1380"/>
    <n v="1189"/>
    <n v="0"/>
    <n v="191"/>
    <n v="0.13840579710144926"/>
    <n v="2022"/>
  </r>
  <r>
    <x v="549"/>
    <x v="0"/>
    <x v="0"/>
    <x v="2"/>
    <n v="12506"/>
    <n v="4163"/>
    <n v="20"/>
    <n v="8343"/>
    <n v="0.66711978250439785"/>
    <n v="2024"/>
  </r>
  <r>
    <x v="550"/>
    <x v="3"/>
    <x v="1"/>
    <x v="1"/>
    <n v="3649"/>
    <n v="6454"/>
    <n v="0"/>
    <n v="-2805"/>
    <n v="-0.76870375445327488"/>
    <n v="2022"/>
  </r>
  <r>
    <x v="551"/>
    <x v="1"/>
    <x v="3"/>
    <x v="0"/>
    <n v="8776"/>
    <n v="3700"/>
    <n v="5"/>
    <n v="5076"/>
    <n v="0.57839562443026438"/>
    <n v="2024"/>
  </r>
  <r>
    <x v="314"/>
    <x v="3"/>
    <x v="3"/>
    <x v="3"/>
    <n v="13841"/>
    <n v="8526"/>
    <n v="20"/>
    <n v="5315"/>
    <n v="0.38400404595043713"/>
    <n v="2023"/>
  </r>
  <r>
    <x v="423"/>
    <x v="3"/>
    <x v="1"/>
    <x v="2"/>
    <n v="8392"/>
    <n v="4842"/>
    <n v="20"/>
    <n v="3550"/>
    <n v="0.42302192564346996"/>
    <n v="2022"/>
  </r>
  <r>
    <x v="552"/>
    <x v="2"/>
    <x v="1"/>
    <x v="3"/>
    <n v="4644"/>
    <n v="3823"/>
    <n v="20"/>
    <n v="821"/>
    <n v="0.17678725236864773"/>
    <n v="2022"/>
  </r>
  <r>
    <x v="553"/>
    <x v="2"/>
    <x v="0"/>
    <x v="2"/>
    <n v="1668"/>
    <n v="2063"/>
    <n v="10"/>
    <n v="-395"/>
    <n v="-0.236810551558753"/>
    <n v="2022"/>
  </r>
  <r>
    <x v="41"/>
    <x v="3"/>
    <x v="3"/>
    <x v="0"/>
    <n v="12856"/>
    <n v="3591"/>
    <n v="10"/>
    <n v="9265"/>
    <n v="0.72067517112632229"/>
    <n v="2024"/>
  </r>
  <r>
    <x v="554"/>
    <x v="1"/>
    <x v="1"/>
    <x v="1"/>
    <n v="3629"/>
    <n v="2788"/>
    <n v="10"/>
    <n v="841"/>
    <n v="0.23174428217139709"/>
    <n v="2022"/>
  </r>
  <r>
    <x v="242"/>
    <x v="2"/>
    <x v="3"/>
    <x v="2"/>
    <n v="4145"/>
    <n v="11192"/>
    <n v="15"/>
    <n v="-7047"/>
    <n v="-1.7001206272617611"/>
    <n v="2022"/>
  </r>
  <r>
    <x v="555"/>
    <x v="3"/>
    <x v="1"/>
    <x v="2"/>
    <n v="3026"/>
    <n v="1858"/>
    <n v="5"/>
    <n v="1168"/>
    <n v="0.38598810310641113"/>
    <n v="2022"/>
  </r>
  <r>
    <x v="230"/>
    <x v="3"/>
    <x v="3"/>
    <x v="3"/>
    <n v="11559"/>
    <n v="4990"/>
    <n v="20"/>
    <n v="6569"/>
    <n v="0.5683017562072844"/>
    <n v="2024"/>
  </r>
  <r>
    <x v="39"/>
    <x v="3"/>
    <x v="2"/>
    <x v="0"/>
    <n v="4016"/>
    <n v="6421"/>
    <n v="20"/>
    <n v="-2405"/>
    <n v="-0.59885458167330674"/>
    <n v="2024"/>
  </r>
  <r>
    <x v="556"/>
    <x v="3"/>
    <x v="0"/>
    <x v="3"/>
    <n v="3867"/>
    <n v="2576"/>
    <n v="10"/>
    <n v="1291"/>
    <n v="0.33385053012671323"/>
    <n v="2024"/>
  </r>
  <r>
    <x v="131"/>
    <x v="3"/>
    <x v="3"/>
    <x v="0"/>
    <n v="14489"/>
    <n v="4739"/>
    <n v="20"/>
    <n v="9750"/>
    <n v="0.67292428739043408"/>
    <n v="2022"/>
  </r>
  <r>
    <x v="447"/>
    <x v="3"/>
    <x v="2"/>
    <x v="3"/>
    <n v="7838"/>
    <n v="1403"/>
    <n v="20"/>
    <n v="6435"/>
    <n v="0.82100025516713449"/>
    <n v="2022"/>
  </r>
  <r>
    <x v="557"/>
    <x v="2"/>
    <x v="3"/>
    <x v="2"/>
    <n v="14386"/>
    <n v="7820"/>
    <n v="0"/>
    <n v="6566"/>
    <n v="0.45641595996107326"/>
    <n v="2022"/>
  </r>
  <r>
    <x v="558"/>
    <x v="1"/>
    <x v="3"/>
    <x v="3"/>
    <n v="10886"/>
    <n v="9911"/>
    <n v="20"/>
    <n v="975"/>
    <n v="8.9564578357523419E-2"/>
    <n v="2023"/>
  </r>
  <r>
    <x v="367"/>
    <x v="3"/>
    <x v="2"/>
    <x v="1"/>
    <n v="4055"/>
    <n v="5709"/>
    <n v="15"/>
    <n v="-1654"/>
    <n v="-0.40789149198520347"/>
    <n v="2023"/>
  </r>
  <r>
    <x v="281"/>
    <x v="0"/>
    <x v="3"/>
    <x v="0"/>
    <n v="14657"/>
    <n v="9970"/>
    <n v="10"/>
    <n v="4687"/>
    <n v="0.319778945213891"/>
    <n v="2023"/>
  </r>
  <r>
    <x v="559"/>
    <x v="2"/>
    <x v="3"/>
    <x v="0"/>
    <n v="5611"/>
    <n v="8169"/>
    <n v="5"/>
    <n v="-2558"/>
    <n v="-0.45589021564783461"/>
    <n v="2024"/>
  </r>
  <r>
    <x v="342"/>
    <x v="2"/>
    <x v="0"/>
    <x v="2"/>
    <n v="7252"/>
    <n v="3256"/>
    <n v="5"/>
    <n v="3996"/>
    <n v="0.55102040816326525"/>
    <n v="2024"/>
  </r>
  <r>
    <x v="56"/>
    <x v="3"/>
    <x v="2"/>
    <x v="0"/>
    <n v="945"/>
    <n v="8010"/>
    <n v="0"/>
    <n v="-7065"/>
    <n v="-7.4761904761904763"/>
    <n v="2022"/>
  </r>
  <r>
    <x v="201"/>
    <x v="2"/>
    <x v="2"/>
    <x v="1"/>
    <n v="6864"/>
    <n v="6317"/>
    <n v="5"/>
    <n v="547"/>
    <n v="7.9691142191142192E-2"/>
    <n v="2024"/>
  </r>
  <r>
    <x v="560"/>
    <x v="3"/>
    <x v="1"/>
    <x v="3"/>
    <n v="4126"/>
    <n v="9874"/>
    <n v="5"/>
    <n v="-5748"/>
    <n v="-1.3931168201648085"/>
    <n v="2023"/>
  </r>
  <r>
    <x v="261"/>
    <x v="1"/>
    <x v="3"/>
    <x v="2"/>
    <n v="4516"/>
    <n v="11066"/>
    <n v="10"/>
    <n v="-6550"/>
    <n v="-1.4503985828166519"/>
    <n v="2022"/>
  </r>
  <r>
    <x v="354"/>
    <x v="1"/>
    <x v="0"/>
    <x v="1"/>
    <n v="4375"/>
    <n v="3684"/>
    <n v="10"/>
    <n v="691"/>
    <n v="0.15794285714285713"/>
    <n v="2024"/>
  </r>
  <r>
    <x v="506"/>
    <x v="2"/>
    <x v="3"/>
    <x v="0"/>
    <n v="5997"/>
    <n v="10061"/>
    <n v="15"/>
    <n v="-4064"/>
    <n v="-0.67767216941804231"/>
    <n v="2022"/>
  </r>
  <r>
    <x v="537"/>
    <x v="2"/>
    <x v="3"/>
    <x v="0"/>
    <n v="12029"/>
    <n v="10386"/>
    <n v="0"/>
    <n v="1643"/>
    <n v="0.13658658242580429"/>
    <n v="2023"/>
  </r>
  <r>
    <x v="561"/>
    <x v="0"/>
    <x v="1"/>
    <x v="1"/>
    <n v="6738"/>
    <n v="10735"/>
    <n v="5"/>
    <n v="-3997"/>
    <n v="-0.59320273078064711"/>
    <n v="2022"/>
  </r>
  <r>
    <x v="35"/>
    <x v="2"/>
    <x v="3"/>
    <x v="3"/>
    <n v="761"/>
    <n v="10358"/>
    <n v="15"/>
    <n v="-9597"/>
    <n v="-12.611038107752957"/>
    <n v="2023"/>
  </r>
  <r>
    <x v="361"/>
    <x v="0"/>
    <x v="0"/>
    <x v="3"/>
    <n v="10540"/>
    <n v="328"/>
    <n v="0"/>
    <n v="10212"/>
    <n v="0.96888045540796963"/>
    <n v="2024"/>
  </r>
  <r>
    <x v="562"/>
    <x v="1"/>
    <x v="0"/>
    <x v="2"/>
    <n v="5492"/>
    <n v="9197"/>
    <n v="5"/>
    <n v="-3705"/>
    <n v="-0.67461762563729055"/>
    <n v="2022"/>
  </r>
  <r>
    <x v="51"/>
    <x v="1"/>
    <x v="1"/>
    <x v="0"/>
    <n v="13882"/>
    <n v="9512"/>
    <n v="5"/>
    <n v="4370"/>
    <n v="0.31479613888488689"/>
    <n v="2023"/>
  </r>
  <r>
    <x v="60"/>
    <x v="3"/>
    <x v="3"/>
    <x v="1"/>
    <n v="4525"/>
    <n v="10555"/>
    <n v="10"/>
    <n v="-6030"/>
    <n v="-1.332596685082873"/>
    <n v="2022"/>
  </r>
  <r>
    <x v="563"/>
    <x v="1"/>
    <x v="0"/>
    <x v="3"/>
    <n v="10958"/>
    <n v="9938"/>
    <n v="20"/>
    <n v="1020"/>
    <n v="9.3082679321043985E-2"/>
    <n v="2023"/>
  </r>
  <r>
    <x v="564"/>
    <x v="0"/>
    <x v="3"/>
    <x v="2"/>
    <n v="14344"/>
    <n v="8056"/>
    <n v="0"/>
    <n v="6288"/>
    <n v="0.43837144450641385"/>
    <n v="2024"/>
  </r>
  <r>
    <x v="565"/>
    <x v="2"/>
    <x v="3"/>
    <x v="0"/>
    <n v="8783"/>
    <n v="7248"/>
    <n v="5"/>
    <n v="1535"/>
    <n v="0.17476944096550154"/>
    <n v="2023"/>
  </r>
  <r>
    <x v="435"/>
    <x v="3"/>
    <x v="3"/>
    <x v="0"/>
    <n v="4722"/>
    <n v="11479"/>
    <n v="0"/>
    <n v="-6757"/>
    <n v="-1.4309614570097415"/>
    <n v="2024"/>
  </r>
  <r>
    <x v="251"/>
    <x v="0"/>
    <x v="1"/>
    <x v="2"/>
    <n v="4675"/>
    <n v="6055"/>
    <n v="15"/>
    <n v="-1380"/>
    <n v="-0.29518716577540105"/>
    <n v="2023"/>
  </r>
  <r>
    <x v="566"/>
    <x v="2"/>
    <x v="3"/>
    <x v="2"/>
    <n v="14635"/>
    <n v="3902"/>
    <n v="15"/>
    <n v="10733"/>
    <n v="0.7333788862316365"/>
    <n v="2022"/>
  </r>
  <r>
    <x v="217"/>
    <x v="3"/>
    <x v="0"/>
    <x v="3"/>
    <n v="12001"/>
    <n v="5362"/>
    <n v="20"/>
    <n v="6639"/>
    <n v="0.55320389967502703"/>
    <n v="2024"/>
  </r>
  <r>
    <x v="567"/>
    <x v="1"/>
    <x v="3"/>
    <x v="1"/>
    <n v="9674"/>
    <n v="8371"/>
    <n v="5"/>
    <n v="1303"/>
    <n v="0.1346909241265247"/>
    <n v="2023"/>
  </r>
  <r>
    <x v="515"/>
    <x v="0"/>
    <x v="0"/>
    <x v="0"/>
    <n v="3943"/>
    <n v="7544"/>
    <n v="10"/>
    <n v="-3601"/>
    <n v="-0.91326401217347197"/>
    <n v="2022"/>
  </r>
  <r>
    <x v="568"/>
    <x v="2"/>
    <x v="3"/>
    <x v="1"/>
    <n v="5511"/>
    <n v="6672"/>
    <n v="5"/>
    <n v="-1161"/>
    <n v="-0.21066956995100708"/>
    <n v="2024"/>
  </r>
  <r>
    <x v="92"/>
    <x v="3"/>
    <x v="0"/>
    <x v="0"/>
    <n v="11225"/>
    <n v="7405"/>
    <n v="0"/>
    <n v="3820"/>
    <n v="0.3403118040089087"/>
    <n v="2023"/>
  </r>
  <r>
    <x v="569"/>
    <x v="3"/>
    <x v="0"/>
    <x v="0"/>
    <n v="1193"/>
    <n v="11860"/>
    <n v="15"/>
    <n v="-10667"/>
    <n v="-8.9413243922883492"/>
    <n v="2024"/>
  </r>
  <r>
    <x v="182"/>
    <x v="1"/>
    <x v="3"/>
    <x v="1"/>
    <n v="12812"/>
    <n v="3881"/>
    <n v="0"/>
    <n v="8931"/>
    <n v="0.69708086169216354"/>
    <n v="2022"/>
  </r>
  <r>
    <x v="232"/>
    <x v="2"/>
    <x v="3"/>
    <x v="2"/>
    <n v="8847"/>
    <n v="3062"/>
    <n v="20"/>
    <n v="5785"/>
    <n v="0.65389397535887872"/>
    <n v="2024"/>
  </r>
  <r>
    <x v="150"/>
    <x v="1"/>
    <x v="0"/>
    <x v="3"/>
    <n v="12280"/>
    <n v="872"/>
    <n v="15"/>
    <n v="11408"/>
    <n v="0.92899022801302933"/>
    <n v="2022"/>
  </r>
  <r>
    <x v="570"/>
    <x v="1"/>
    <x v="2"/>
    <x v="0"/>
    <n v="2312"/>
    <n v="8005"/>
    <n v="10"/>
    <n v="-5693"/>
    <n v="-2.4623702422145328"/>
    <n v="2023"/>
  </r>
  <r>
    <x v="571"/>
    <x v="2"/>
    <x v="1"/>
    <x v="2"/>
    <n v="14341"/>
    <n v="914"/>
    <n v="15"/>
    <n v="13427"/>
    <n v="0.93626664807196147"/>
    <n v="2023"/>
  </r>
  <r>
    <x v="572"/>
    <x v="2"/>
    <x v="2"/>
    <x v="0"/>
    <n v="14754"/>
    <n v="4350"/>
    <n v="5"/>
    <n v="10404"/>
    <n v="0.70516470109800733"/>
    <n v="2023"/>
  </r>
  <r>
    <x v="108"/>
    <x v="2"/>
    <x v="2"/>
    <x v="3"/>
    <n v="14521"/>
    <n v="625"/>
    <n v="5"/>
    <n v="13896"/>
    <n v="0.95695888712898558"/>
    <n v="2024"/>
  </r>
  <r>
    <x v="573"/>
    <x v="0"/>
    <x v="3"/>
    <x v="0"/>
    <n v="13868"/>
    <n v="4040"/>
    <n v="15"/>
    <n v="9828"/>
    <n v="0.70868185751370061"/>
    <n v="2023"/>
  </r>
  <r>
    <x v="574"/>
    <x v="2"/>
    <x v="1"/>
    <x v="3"/>
    <n v="6224"/>
    <n v="658"/>
    <n v="20"/>
    <n v="5566"/>
    <n v="0.89428020565552702"/>
    <n v="2024"/>
  </r>
  <r>
    <x v="575"/>
    <x v="3"/>
    <x v="2"/>
    <x v="3"/>
    <n v="12806"/>
    <n v="4077"/>
    <n v="5"/>
    <n v="8729"/>
    <n v="0.68163360924566607"/>
    <n v="2023"/>
  </r>
  <r>
    <x v="576"/>
    <x v="1"/>
    <x v="3"/>
    <x v="0"/>
    <n v="1907"/>
    <n v="6206"/>
    <n v="5"/>
    <n v="-4299"/>
    <n v="-2.2543261667540642"/>
    <n v="2022"/>
  </r>
  <r>
    <x v="577"/>
    <x v="0"/>
    <x v="2"/>
    <x v="0"/>
    <n v="8532"/>
    <n v="10863"/>
    <n v="10"/>
    <n v="-2331"/>
    <n v="-0.27320675105485231"/>
    <n v="2023"/>
  </r>
  <r>
    <x v="113"/>
    <x v="2"/>
    <x v="2"/>
    <x v="3"/>
    <n v="9908"/>
    <n v="2021"/>
    <n v="15"/>
    <n v="7887"/>
    <n v="0.79602341542188126"/>
    <n v="2024"/>
  </r>
  <r>
    <x v="289"/>
    <x v="0"/>
    <x v="3"/>
    <x v="2"/>
    <n v="1910"/>
    <n v="1649"/>
    <n v="5"/>
    <n v="261"/>
    <n v="0.13664921465968585"/>
    <n v="2024"/>
  </r>
  <r>
    <x v="578"/>
    <x v="2"/>
    <x v="3"/>
    <x v="1"/>
    <n v="3997"/>
    <n v="3996"/>
    <n v="20"/>
    <n v="1"/>
    <n v="2.501876407305479E-4"/>
    <n v="2024"/>
  </r>
  <r>
    <x v="80"/>
    <x v="0"/>
    <x v="3"/>
    <x v="3"/>
    <n v="4872"/>
    <n v="4196"/>
    <n v="0"/>
    <n v="676"/>
    <n v="0.13875205254515599"/>
    <n v="2022"/>
  </r>
  <r>
    <x v="579"/>
    <x v="1"/>
    <x v="1"/>
    <x v="0"/>
    <n v="7894"/>
    <n v="4560"/>
    <n v="15"/>
    <n v="3334"/>
    <n v="0.42234608563465925"/>
    <n v="2022"/>
  </r>
  <r>
    <x v="580"/>
    <x v="1"/>
    <x v="2"/>
    <x v="0"/>
    <n v="13532"/>
    <n v="10088"/>
    <n v="10"/>
    <n v="3444"/>
    <n v="0.2545078332840674"/>
    <n v="2023"/>
  </r>
  <r>
    <x v="581"/>
    <x v="3"/>
    <x v="3"/>
    <x v="2"/>
    <n v="1051"/>
    <n v="10119"/>
    <n v="5"/>
    <n v="-9068"/>
    <n v="-8.6279733587059937"/>
    <n v="2023"/>
  </r>
  <r>
    <x v="582"/>
    <x v="3"/>
    <x v="0"/>
    <x v="1"/>
    <n v="12086"/>
    <n v="7241"/>
    <n v="20"/>
    <n v="4845"/>
    <n v="0.40087704782392852"/>
    <n v="2024"/>
  </r>
  <r>
    <x v="11"/>
    <x v="2"/>
    <x v="2"/>
    <x v="3"/>
    <n v="9868"/>
    <n v="10994"/>
    <n v="15"/>
    <n v="-1126"/>
    <n v="-0.11410620186461289"/>
    <n v="2024"/>
  </r>
  <r>
    <x v="396"/>
    <x v="1"/>
    <x v="0"/>
    <x v="3"/>
    <n v="13426"/>
    <n v="4108"/>
    <n v="20"/>
    <n v="9318"/>
    <n v="0.69402651571577534"/>
    <n v="2024"/>
  </r>
  <r>
    <x v="518"/>
    <x v="0"/>
    <x v="1"/>
    <x v="1"/>
    <n v="4832"/>
    <n v="5546"/>
    <n v="20"/>
    <n v="-714"/>
    <n v="-0.14776490066225165"/>
    <n v="2022"/>
  </r>
  <r>
    <x v="583"/>
    <x v="0"/>
    <x v="3"/>
    <x v="3"/>
    <n v="1497"/>
    <n v="8684"/>
    <n v="10"/>
    <n v="-7187"/>
    <n v="-4.8009352037408153"/>
    <n v="2022"/>
  </r>
  <r>
    <x v="357"/>
    <x v="0"/>
    <x v="0"/>
    <x v="1"/>
    <n v="4576"/>
    <n v="11166"/>
    <n v="15"/>
    <n v="-6590"/>
    <n v="-1.4401223776223777"/>
    <n v="2024"/>
  </r>
  <r>
    <x v="72"/>
    <x v="3"/>
    <x v="1"/>
    <x v="0"/>
    <n v="14890"/>
    <n v="4145"/>
    <n v="5"/>
    <n v="10745"/>
    <n v="0.72162525184687709"/>
    <n v="2022"/>
  </r>
  <r>
    <x v="265"/>
    <x v="0"/>
    <x v="3"/>
    <x v="1"/>
    <n v="6599"/>
    <n v="2877"/>
    <n v="10"/>
    <n v="3722"/>
    <n v="0.56402485225034094"/>
    <n v="2022"/>
  </r>
  <r>
    <x v="584"/>
    <x v="3"/>
    <x v="0"/>
    <x v="3"/>
    <n v="6055"/>
    <n v="391"/>
    <n v="5"/>
    <n v="5664"/>
    <n v="0.93542526837324524"/>
    <n v="2022"/>
  </r>
  <r>
    <x v="585"/>
    <x v="3"/>
    <x v="0"/>
    <x v="1"/>
    <n v="11423"/>
    <n v="4534"/>
    <n v="0"/>
    <n v="6889"/>
    <n v="0.60308150223233825"/>
    <n v="2024"/>
  </r>
  <r>
    <x v="586"/>
    <x v="2"/>
    <x v="1"/>
    <x v="2"/>
    <n v="14944"/>
    <n v="8972"/>
    <n v="20"/>
    <n v="5972"/>
    <n v="0.39962526766595291"/>
    <n v="2022"/>
  </r>
  <r>
    <x v="442"/>
    <x v="0"/>
    <x v="3"/>
    <x v="0"/>
    <n v="12629"/>
    <n v="6892"/>
    <n v="0"/>
    <n v="5737"/>
    <n v="0.4542719138490775"/>
    <n v="2022"/>
  </r>
  <r>
    <x v="587"/>
    <x v="0"/>
    <x v="3"/>
    <x v="0"/>
    <n v="4552"/>
    <n v="11408"/>
    <n v="20"/>
    <n v="-6856"/>
    <n v="-1.5061511423550087"/>
    <n v="2023"/>
  </r>
  <r>
    <x v="588"/>
    <x v="1"/>
    <x v="0"/>
    <x v="1"/>
    <n v="5803"/>
    <n v="8428"/>
    <n v="10"/>
    <n v="-2625"/>
    <n v="-0.45235223160434257"/>
    <n v="2024"/>
  </r>
  <r>
    <x v="488"/>
    <x v="2"/>
    <x v="0"/>
    <x v="3"/>
    <n v="8618"/>
    <n v="1375"/>
    <n v="5"/>
    <n v="7243"/>
    <n v="0.84045022046878626"/>
    <n v="2024"/>
  </r>
  <r>
    <x v="469"/>
    <x v="1"/>
    <x v="0"/>
    <x v="2"/>
    <n v="14179"/>
    <n v="2813"/>
    <n v="5"/>
    <n v="11366"/>
    <n v="0.80160801184850838"/>
    <n v="2022"/>
  </r>
  <r>
    <x v="589"/>
    <x v="2"/>
    <x v="3"/>
    <x v="0"/>
    <n v="6602"/>
    <n v="8468"/>
    <n v="10"/>
    <n v="-1866"/>
    <n v="-0.28264162375037866"/>
    <n v="2022"/>
  </r>
  <r>
    <x v="7"/>
    <x v="0"/>
    <x v="1"/>
    <x v="0"/>
    <n v="14009"/>
    <n v="7161"/>
    <n v="15"/>
    <n v="6848"/>
    <n v="0.48882861017917051"/>
    <n v="2024"/>
  </r>
  <r>
    <x v="577"/>
    <x v="3"/>
    <x v="1"/>
    <x v="3"/>
    <n v="5990"/>
    <n v="9290"/>
    <n v="0"/>
    <n v="-3300"/>
    <n v="-0.55091819699499167"/>
    <n v="2023"/>
  </r>
  <r>
    <x v="590"/>
    <x v="3"/>
    <x v="3"/>
    <x v="3"/>
    <n v="9064"/>
    <n v="904"/>
    <n v="0"/>
    <n v="8160"/>
    <n v="0.90026478375992935"/>
    <n v="2023"/>
  </r>
  <r>
    <x v="302"/>
    <x v="3"/>
    <x v="2"/>
    <x v="2"/>
    <n v="6116"/>
    <n v="3279"/>
    <n v="5"/>
    <n v="2837"/>
    <n v="0.46386527141922823"/>
    <n v="2022"/>
  </r>
  <r>
    <x v="396"/>
    <x v="3"/>
    <x v="1"/>
    <x v="1"/>
    <n v="2748"/>
    <n v="7440"/>
    <n v="5"/>
    <n v="-4692"/>
    <n v="-1.7074235807860263"/>
    <n v="2024"/>
  </r>
  <r>
    <x v="168"/>
    <x v="3"/>
    <x v="0"/>
    <x v="3"/>
    <n v="1348"/>
    <n v="7365"/>
    <n v="5"/>
    <n v="-6017"/>
    <n v="-4.4636498516320477"/>
    <n v="2022"/>
  </r>
  <r>
    <x v="214"/>
    <x v="1"/>
    <x v="2"/>
    <x v="1"/>
    <n v="11248"/>
    <n v="5216"/>
    <n v="10"/>
    <n v="6032"/>
    <n v="0.5362731152204836"/>
    <n v="2022"/>
  </r>
  <r>
    <x v="511"/>
    <x v="2"/>
    <x v="2"/>
    <x v="2"/>
    <n v="14133"/>
    <n v="7100"/>
    <n v="15"/>
    <n v="7033"/>
    <n v="0.4976296610769122"/>
    <n v="2022"/>
  </r>
  <r>
    <x v="347"/>
    <x v="0"/>
    <x v="1"/>
    <x v="1"/>
    <n v="11014"/>
    <n v="897"/>
    <n v="0"/>
    <n v="10117"/>
    <n v="0.91855819865625565"/>
    <n v="2023"/>
  </r>
  <r>
    <x v="297"/>
    <x v="1"/>
    <x v="2"/>
    <x v="0"/>
    <n v="6854"/>
    <n v="10024"/>
    <n v="20"/>
    <n v="-3170"/>
    <n v="-0.46250364750510653"/>
    <n v="2022"/>
  </r>
  <r>
    <x v="591"/>
    <x v="2"/>
    <x v="2"/>
    <x v="1"/>
    <n v="9195"/>
    <n v="7620"/>
    <n v="10"/>
    <n v="1575"/>
    <n v="0.17128874388254486"/>
    <n v="2022"/>
  </r>
  <r>
    <x v="26"/>
    <x v="3"/>
    <x v="1"/>
    <x v="2"/>
    <n v="8570"/>
    <n v="9005"/>
    <n v="0"/>
    <n v="-435"/>
    <n v="-5.0758459743290546E-2"/>
    <n v="2024"/>
  </r>
  <r>
    <x v="592"/>
    <x v="2"/>
    <x v="1"/>
    <x v="2"/>
    <n v="11881"/>
    <n v="5922"/>
    <n v="15"/>
    <n v="5959"/>
    <n v="0.50155710798754316"/>
    <n v="2024"/>
  </r>
  <r>
    <x v="217"/>
    <x v="2"/>
    <x v="2"/>
    <x v="2"/>
    <n v="9394"/>
    <n v="2177"/>
    <n v="10"/>
    <n v="7217"/>
    <n v="0.76825633383010428"/>
    <n v="2024"/>
  </r>
  <r>
    <x v="237"/>
    <x v="3"/>
    <x v="0"/>
    <x v="1"/>
    <n v="4125"/>
    <n v="1999"/>
    <n v="0"/>
    <n v="2126"/>
    <n v="0.5153939393939394"/>
    <n v="2024"/>
  </r>
  <r>
    <x v="593"/>
    <x v="3"/>
    <x v="3"/>
    <x v="0"/>
    <n v="14877"/>
    <n v="9521"/>
    <n v="10"/>
    <n v="5356"/>
    <n v="0.36001882099885729"/>
    <n v="2023"/>
  </r>
  <r>
    <x v="260"/>
    <x v="3"/>
    <x v="2"/>
    <x v="3"/>
    <n v="814"/>
    <n v="6080"/>
    <n v="0"/>
    <n v="-5266"/>
    <n v="-6.4692874692874689"/>
    <n v="2024"/>
  </r>
  <r>
    <x v="594"/>
    <x v="0"/>
    <x v="2"/>
    <x v="0"/>
    <n v="2876"/>
    <n v="1016"/>
    <n v="0"/>
    <n v="1860"/>
    <n v="0.64673157162726014"/>
    <n v="2022"/>
  </r>
  <r>
    <x v="595"/>
    <x v="3"/>
    <x v="0"/>
    <x v="1"/>
    <n v="9732"/>
    <n v="4386"/>
    <n v="15"/>
    <n v="5346"/>
    <n v="0.54932182490752157"/>
    <n v="2024"/>
  </r>
  <r>
    <x v="596"/>
    <x v="0"/>
    <x v="2"/>
    <x v="1"/>
    <n v="4878"/>
    <n v="965"/>
    <n v="20"/>
    <n v="3913"/>
    <n v="0.80217302173021732"/>
    <n v="2024"/>
  </r>
  <r>
    <x v="597"/>
    <x v="3"/>
    <x v="2"/>
    <x v="3"/>
    <n v="11682"/>
    <n v="8146"/>
    <n v="15"/>
    <n v="3536"/>
    <n v="0.30268789590823492"/>
    <n v="2022"/>
  </r>
  <r>
    <x v="293"/>
    <x v="0"/>
    <x v="3"/>
    <x v="1"/>
    <n v="8949"/>
    <n v="6911"/>
    <n v="0"/>
    <n v="2038"/>
    <n v="0.22773494245167059"/>
    <n v="2024"/>
  </r>
  <r>
    <x v="483"/>
    <x v="2"/>
    <x v="3"/>
    <x v="2"/>
    <n v="1074"/>
    <n v="10700"/>
    <n v="10"/>
    <n v="-9626"/>
    <n v="-8.9627560521415273"/>
    <n v="2023"/>
  </r>
  <r>
    <x v="598"/>
    <x v="1"/>
    <x v="3"/>
    <x v="2"/>
    <n v="13361"/>
    <n v="1379"/>
    <n v="15"/>
    <n v="11982"/>
    <n v="0.89678916248783769"/>
    <n v="2024"/>
  </r>
  <r>
    <x v="250"/>
    <x v="2"/>
    <x v="1"/>
    <x v="2"/>
    <n v="13830"/>
    <n v="8719"/>
    <n v="20"/>
    <n v="5111"/>
    <n v="0.36955892986261751"/>
    <n v="2022"/>
  </r>
  <r>
    <x v="599"/>
    <x v="2"/>
    <x v="1"/>
    <x v="2"/>
    <n v="10244"/>
    <n v="8640"/>
    <n v="0"/>
    <n v="1604"/>
    <n v="0.15657946114798907"/>
    <n v="2024"/>
  </r>
  <r>
    <x v="600"/>
    <x v="3"/>
    <x v="3"/>
    <x v="2"/>
    <n v="13210"/>
    <n v="1369"/>
    <n v="15"/>
    <n v="11841"/>
    <n v="0.89636638909916733"/>
    <n v="2024"/>
  </r>
  <r>
    <x v="601"/>
    <x v="0"/>
    <x v="3"/>
    <x v="1"/>
    <n v="6085"/>
    <n v="5563"/>
    <n v="15"/>
    <n v="522"/>
    <n v="8.5784716516023013E-2"/>
    <n v="2024"/>
  </r>
  <r>
    <x v="575"/>
    <x v="1"/>
    <x v="1"/>
    <x v="3"/>
    <n v="5992"/>
    <n v="8251"/>
    <n v="15"/>
    <n v="-2259"/>
    <n v="-0.37700267022696932"/>
    <n v="2023"/>
  </r>
  <r>
    <x v="602"/>
    <x v="3"/>
    <x v="0"/>
    <x v="3"/>
    <n v="9449"/>
    <n v="1663"/>
    <n v="15"/>
    <n v="7786"/>
    <n v="0.82400253995131756"/>
    <n v="2024"/>
  </r>
  <r>
    <x v="603"/>
    <x v="3"/>
    <x v="2"/>
    <x v="2"/>
    <n v="3310"/>
    <n v="4808"/>
    <n v="10"/>
    <n v="-1498"/>
    <n v="-0.45256797583081571"/>
    <n v="2024"/>
  </r>
  <r>
    <x v="387"/>
    <x v="3"/>
    <x v="2"/>
    <x v="1"/>
    <n v="8634"/>
    <n v="2055"/>
    <n v="20"/>
    <n v="6579"/>
    <n v="0.76198749131341215"/>
    <n v="2024"/>
  </r>
  <r>
    <x v="604"/>
    <x v="2"/>
    <x v="3"/>
    <x v="0"/>
    <n v="9796"/>
    <n v="819"/>
    <n v="20"/>
    <n v="8977"/>
    <n v="0.91639444671294401"/>
    <n v="2023"/>
  </r>
  <r>
    <x v="605"/>
    <x v="0"/>
    <x v="0"/>
    <x v="0"/>
    <n v="6170"/>
    <n v="5763"/>
    <n v="0"/>
    <n v="407"/>
    <n v="6.59643435980551E-2"/>
    <n v="2023"/>
  </r>
  <r>
    <x v="268"/>
    <x v="0"/>
    <x v="1"/>
    <x v="1"/>
    <n v="8215"/>
    <n v="10814"/>
    <n v="5"/>
    <n v="-2599"/>
    <n v="-0.31637248934875228"/>
    <n v="2024"/>
  </r>
  <r>
    <x v="606"/>
    <x v="1"/>
    <x v="3"/>
    <x v="2"/>
    <n v="7067"/>
    <n v="7533"/>
    <n v="10"/>
    <n v="-466"/>
    <n v="-6.5940285835573792E-2"/>
    <n v="2023"/>
  </r>
  <r>
    <x v="607"/>
    <x v="0"/>
    <x v="0"/>
    <x v="3"/>
    <n v="13216"/>
    <n v="1402"/>
    <n v="0"/>
    <n v="11814"/>
    <n v="0.89391646489104115"/>
    <n v="2024"/>
  </r>
  <r>
    <x v="54"/>
    <x v="0"/>
    <x v="0"/>
    <x v="1"/>
    <n v="3959"/>
    <n v="897"/>
    <n v="0"/>
    <n v="3062"/>
    <n v="0.77342763324071739"/>
    <n v="2022"/>
  </r>
  <r>
    <x v="608"/>
    <x v="3"/>
    <x v="0"/>
    <x v="0"/>
    <n v="6617"/>
    <n v="3573"/>
    <n v="15"/>
    <n v="3044"/>
    <n v="0.46002720265981561"/>
    <n v="2022"/>
  </r>
  <r>
    <x v="278"/>
    <x v="3"/>
    <x v="1"/>
    <x v="0"/>
    <n v="4492"/>
    <n v="6081"/>
    <n v="5"/>
    <n v="-1589"/>
    <n v="-0.35373998219056102"/>
    <n v="2022"/>
  </r>
  <r>
    <x v="609"/>
    <x v="2"/>
    <x v="1"/>
    <x v="0"/>
    <n v="8337"/>
    <n v="11097"/>
    <n v="5"/>
    <n v="-2760"/>
    <n v="-0.33105433609211948"/>
    <n v="2024"/>
  </r>
  <r>
    <x v="251"/>
    <x v="3"/>
    <x v="2"/>
    <x v="2"/>
    <n v="703"/>
    <n v="6556"/>
    <n v="10"/>
    <n v="-5853"/>
    <n v="-8.3257467994310108"/>
    <n v="2023"/>
  </r>
  <r>
    <x v="610"/>
    <x v="3"/>
    <x v="2"/>
    <x v="0"/>
    <n v="3275"/>
    <n v="7558"/>
    <n v="5"/>
    <n v="-4283"/>
    <n v="-1.3077862595419847"/>
    <n v="2022"/>
  </r>
  <r>
    <x v="514"/>
    <x v="3"/>
    <x v="0"/>
    <x v="1"/>
    <n v="11024"/>
    <n v="10680"/>
    <n v="0"/>
    <n v="344"/>
    <n v="3.1204644412191583E-2"/>
    <n v="2023"/>
  </r>
  <r>
    <x v="452"/>
    <x v="3"/>
    <x v="0"/>
    <x v="1"/>
    <n v="2492"/>
    <n v="9080"/>
    <n v="5"/>
    <n v="-6588"/>
    <n v="-2.6436597110754416"/>
    <n v="2022"/>
  </r>
  <r>
    <x v="12"/>
    <x v="2"/>
    <x v="1"/>
    <x v="0"/>
    <n v="2743"/>
    <n v="6854"/>
    <n v="5"/>
    <n v="-4111"/>
    <n v="-1.4987240247903755"/>
    <n v="2023"/>
  </r>
  <r>
    <x v="20"/>
    <x v="3"/>
    <x v="2"/>
    <x v="1"/>
    <n v="8998"/>
    <n v="9899"/>
    <n v="20"/>
    <n v="-901"/>
    <n v="-0.10013336296954879"/>
    <n v="2023"/>
  </r>
  <r>
    <x v="326"/>
    <x v="1"/>
    <x v="0"/>
    <x v="0"/>
    <n v="2187"/>
    <n v="8302"/>
    <n v="0"/>
    <n v="-6115"/>
    <n v="-2.7960676726108824"/>
    <n v="2023"/>
  </r>
  <r>
    <x v="611"/>
    <x v="1"/>
    <x v="2"/>
    <x v="0"/>
    <n v="4609"/>
    <n v="5146"/>
    <n v="5"/>
    <n v="-537"/>
    <n v="-0.11651117379041007"/>
    <n v="2022"/>
  </r>
  <r>
    <x v="191"/>
    <x v="1"/>
    <x v="2"/>
    <x v="3"/>
    <n v="2360"/>
    <n v="11882"/>
    <n v="5"/>
    <n v="-9522"/>
    <n v="-4.0347457627118644"/>
    <n v="2023"/>
  </r>
  <r>
    <x v="612"/>
    <x v="1"/>
    <x v="0"/>
    <x v="2"/>
    <n v="10653"/>
    <n v="11932"/>
    <n v="15"/>
    <n v="-1279"/>
    <n v="-0.12006007697362245"/>
    <n v="2024"/>
  </r>
  <r>
    <x v="158"/>
    <x v="3"/>
    <x v="1"/>
    <x v="2"/>
    <n v="5676"/>
    <n v="10121"/>
    <n v="5"/>
    <n v="-4445"/>
    <n v="-0.78312191684284704"/>
    <n v="2024"/>
  </r>
  <r>
    <x v="378"/>
    <x v="1"/>
    <x v="0"/>
    <x v="3"/>
    <n v="1222"/>
    <n v="9486"/>
    <n v="5"/>
    <n v="-8264"/>
    <n v="-6.7626841243862517"/>
    <n v="2024"/>
  </r>
  <r>
    <x v="450"/>
    <x v="3"/>
    <x v="0"/>
    <x v="3"/>
    <n v="9471"/>
    <n v="5098"/>
    <n v="20"/>
    <n v="4373"/>
    <n v="0.46172526660331537"/>
    <n v="2024"/>
  </r>
  <r>
    <x v="132"/>
    <x v="2"/>
    <x v="2"/>
    <x v="2"/>
    <n v="14021"/>
    <n v="6905"/>
    <n v="0"/>
    <n v="7116"/>
    <n v="0.50752442764424788"/>
    <n v="2023"/>
  </r>
  <r>
    <x v="516"/>
    <x v="1"/>
    <x v="0"/>
    <x v="0"/>
    <n v="9220"/>
    <n v="10551"/>
    <n v="10"/>
    <n v="-1331"/>
    <n v="-0.14436008676789588"/>
    <n v="2022"/>
  </r>
  <r>
    <x v="129"/>
    <x v="0"/>
    <x v="1"/>
    <x v="0"/>
    <n v="5393"/>
    <n v="3286"/>
    <n v="0"/>
    <n v="2107"/>
    <n v="0.39069163730762096"/>
    <n v="2023"/>
  </r>
  <r>
    <x v="346"/>
    <x v="1"/>
    <x v="0"/>
    <x v="2"/>
    <n v="843"/>
    <n v="700"/>
    <n v="15"/>
    <n v="143"/>
    <n v="0.16963226571767498"/>
    <n v="2022"/>
  </r>
  <r>
    <x v="317"/>
    <x v="1"/>
    <x v="1"/>
    <x v="0"/>
    <n v="12478"/>
    <n v="3155"/>
    <n v="0"/>
    <n v="9323"/>
    <n v="0.74715499278730568"/>
    <n v="2022"/>
  </r>
  <r>
    <x v="429"/>
    <x v="3"/>
    <x v="1"/>
    <x v="3"/>
    <n v="12374"/>
    <n v="10716"/>
    <n v="5"/>
    <n v="1658"/>
    <n v="0.13399062550509133"/>
    <n v="2022"/>
  </r>
  <r>
    <x v="257"/>
    <x v="1"/>
    <x v="2"/>
    <x v="0"/>
    <n v="5898"/>
    <n v="3712"/>
    <n v="15"/>
    <n v="2186"/>
    <n v="0.3706341132587318"/>
    <n v="2024"/>
  </r>
  <r>
    <x v="524"/>
    <x v="0"/>
    <x v="3"/>
    <x v="0"/>
    <n v="8900"/>
    <n v="356"/>
    <n v="0"/>
    <n v="8544"/>
    <n v="0.96"/>
    <n v="2023"/>
  </r>
  <r>
    <x v="508"/>
    <x v="3"/>
    <x v="3"/>
    <x v="1"/>
    <n v="5236"/>
    <n v="8322"/>
    <n v="15"/>
    <n v="-3086"/>
    <n v="-0.5893812070282658"/>
    <n v="2023"/>
  </r>
  <r>
    <x v="613"/>
    <x v="3"/>
    <x v="2"/>
    <x v="1"/>
    <n v="3906"/>
    <n v="2175"/>
    <n v="10"/>
    <n v="1731"/>
    <n v="0.44316436251920122"/>
    <n v="2022"/>
  </r>
  <r>
    <x v="207"/>
    <x v="2"/>
    <x v="0"/>
    <x v="1"/>
    <n v="10003"/>
    <n v="4843"/>
    <n v="0"/>
    <n v="5160"/>
    <n v="0.51584524642607221"/>
    <n v="2024"/>
  </r>
  <r>
    <x v="614"/>
    <x v="2"/>
    <x v="2"/>
    <x v="0"/>
    <n v="10991"/>
    <n v="4598"/>
    <n v="5"/>
    <n v="6393"/>
    <n v="0.58165771995268856"/>
    <n v="2024"/>
  </r>
  <r>
    <x v="322"/>
    <x v="1"/>
    <x v="1"/>
    <x v="2"/>
    <n v="12028"/>
    <n v="4068"/>
    <n v="15"/>
    <n v="7960"/>
    <n v="0.66178915862986365"/>
    <n v="2024"/>
  </r>
  <r>
    <x v="431"/>
    <x v="2"/>
    <x v="3"/>
    <x v="3"/>
    <n v="10639"/>
    <n v="6052"/>
    <n v="20"/>
    <n v="4587"/>
    <n v="0.43114954413008744"/>
    <n v="2023"/>
  </r>
  <r>
    <x v="615"/>
    <x v="2"/>
    <x v="2"/>
    <x v="0"/>
    <n v="1419"/>
    <n v="5133"/>
    <n v="15"/>
    <n v="-3714"/>
    <n v="-2.617336152219873"/>
    <n v="2022"/>
  </r>
  <r>
    <x v="616"/>
    <x v="2"/>
    <x v="0"/>
    <x v="2"/>
    <n v="6319"/>
    <n v="1653"/>
    <n v="20"/>
    <n v="4666"/>
    <n v="0.73840797594556096"/>
    <n v="2022"/>
  </r>
  <r>
    <x v="384"/>
    <x v="3"/>
    <x v="2"/>
    <x v="0"/>
    <n v="2544"/>
    <n v="10902"/>
    <n v="5"/>
    <n v="-8358"/>
    <n v="-3.2853773584905661"/>
    <n v="2023"/>
  </r>
  <r>
    <x v="76"/>
    <x v="3"/>
    <x v="3"/>
    <x v="3"/>
    <n v="918"/>
    <n v="5287"/>
    <n v="10"/>
    <n v="-4369"/>
    <n v="-4.7592592592592595"/>
    <n v="2024"/>
  </r>
  <r>
    <x v="617"/>
    <x v="3"/>
    <x v="2"/>
    <x v="0"/>
    <n v="2249"/>
    <n v="6897"/>
    <n v="20"/>
    <n v="-4648"/>
    <n v="-2.0666963094708759"/>
    <n v="2023"/>
  </r>
  <r>
    <x v="618"/>
    <x v="2"/>
    <x v="2"/>
    <x v="3"/>
    <n v="11534"/>
    <n v="4611"/>
    <n v="10"/>
    <n v="6923"/>
    <n v="0.60022542049592509"/>
    <n v="2022"/>
  </r>
  <r>
    <x v="449"/>
    <x v="3"/>
    <x v="3"/>
    <x v="0"/>
    <n v="7878"/>
    <n v="11094"/>
    <n v="15"/>
    <n v="-3216"/>
    <n v="-0.40822543792840821"/>
    <n v="2024"/>
  </r>
  <r>
    <x v="619"/>
    <x v="2"/>
    <x v="1"/>
    <x v="3"/>
    <n v="14176"/>
    <n v="3234"/>
    <n v="5"/>
    <n v="10942"/>
    <n v="0.77186794582392781"/>
    <n v="2022"/>
  </r>
  <r>
    <x v="453"/>
    <x v="3"/>
    <x v="1"/>
    <x v="0"/>
    <n v="1599"/>
    <n v="322"/>
    <n v="20"/>
    <n v="1277"/>
    <n v="0.79862414008755467"/>
    <n v="2023"/>
  </r>
  <r>
    <x v="134"/>
    <x v="3"/>
    <x v="3"/>
    <x v="3"/>
    <n v="3892"/>
    <n v="10694"/>
    <n v="15"/>
    <n v="-6802"/>
    <n v="-1.7476875642343268"/>
    <n v="2024"/>
  </r>
  <r>
    <x v="620"/>
    <x v="0"/>
    <x v="2"/>
    <x v="1"/>
    <n v="3272"/>
    <n v="1509"/>
    <n v="0"/>
    <n v="1763"/>
    <n v="0.53881418092909539"/>
    <n v="2023"/>
  </r>
  <r>
    <x v="621"/>
    <x v="1"/>
    <x v="3"/>
    <x v="0"/>
    <n v="11172"/>
    <n v="10788"/>
    <n v="15"/>
    <n v="384"/>
    <n v="3.4371643394199784E-2"/>
    <n v="2022"/>
  </r>
  <r>
    <x v="622"/>
    <x v="2"/>
    <x v="1"/>
    <x v="0"/>
    <n v="14944"/>
    <n v="9240"/>
    <n v="10"/>
    <n v="5704"/>
    <n v="0.3816916488222698"/>
    <n v="2023"/>
  </r>
  <r>
    <x v="317"/>
    <x v="0"/>
    <x v="0"/>
    <x v="2"/>
    <n v="7284"/>
    <n v="1104"/>
    <n v="5"/>
    <n v="6180"/>
    <n v="0.84843492586490943"/>
    <n v="2022"/>
  </r>
  <r>
    <x v="623"/>
    <x v="3"/>
    <x v="2"/>
    <x v="2"/>
    <n v="2045"/>
    <n v="8625"/>
    <n v="5"/>
    <n v="-6580"/>
    <n v="-3.21760391198044"/>
    <n v="2023"/>
  </r>
  <r>
    <x v="624"/>
    <x v="2"/>
    <x v="1"/>
    <x v="3"/>
    <n v="1570"/>
    <n v="4716"/>
    <n v="15"/>
    <n v="-3146"/>
    <n v="-2.0038216560509556"/>
    <n v="2022"/>
  </r>
  <r>
    <x v="345"/>
    <x v="3"/>
    <x v="2"/>
    <x v="0"/>
    <n v="7022"/>
    <n v="10929"/>
    <n v="0"/>
    <n v="-3907"/>
    <n v="-0.55639418968954713"/>
    <n v="2024"/>
  </r>
  <r>
    <x v="222"/>
    <x v="1"/>
    <x v="3"/>
    <x v="3"/>
    <n v="2350"/>
    <n v="8925"/>
    <n v="10"/>
    <n v="-6575"/>
    <n v="-2.7978723404255321"/>
    <n v="2022"/>
  </r>
  <r>
    <x v="305"/>
    <x v="0"/>
    <x v="0"/>
    <x v="1"/>
    <n v="13907"/>
    <n v="5441"/>
    <n v="15"/>
    <n v="8466"/>
    <n v="0.60875817933414822"/>
    <n v="2024"/>
  </r>
  <r>
    <x v="625"/>
    <x v="1"/>
    <x v="3"/>
    <x v="2"/>
    <n v="5553"/>
    <n v="5268"/>
    <n v="15"/>
    <n v="285"/>
    <n v="5.1323608860075635E-2"/>
    <n v="2023"/>
  </r>
  <r>
    <x v="626"/>
    <x v="0"/>
    <x v="0"/>
    <x v="3"/>
    <n v="12890"/>
    <n v="3971"/>
    <n v="5"/>
    <n v="8919"/>
    <n v="0.69193173002327391"/>
    <n v="2024"/>
  </r>
  <r>
    <x v="538"/>
    <x v="3"/>
    <x v="2"/>
    <x v="3"/>
    <n v="3439"/>
    <n v="7592"/>
    <n v="10"/>
    <n v="-4153"/>
    <n v="-1.2076184937481826"/>
    <n v="2022"/>
  </r>
  <r>
    <x v="413"/>
    <x v="1"/>
    <x v="2"/>
    <x v="2"/>
    <n v="13957"/>
    <n v="7301"/>
    <n v="0"/>
    <n v="6656"/>
    <n v="0.47689331518234579"/>
    <n v="2023"/>
  </r>
  <r>
    <x v="627"/>
    <x v="1"/>
    <x v="3"/>
    <x v="0"/>
    <n v="10595"/>
    <n v="2398"/>
    <n v="5"/>
    <n v="8197"/>
    <n v="0.77366682397357245"/>
    <n v="2024"/>
  </r>
  <r>
    <x v="628"/>
    <x v="3"/>
    <x v="0"/>
    <x v="3"/>
    <n v="7694"/>
    <n v="11409"/>
    <n v="15"/>
    <n v="-3715"/>
    <n v="-0.48284377436963866"/>
    <n v="2022"/>
  </r>
  <r>
    <x v="536"/>
    <x v="1"/>
    <x v="0"/>
    <x v="2"/>
    <n v="6351"/>
    <n v="8744"/>
    <n v="5"/>
    <n v="-2393"/>
    <n v="-0.37679105652653128"/>
    <n v="2024"/>
  </r>
  <r>
    <x v="275"/>
    <x v="2"/>
    <x v="2"/>
    <x v="0"/>
    <n v="7173"/>
    <n v="5361"/>
    <n v="5"/>
    <n v="1812"/>
    <n v="0.25261396905060646"/>
    <n v="2024"/>
  </r>
  <r>
    <x v="416"/>
    <x v="0"/>
    <x v="3"/>
    <x v="1"/>
    <n v="1178"/>
    <n v="9621"/>
    <n v="20"/>
    <n v="-8443"/>
    <n v="-7.16723259762309"/>
    <n v="2024"/>
  </r>
  <r>
    <x v="629"/>
    <x v="0"/>
    <x v="0"/>
    <x v="2"/>
    <n v="14756"/>
    <n v="3564"/>
    <n v="5"/>
    <n v="11192"/>
    <n v="0.75847113038763891"/>
    <n v="2022"/>
  </r>
  <r>
    <x v="564"/>
    <x v="0"/>
    <x v="2"/>
    <x v="3"/>
    <n v="1488"/>
    <n v="5735"/>
    <n v="5"/>
    <n v="-4247"/>
    <n v="-2.8541666666666665"/>
    <n v="2024"/>
  </r>
  <r>
    <x v="630"/>
    <x v="2"/>
    <x v="1"/>
    <x v="1"/>
    <n v="13893"/>
    <n v="8793"/>
    <n v="10"/>
    <n v="5100"/>
    <n v="0.36709134096307494"/>
    <n v="2024"/>
  </r>
  <r>
    <x v="53"/>
    <x v="0"/>
    <x v="3"/>
    <x v="0"/>
    <n v="11167"/>
    <n v="6991"/>
    <n v="5"/>
    <n v="4176"/>
    <n v="0.37395898629891644"/>
    <n v="2022"/>
  </r>
  <r>
    <x v="631"/>
    <x v="3"/>
    <x v="1"/>
    <x v="0"/>
    <n v="10299"/>
    <n v="10469"/>
    <n v="0"/>
    <n v="-170"/>
    <n v="-1.6506456937566753E-2"/>
    <n v="2022"/>
  </r>
  <r>
    <x v="629"/>
    <x v="1"/>
    <x v="3"/>
    <x v="2"/>
    <n v="11561"/>
    <n v="3063"/>
    <n v="15"/>
    <n v="8498"/>
    <n v="0.7350575209756941"/>
    <n v="2022"/>
  </r>
  <r>
    <x v="407"/>
    <x v="2"/>
    <x v="2"/>
    <x v="2"/>
    <n v="2002"/>
    <n v="4305"/>
    <n v="10"/>
    <n v="-2303"/>
    <n v="-1.1503496503496504"/>
    <n v="2024"/>
  </r>
  <r>
    <x v="632"/>
    <x v="0"/>
    <x v="0"/>
    <x v="2"/>
    <n v="2289"/>
    <n v="3541"/>
    <n v="5"/>
    <n v="-1252"/>
    <n v="-0.54696373962429012"/>
    <n v="2024"/>
  </r>
  <r>
    <x v="608"/>
    <x v="3"/>
    <x v="0"/>
    <x v="0"/>
    <n v="5781"/>
    <n v="3357"/>
    <n v="0"/>
    <n v="2424"/>
    <n v="0.4193046185781007"/>
    <n v="2022"/>
  </r>
  <r>
    <x v="233"/>
    <x v="1"/>
    <x v="0"/>
    <x v="1"/>
    <n v="5527"/>
    <n v="850"/>
    <n v="15"/>
    <n v="4677"/>
    <n v="0.84620951691695312"/>
    <n v="2024"/>
  </r>
  <r>
    <x v="633"/>
    <x v="1"/>
    <x v="3"/>
    <x v="0"/>
    <n v="1925"/>
    <n v="5874"/>
    <n v="10"/>
    <n v="-3949"/>
    <n v="-2.0514285714285716"/>
    <n v="2023"/>
  </r>
  <r>
    <x v="634"/>
    <x v="2"/>
    <x v="2"/>
    <x v="3"/>
    <n v="13849"/>
    <n v="5711"/>
    <n v="0"/>
    <n v="8138"/>
    <n v="0.5876236551375551"/>
    <n v="2022"/>
  </r>
  <r>
    <x v="256"/>
    <x v="2"/>
    <x v="1"/>
    <x v="0"/>
    <n v="14766"/>
    <n v="1887"/>
    <n v="5"/>
    <n v="12879"/>
    <n v="0.87220642015440875"/>
    <n v="2024"/>
  </r>
  <r>
    <x v="332"/>
    <x v="2"/>
    <x v="2"/>
    <x v="3"/>
    <n v="7154"/>
    <n v="10314"/>
    <n v="20"/>
    <n v="-3160"/>
    <n v="-0.44171093094772157"/>
    <n v="2024"/>
  </r>
  <r>
    <x v="570"/>
    <x v="3"/>
    <x v="1"/>
    <x v="1"/>
    <n v="2940"/>
    <n v="6220"/>
    <n v="20"/>
    <n v="-3280"/>
    <n v="-1.1156462585034013"/>
    <n v="2023"/>
  </r>
  <r>
    <x v="482"/>
    <x v="3"/>
    <x v="3"/>
    <x v="2"/>
    <n v="10734"/>
    <n v="5560"/>
    <n v="10"/>
    <n v="5174"/>
    <n v="0.4820197503260667"/>
    <n v="2024"/>
  </r>
  <r>
    <x v="568"/>
    <x v="2"/>
    <x v="3"/>
    <x v="2"/>
    <n v="7356"/>
    <n v="11709"/>
    <n v="0"/>
    <n v="-4353"/>
    <n v="-0.59176182707993474"/>
    <n v="2024"/>
  </r>
  <r>
    <x v="114"/>
    <x v="0"/>
    <x v="1"/>
    <x v="0"/>
    <n v="7867"/>
    <n v="11988"/>
    <n v="15"/>
    <n v="-4121"/>
    <n v="-0.52383373585865001"/>
    <n v="2022"/>
  </r>
  <r>
    <x v="601"/>
    <x v="1"/>
    <x v="1"/>
    <x v="2"/>
    <n v="9970"/>
    <n v="4709"/>
    <n v="0"/>
    <n v="5261"/>
    <n v="0.52768304914744235"/>
    <n v="2024"/>
  </r>
  <r>
    <x v="635"/>
    <x v="1"/>
    <x v="1"/>
    <x v="1"/>
    <n v="13990"/>
    <n v="6083"/>
    <n v="20"/>
    <n v="7907"/>
    <n v="0.56518942101501068"/>
    <n v="2023"/>
  </r>
  <r>
    <x v="636"/>
    <x v="3"/>
    <x v="2"/>
    <x v="2"/>
    <n v="3094"/>
    <n v="1012"/>
    <n v="10"/>
    <n v="2082"/>
    <n v="0.67291531997414356"/>
    <n v="2023"/>
  </r>
  <r>
    <x v="637"/>
    <x v="1"/>
    <x v="1"/>
    <x v="0"/>
    <n v="5189"/>
    <n v="10667"/>
    <n v="5"/>
    <n v="-5478"/>
    <n v="-1.0556947388706881"/>
    <n v="2022"/>
  </r>
  <r>
    <x v="638"/>
    <x v="0"/>
    <x v="3"/>
    <x v="1"/>
    <n v="2936"/>
    <n v="5706"/>
    <n v="0"/>
    <n v="-2770"/>
    <n v="-0.94346049046321523"/>
    <n v="2022"/>
  </r>
  <r>
    <x v="639"/>
    <x v="1"/>
    <x v="3"/>
    <x v="3"/>
    <n v="6017"/>
    <n v="8290"/>
    <n v="20"/>
    <n v="-2273"/>
    <n v="-0.37776300481967756"/>
    <n v="2023"/>
  </r>
  <r>
    <x v="640"/>
    <x v="3"/>
    <x v="0"/>
    <x v="0"/>
    <n v="12495"/>
    <n v="7720"/>
    <n v="15"/>
    <n v="4775"/>
    <n v="0.38215286114445779"/>
    <n v="2024"/>
  </r>
  <r>
    <x v="353"/>
    <x v="3"/>
    <x v="1"/>
    <x v="3"/>
    <n v="10897"/>
    <n v="7143"/>
    <n v="10"/>
    <n v="3754"/>
    <n v="0.34449848582178583"/>
    <n v="2024"/>
  </r>
  <r>
    <x v="267"/>
    <x v="0"/>
    <x v="2"/>
    <x v="1"/>
    <n v="9719"/>
    <n v="2733"/>
    <n v="5"/>
    <n v="6986"/>
    <n v="0.71879823027060397"/>
    <n v="2024"/>
  </r>
  <r>
    <x v="641"/>
    <x v="0"/>
    <x v="2"/>
    <x v="0"/>
    <n v="6810"/>
    <n v="3601"/>
    <n v="0"/>
    <n v="3209"/>
    <n v="0.47121879588839943"/>
    <n v="2024"/>
  </r>
  <r>
    <x v="642"/>
    <x v="1"/>
    <x v="2"/>
    <x v="0"/>
    <n v="4039"/>
    <n v="570"/>
    <n v="15"/>
    <n v="3469"/>
    <n v="0.85887595939589012"/>
    <n v="2022"/>
  </r>
  <r>
    <x v="643"/>
    <x v="1"/>
    <x v="0"/>
    <x v="1"/>
    <n v="13747"/>
    <n v="10286"/>
    <n v="5"/>
    <n v="3461"/>
    <n v="0.25176402124099806"/>
    <n v="2022"/>
  </r>
  <r>
    <x v="644"/>
    <x v="3"/>
    <x v="3"/>
    <x v="2"/>
    <n v="3983"/>
    <n v="10954"/>
    <n v="20"/>
    <n v="-6971"/>
    <n v="-1.7501883002761738"/>
    <n v="2024"/>
  </r>
  <r>
    <x v="166"/>
    <x v="0"/>
    <x v="2"/>
    <x v="0"/>
    <n v="7871"/>
    <n v="11886"/>
    <n v="20"/>
    <n v="-4015"/>
    <n v="-0.51010036844111295"/>
    <n v="2022"/>
  </r>
  <r>
    <x v="160"/>
    <x v="0"/>
    <x v="3"/>
    <x v="0"/>
    <n v="2741"/>
    <n v="1379"/>
    <n v="15"/>
    <n v="1362"/>
    <n v="0.49689894199197371"/>
    <n v="2022"/>
  </r>
  <r>
    <x v="645"/>
    <x v="0"/>
    <x v="0"/>
    <x v="3"/>
    <n v="6878"/>
    <n v="11370"/>
    <n v="20"/>
    <n v="-4492"/>
    <n v="-0.65309683047397504"/>
    <n v="2024"/>
  </r>
  <r>
    <x v="23"/>
    <x v="1"/>
    <x v="1"/>
    <x v="2"/>
    <n v="3265"/>
    <n v="5622"/>
    <n v="10"/>
    <n v="-2357"/>
    <n v="-0.72189892802450228"/>
    <n v="2023"/>
  </r>
  <r>
    <x v="646"/>
    <x v="0"/>
    <x v="1"/>
    <x v="3"/>
    <n v="9865"/>
    <n v="9095"/>
    <n v="15"/>
    <n v="770"/>
    <n v="7.8053725291434367E-2"/>
    <n v="2022"/>
  </r>
  <r>
    <x v="647"/>
    <x v="3"/>
    <x v="1"/>
    <x v="3"/>
    <n v="11922"/>
    <n v="5557"/>
    <n v="20"/>
    <n v="6365"/>
    <n v="0.53388693172286528"/>
    <n v="2023"/>
  </r>
  <r>
    <x v="396"/>
    <x v="3"/>
    <x v="2"/>
    <x v="2"/>
    <n v="12042"/>
    <n v="8282"/>
    <n v="0"/>
    <n v="3760"/>
    <n v="0.31224049161268891"/>
    <n v="2024"/>
  </r>
  <r>
    <x v="421"/>
    <x v="1"/>
    <x v="1"/>
    <x v="2"/>
    <n v="5411"/>
    <n v="10077"/>
    <n v="20"/>
    <n v="-4666"/>
    <n v="-0.86231750138606544"/>
    <n v="2023"/>
  </r>
  <r>
    <x v="648"/>
    <x v="2"/>
    <x v="2"/>
    <x v="1"/>
    <n v="903"/>
    <n v="11549"/>
    <n v="10"/>
    <n v="-10646"/>
    <n v="-11.789590254706534"/>
    <n v="2024"/>
  </r>
  <r>
    <x v="649"/>
    <x v="1"/>
    <x v="0"/>
    <x v="2"/>
    <n v="13680"/>
    <n v="6514"/>
    <n v="5"/>
    <n v="7166"/>
    <n v="0.52383040935672509"/>
    <n v="2024"/>
  </r>
  <r>
    <x v="650"/>
    <x v="2"/>
    <x v="0"/>
    <x v="0"/>
    <n v="11417"/>
    <n v="5306"/>
    <n v="5"/>
    <n v="6111"/>
    <n v="0.53525444512568976"/>
    <n v="2023"/>
  </r>
  <r>
    <x v="247"/>
    <x v="0"/>
    <x v="2"/>
    <x v="2"/>
    <n v="3882"/>
    <n v="4285"/>
    <n v="20"/>
    <n v="-403"/>
    <n v="-0.10381246780010304"/>
    <n v="2023"/>
  </r>
  <r>
    <x v="347"/>
    <x v="1"/>
    <x v="3"/>
    <x v="1"/>
    <n v="4663"/>
    <n v="9887"/>
    <n v="5"/>
    <n v="-5224"/>
    <n v="-1.1203088140681965"/>
    <n v="2023"/>
  </r>
  <r>
    <x v="552"/>
    <x v="3"/>
    <x v="1"/>
    <x v="1"/>
    <n v="8130"/>
    <n v="9091"/>
    <n v="20"/>
    <n v="-961"/>
    <n v="-0.11820418204182041"/>
    <n v="2022"/>
  </r>
  <r>
    <x v="94"/>
    <x v="0"/>
    <x v="1"/>
    <x v="1"/>
    <n v="587"/>
    <n v="9005"/>
    <n v="10"/>
    <n v="-8418"/>
    <n v="-14.340715502555366"/>
    <n v="2024"/>
  </r>
  <r>
    <x v="392"/>
    <x v="3"/>
    <x v="1"/>
    <x v="2"/>
    <n v="14836"/>
    <n v="6291"/>
    <n v="5"/>
    <n v="8545"/>
    <n v="0.57596387166352114"/>
    <n v="2024"/>
  </r>
  <r>
    <x v="651"/>
    <x v="0"/>
    <x v="2"/>
    <x v="2"/>
    <n v="9850"/>
    <n v="6527"/>
    <n v="0"/>
    <n v="3323"/>
    <n v="0.33736040609137058"/>
    <n v="2024"/>
  </r>
  <r>
    <x v="64"/>
    <x v="1"/>
    <x v="0"/>
    <x v="3"/>
    <n v="6316"/>
    <n v="9558"/>
    <n v="20"/>
    <n v="-3242"/>
    <n v="-0.513299556681444"/>
    <n v="2024"/>
  </r>
  <r>
    <x v="652"/>
    <x v="2"/>
    <x v="1"/>
    <x v="3"/>
    <n v="5970"/>
    <n v="8133"/>
    <n v="5"/>
    <n v="-2163"/>
    <n v="-0.36231155778894475"/>
    <n v="2024"/>
  </r>
  <r>
    <x v="226"/>
    <x v="0"/>
    <x v="0"/>
    <x v="0"/>
    <n v="14975"/>
    <n v="3186"/>
    <n v="10"/>
    <n v="11789"/>
    <n v="0.78724540901502504"/>
    <n v="2024"/>
  </r>
  <r>
    <x v="77"/>
    <x v="2"/>
    <x v="1"/>
    <x v="3"/>
    <n v="6776"/>
    <n v="2953"/>
    <n v="10"/>
    <n v="3823"/>
    <n v="0.56419716646989371"/>
    <n v="2023"/>
  </r>
  <r>
    <x v="380"/>
    <x v="0"/>
    <x v="1"/>
    <x v="0"/>
    <n v="6239"/>
    <n v="9580"/>
    <n v="0"/>
    <n v="-3341"/>
    <n v="-0.53550248437249559"/>
    <n v="2023"/>
  </r>
  <r>
    <x v="653"/>
    <x v="3"/>
    <x v="2"/>
    <x v="1"/>
    <n v="4773"/>
    <n v="5164"/>
    <n v="10"/>
    <n v="-391"/>
    <n v="-8.1919128430756341E-2"/>
    <n v="2023"/>
  </r>
  <r>
    <x v="654"/>
    <x v="3"/>
    <x v="3"/>
    <x v="3"/>
    <n v="11549"/>
    <n v="2814"/>
    <n v="10"/>
    <n v="8735"/>
    <n v="0.75634254047969518"/>
    <n v="2022"/>
  </r>
  <r>
    <x v="221"/>
    <x v="0"/>
    <x v="2"/>
    <x v="2"/>
    <n v="10073"/>
    <n v="4269"/>
    <n v="5"/>
    <n v="5804"/>
    <n v="0.5761937853668222"/>
    <n v="2022"/>
  </r>
  <r>
    <x v="401"/>
    <x v="2"/>
    <x v="1"/>
    <x v="3"/>
    <n v="7023"/>
    <n v="3584"/>
    <n v="20"/>
    <n v="3439"/>
    <n v="0.48967677630642176"/>
    <n v="2024"/>
  </r>
  <r>
    <x v="655"/>
    <x v="1"/>
    <x v="1"/>
    <x v="0"/>
    <n v="5503"/>
    <n v="8040"/>
    <n v="15"/>
    <n v="-2537"/>
    <n v="-0.46102126113029257"/>
    <n v="2023"/>
  </r>
  <r>
    <x v="504"/>
    <x v="1"/>
    <x v="3"/>
    <x v="3"/>
    <n v="8538"/>
    <n v="4866"/>
    <n v="10"/>
    <n v="3672"/>
    <n v="0.43007730147575546"/>
    <n v="2023"/>
  </r>
  <r>
    <x v="74"/>
    <x v="3"/>
    <x v="0"/>
    <x v="1"/>
    <n v="13373"/>
    <n v="2496"/>
    <n v="10"/>
    <n v="10877"/>
    <n v="0.8133552680774695"/>
    <n v="2023"/>
  </r>
  <r>
    <x v="656"/>
    <x v="1"/>
    <x v="0"/>
    <x v="2"/>
    <n v="7106"/>
    <n v="1089"/>
    <n v="15"/>
    <n v="6017"/>
    <n v="0.84674922600619196"/>
    <n v="2023"/>
  </r>
  <r>
    <x v="657"/>
    <x v="3"/>
    <x v="1"/>
    <x v="0"/>
    <n v="13777"/>
    <n v="3775"/>
    <n v="10"/>
    <n v="10002"/>
    <n v="0.72599259635624591"/>
    <n v="2022"/>
  </r>
  <r>
    <x v="658"/>
    <x v="1"/>
    <x v="0"/>
    <x v="2"/>
    <n v="13919"/>
    <n v="11645"/>
    <n v="5"/>
    <n v="2274"/>
    <n v="0.163373805589482"/>
    <n v="2023"/>
  </r>
  <r>
    <x v="534"/>
    <x v="0"/>
    <x v="1"/>
    <x v="2"/>
    <n v="14957"/>
    <n v="10156"/>
    <n v="5"/>
    <n v="4801"/>
    <n v="0.32098682890954067"/>
    <n v="2022"/>
  </r>
  <r>
    <x v="508"/>
    <x v="3"/>
    <x v="3"/>
    <x v="0"/>
    <n v="2564"/>
    <n v="1609"/>
    <n v="15"/>
    <n v="955"/>
    <n v="0.37246489859594384"/>
    <n v="2023"/>
  </r>
  <r>
    <x v="133"/>
    <x v="3"/>
    <x v="3"/>
    <x v="2"/>
    <n v="5815"/>
    <n v="1164"/>
    <n v="10"/>
    <n v="4651"/>
    <n v="0.79982803095442823"/>
    <n v="2023"/>
  </r>
  <r>
    <x v="374"/>
    <x v="0"/>
    <x v="1"/>
    <x v="2"/>
    <n v="11066"/>
    <n v="5689"/>
    <n v="10"/>
    <n v="5377"/>
    <n v="0.48590276522682091"/>
    <n v="2022"/>
  </r>
  <r>
    <x v="659"/>
    <x v="3"/>
    <x v="3"/>
    <x v="3"/>
    <n v="817"/>
    <n v="3663"/>
    <n v="20"/>
    <n v="-2846"/>
    <n v="-3.4834761321909427"/>
    <n v="2023"/>
  </r>
  <r>
    <x v="94"/>
    <x v="1"/>
    <x v="2"/>
    <x v="2"/>
    <n v="2002"/>
    <n v="8515"/>
    <n v="10"/>
    <n v="-6513"/>
    <n v="-3.2532467532467533"/>
    <n v="2024"/>
  </r>
  <r>
    <x v="452"/>
    <x v="1"/>
    <x v="2"/>
    <x v="2"/>
    <n v="6630"/>
    <n v="3303"/>
    <n v="5"/>
    <n v="3327"/>
    <n v="0.50180995475113122"/>
    <n v="2022"/>
  </r>
  <r>
    <x v="255"/>
    <x v="3"/>
    <x v="3"/>
    <x v="2"/>
    <n v="7919"/>
    <n v="8802"/>
    <n v="0"/>
    <n v="-883"/>
    <n v="-0.11150397777497159"/>
    <n v="2024"/>
  </r>
  <r>
    <x v="221"/>
    <x v="1"/>
    <x v="1"/>
    <x v="2"/>
    <n v="2542"/>
    <n v="1531"/>
    <n v="0"/>
    <n v="1011"/>
    <n v="0.39771833202202989"/>
    <n v="2022"/>
  </r>
  <r>
    <x v="660"/>
    <x v="2"/>
    <x v="1"/>
    <x v="0"/>
    <n v="5098"/>
    <n v="8259"/>
    <n v="0"/>
    <n v="-3161"/>
    <n v="-0.62004707728520991"/>
    <n v="2022"/>
  </r>
  <r>
    <x v="84"/>
    <x v="3"/>
    <x v="3"/>
    <x v="1"/>
    <n v="10714"/>
    <n v="3011"/>
    <n v="0"/>
    <n v="7703"/>
    <n v="0.71896583908904232"/>
    <n v="2022"/>
  </r>
  <r>
    <x v="392"/>
    <x v="0"/>
    <x v="0"/>
    <x v="3"/>
    <n v="618"/>
    <n v="6881"/>
    <n v="10"/>
    <n v="-6263"/>
    <n v="-10.13430420711974"/>
    <n v="2024"/>
  </r>
  <r>
    <x v="441"/>
    <x v="2"/>
    <x v="2"/>
    <x v="2"/>
    <n v="1209"/>
    <n v="8005"/>
    <n v="10"/>
    <n v="-6796"/>
    <n v="-5.6211745244003311"/>
    <n v="2022"/>
  </r>
  <r>
    <x v="661"/>
    <x v="3"/>
    <x v="0"/>
    <x v="2"/>
    <n v="4057"/>
    <n v="721"/>
    <n v="20"/>
    <n v="3336"/>
    <n v="0.82228247473502591"/>
    <n v="2024"/>
  </r>
  <r>
    <x v="662"/>
    <x v="0"/>
    <x v="1"/>
    <x v="0"/>
    <n v="12832"/>
    <n v="10265"/>
    <n v="10"/>
    <n v="2567"/>
    <n v="0.20004675810473815"/>
    <n v="2024"/>
  </r>
  <r>
    <x v="367"/>
    <x v="1"/>
    <x v="1"/>
    <x v="1"/>
    <n v="13101"/>
    <n v="1246"/>
    <n v="0"/>
    <n v="11855"/>
    <n v="0.90489275627814669"/>
    <n v="2023"/>
  </r>
  <r>
    <x v="616"/>
    <x v="0"/>
    <x v="0"/>
    <x v="2"/>
    <n v="3750"/>
    <n v="9678"/>
    <n v="15"/>
    <n v="-5928"/>
    <n v="-1.5808"/>
    <n v="2022"/>
  </r>
  <r>
    <x v="199"/>
    <x v="2"/>
    <x v="3"/>
    <x v="0"/>
    <n v="8561"/>
    <n v="2134"/>
    <n v="15"/>
    <n v="6427"/>
    <n v="0.75073005490012845"/>
    <n v="2022"/>
  </r>
  <r>
    <x v="124"/>
    <x v="1"/>
    <x v="0"/>
    <x v="3"/>
    <n v="9109"/>
    <n v="1864"/>
    <n v="5"/>
    <n v="7245"/>
    <n v="0.79536721923372489"/>
    <n v="2023"/>
  </r>
  <r>
    <x v="663"/>
    <x v="3"/>
    <x v="0"/>
    <x v="3"/>
    <n v="3103"/>
    <n v="7632"/>
    <n v="5"/>
    <n v="-4529"/>
    <n v="-1.4595552690944247"/>
    <n v="2024"/>
  </r>
  <r>
    <x v="664"/>
    <x v="1"/>
    <x v="2"/>
    <x v="2"/>
    <n v="12546"/>
    <n v="5244"/>
    <n v="10"/>
    <n v="7302"/>
    <n v="0.58201817312290771"/>
    <n v="2022"/>
  </r>
  <r>
    <x v="659"/>
    <x v="3"/>
    <x v="2"/>
    <x v="2"/>
    <n v="1601"/>
    <n v="10439"/>
    <n v="15"/>
    <n v="-8838"/>
    <n v="-5.5202998126171146"/>
    <n v="2023"/>
  </r>
  <r>
    <x v="446"/>
    <x v="3"/>
    <x v="0"/>
    <x v="1"/>
    <n v="4921"/>
    <n v="1608"/>
    <n v="0"/>
    <n v="3313"/>
    <n v="0.6732371469213575"/>
    <n v="2022"/>
  </r>
  <r>
    <x v="569"/>
    <x v="0"/>
    <x v="0"/>
    <x v="1"/>
    <n v="8357"/>
    <n v="3286"/>
    <n v="0"/>
    <n v="5071"/>
    <n v="0.60679669737944242"/>
    <n v="2024"/>
  </r>
  <r>
    <x v="351"/>
    <x v="0"/>
    <x v="1"/>
    <x v="2"/>
    <n v="12120"/>
    <n v="686"/>
    <n v="0"/>
    <n v="11434"/>
    <n v="0.94339933993399339"/>
    <n v="2023"/>
  </r>
  <r>
    <x v="665"/>
    <x v="0"/>
    <x v="2"/>
    <x v="0"/>
    <n v="8677"/>
    <n v="6431"/>
    <n v="10"/>
    <n v="2246"/>
    <n v="0.25884522300334217"/>
    <n v="2024"/>
  </r>
  <r>
    <x v="666"/>
    <x v="2"/>
    <x v="2"/>
    <x v="1"/>
    <n v="14227"/>
    <n v="9653"/>
    <n v="10"/>
    <n v="4574"/>
    <n v="0.32150137063330286"/>
    <n v="2024"/>
  </r>
  <r>
    <x v="219"/>
    <x v="2"/>
    <x v="1"/>
    <x v="2"/>
    <n v="6582"/>
    <n v="3558"/>
    <n v="20"/>
    <n v="3024"/>
    <n v="0.4594348222424795"/>
    <n v="2024"/>
  </r>
  <r>
    <x v="667"/>
    <x v="0"/>
    <x v="3"/>
    <x v="1"/>
    <n v="7158"/>
    <n v="6421"/>
    <n v="0"/>
    <n v="737"/>
    <n v="0.10296172115115954"/>
    <n v="2023"/>
  </r>
  <r>
    <x v="280"/>
    <x v="2"/>
    <x v="2"/>
    <x v="2"/>
    <n v="2761"/>
    <n v="5111"/>
    <n v="0"/>
    <n v="-2350"/>
    <n v="-0.85114089098152845"/>
    <n v="2023"/>
  </r>
  <r>
    <x v="586"/>
    <x v="1"/>
    <x v="2"/>
    <x v="3"/>
    <n v="8521"/>
    <n v="6874"/>
    <n v="10"/>
    <n v="1647"/>
    <n v="0.1932871728670344"/>
    <n v="2022"/>
  </r>
  <r>
    <x v="204"/>
    <x v="1"/>
    <x v="3"/>
    <x v="2"/>
    <n v="12861"/>
    <n v="6997"/>
    <n v="10"/>
    <n v="5864"/>
    <n v="0.45595210325791152"/>
    <n v="2024"/>
  </r>
  <r>
    <x v="668"/>
    <x v="2"/>
    <x v="2"/>
    <x v="3"/>
    <n v="12326"/>
    <n v="4233"/>
    <n v="20"/>
    <n v="8093"/>
    <n v="0.6565795878630537"/>
    <n v="2024"/>
  </r>
  <r>
    <x v="669"/>
    <x v="2"/>
    <x v="2"/>
    <x v="1"/>
    <n v="14390"/>
    <n v="11339"/>
    <n v="20"/>
    <n v="3051"/>
    <n v="0.21202223766504516"/>
    <n v="2023"/>
  </r>
  <r>
    <x v="488"/>
    <x v="1"/>
    <x v="3"/>
    <x v="2"/>
    <n v="1008"/>
    <n v="1739"/>
    <n v="5"/>
    <n v="-731"/>
    <n v="-0.72519841269841268"/>
    <n v="2024"/>
  </r>
  <r>
    <x v="374"/>
    <x v="3"/>
    <x v="3"/>
    <x v="1"/>
    <n v="2879"/>
    <n v="6469"/>
    <n v="15"/>
    <n v="-3590"/>
    <n v="-1.2469607502605071"/>
    <n v="2022"/>
  </r>
  <r>
    <x v="670"/>
    <x v="1"/>
    <x v="0"/>
    <x v="3"/>
    <n v="11856"/>
    <n v="11934"/>
    <n v="0"/>
    <n v="-78"/>
    <n v="-6.5789473684210523E-3"/>
    <n v="2022"/>
  </r>
  <r>
    <x v="589"/>
    <x v="1"/>
    <x v="1"/>
    <x v="2"/>
    <n v="9379"/>
    <n v="4780"/>
    <n v="0"/>
    <n v="4599"/>
    <n v="0.490350783665636"/>
    <n v="2022"/>
  </r>
  <r>
    <x v="333"/>
    <x v="2"/>
    <x v="1"/>
    <x v="1"/>
    <n v="5252"/>
    <n v="355"/>
    <n v="20"/>
    <n v="4897"/>
    <n v="0.93240670220868238"/>
    <n v="2023"/>
  </r>
  <r>
    <x v="155"/>
    <x v="1"/>
    <x v="3"/>
    <x v="3"/>
    <n v="14330"/>
    <n v="3624"/>
    <n v="20"/>
    <n v="10706"/>
    <n v="0.74710397766922543"/>
    <n v="2022"/>
  </r>
  <r>
    <x v="671"/>
    <x v="2"/>
    <x v="3"/>
    <x v="1"/>
    <n v="9984"/>
    <n v="7077"/>
    <n v="5"/>
    <n v="2907"/>
    <n v="0.29116586538461536"/>
    <n v="2024"/>
  </r>
  <r>
    <x v="672"/>
    <x v="2"/>
    <x v="2"/>
    <x v="0"/>
    <n v="5995"/>
    <n v="405"/>
    <n v="15"/>
    <n v="5590"/>
    <n v="0.93244370308590496"/>
    <n v="2024"/>
  </r>
  <r>
    <x v="456"/>
    <x v="0"/>
    <x v="0"/>
    <x v="3"/>
    <n v="12597"/>
    <n v="3501"/>
    <n v="5"/>
    <n v="9096"/>
    <n v="0.72207668492498212"/>
    <n v="2022"/>
  </r>
  <r>
    <x v="629"/>
    <x v="1"/>
    <x v="0"/>
    <x v="3"/>
    <n v="11767"/>
    <n v="969"/>
    <n v="15"/>
    <n v="10798"/>
    <n v="0.91765105804368152"/>
    <n v="2022"/>
  </r>
  <r>
    <x v="519"/>
    <x v="3"/>
    <x v="3"/>
    <x v="3"/>
    <n v="3709"/>
    <n v="9234"/>
    <n v="0"/>
    <n v="-5525"/>
    <n v="-1.4896198436236183"/>
    <n v="2023"/>
  </r>
  <r>
    <x v="132"/>
    <x v="0"/>
    <x v="2"/>
    <x v="2"/>
    <n v="7898"/>
    <n v="1266"/>
    <n v="5"/>
    <n v="6632"/>
    <n v="0.83970625474803751"/>
    <n v="2023"/>
  </r>
  <r>
    <x v="673"/>
    <x v="2"/>
    <x v="2"/>
    <x v="2"/>
    <n v="7243"/>
    <n v="607"/>
    <n v="20"/>
    <n v="6636"/>
    <n v="0.91619494684522984"/>
    <n v="2024"/>
  </r>
  <r>
    <x v="674"/>
    <x v="2"/>
    <x v="1"/>
    <x v="2"/>
    <n v="6148"/>
    <n v="2438"/>
    <n v="5"/>
    <n v="3710"/>
    <n v="0.60344827586206895"/>
    <n v="2023"/>
  </r>
  <r>
    <x v="469"/>
    <x v="3"/>
    <x v="1"/>
    <x v="0"/>
    <n v="5671"/>
    <n v="11956"/>
    <n v="5"/>
    <n v="-6285"/>
    <n v="-1.1082701463586668"/>
    <n v="2022"/>
  </r>
  <r>
    <x v="366"/>
    <x v="2"/>
    <x v="2"/>
    <x v="0"/>
    <n v="8390"/>
    <n v="409"/>
    <n v="0"/>
    <n v="7981"/>
    <n v="0.95125148986889152"/>
    <n v="2024"/>
  </r>
  <r>
    <x v="26"/>
    <x v="1"/>
    <x v="1"/>
    <x v="3"/>
    <n v="824"/>
    <n v="3932"/>
    <n v="20"/>
    <n v="-3108"/>
    <n v="-3.7718446601941746"/>
    <n v="2024"/>
  </r>
  <r>
    <x v="507"/>
    <x v="0"/>
    <x v="3"/>
    <x v="0"/>
    <n v="13779"/>
    <n v="7028"/>
    <n v="20"/>
    <n v="6751"/>
    <n v="0.48994847231293998"/>
    <n v="2022"/>
  </r>
  <r>
    <x v="675"/>
    <x v="2"/>
    <x v="2"/>
    <x v="1"/>
    <n v="10685"/>
    <n v="5984"/>
    <n v="10"/>
    <n v="4701"/>
    <n v="0.43996256434253628"/>
    <n v="2023"/>
  </r>
  <r>
    <x v="87"/>
    <x v="2"/>
    <x v="1"/>
    <x v="3"/>
    <n v="12668"/>
    <n v="6799"/>
    <n v="10"/>
    <n v="5869"/>
    <n v="0.46329333754341651"/>
    <n v="2022"/>
  </r>
  <r>
    <x v="288"/>
    <x v="3"/>
    <x v="0"/>
    <x v="3"/>
    <n v="13504"/>
    <n v="2215"/>
    <n v="10"/>
    <n v="11289"/>
    <n v="0.8359745260663507"/>
    <n v="2022"/>
  </r>
  <r>
    <x v="676"/>
    <x v="1"/>
    <x v="2"/>
    <x v="1"/>
    <n v="11462"/>
    <n v="856"/>
    <n v="0"/>
    <n v="10606"/>
    <n v="0.92531844355260862"/>
    <n v="2022"/>
  </r>
  <r>
    <x v="677"/>
    <x v="2"/>
    <x v="2"/>
    <x v="3"/>
    <n v="13064"/>
    <n v="7919"/>
    <n v="5"/>
    <n v="5145"/>
    <n v="0.39383037354562156"/>
    <n v="2023"/>
  </r>
  <r>
    <x v="60"/>
    <x v="3"/>
    <x v="0"/>
    <x v="0"/>
    <n v="11275"/>
    <n v="404"/>
    <n v="20"/>
    <n v="10871"/>
    <n v="0.9641685144124168"/>
    <n v="2022"/>
  </r>
  <r>
    <x v="661"/>
    <x v="2"/>
    <x v="3"/>
    <x v="2"/>
    <n v="4057"/>
    <n v="2347"/>
    <n v="20"/>
    <n v="1710"/>
    <n v="0.42149371456741436"/>
    <n v="2024"/>
  </r>
  <r>
    <x v="481"/>
    <x v="3"/>
    <x v="0"/>
    <x v="1"/>
    <n v="4087"/>
    <n v="445"/>
    <n v="5"/>
    <n v="3642"/>
    <n v="0.8911181795938341"/>
    <n v="2022"/>
  </r>
  <r>
    <x v="612"/>
    <x v="3"/>
    <x v="2"/>
    <x v="0"/>
    <n v="651"/>
    <n v="11255"/>
    <n v="20"/>
    <n v="-10604"/>
    <n v="-16.288786482334871"/>
    <n v="2024"/>
  </r>
  <r>
    <x v="660"/>
    <x v="1"/>
    <x v="3"/>
    <x v="1"/>
    <n v="1454"/>
    <n v="1173"/>
    <n v="5"/>
    <n v="281"/>
    <n v="0.19325997248968363"/>
    <n v="2022"/>
  </r>
  <r>
    <x v="516"/>
    <x v="2"/>
    <x v="1"/>
    <x v="1"/>
    <n v="14294"/>
    <n v="598"/>
    <n v="0"/>
    <n v="13696"/>
    <n v="0.95816426472645866"/>
    <n v="2022"/>
  </r>
  <r>
    <x v="232"/>
    <x v="1"/>
    <x v="1"/>
    <x v="3"/>
    <n v="4854"/>
    <n v="3538"/>
    <n v="0"/>
    <n v="1316"/>
    <n v="0.27111660486196953"/>
    <n v="2024"/>
  </r>
  <r>
    <x v="8"/>
    <x v="3"/>
    <x v="1"/>
    <x v="3"/>
    <n v="11063"/>
    <n v="9137"/>
    <n v="0"/>
    <n v="1926"/>
    <n v="0.17409382626773931"/>
    <n v="2022"/>
  </r>
  <r>
    <x v="678"/>
    <x v="0"/>
    <x v="2"/>
    <x v="0"/>
    <n v="7660"/>
    <n v="6682"/>
    <n v="5"/>
    <n v="978"/>
    <n v="0.12767624020887727"/>
    <n v="2022"/>
  </r>
  <r>
    <x v="553"/>
    <x v="2"/>
    <x v="0"/>
    <x v="1"/>
    <n v="13656"/>
    <n v="11570"/>
    <n v="5"/>
    <n v="2086"/>
    <n v="0.15275336848271823"/>
    <n v="2022"/>
  </r>
  <r>
    <x v="679"/>
    <x v="0"/>
    <x v="3"/>
    <x v="3"/>
    <n v="9883"/>
    <n v="2811"/>
    <n v="15"/>
    <n v="7072"/>
    <n v="0.71557219467772948"/>
    <n v="2022"/>
  </r>
  <r>
    <x v="680"/>
    <x v="2"/>
    <x v="1"/>
    <x v="3"/>
    <n v="1187"/>
    <n v="6896"/>
    <n v="20"/>
    <n v="-5709"/>
    <n v="-4.8096040438079193"/>
    <n v="2024"/>
  </r>
  <r>
    <x v="487"/>
    <x v="1"/>
    <x v="3"/>
    <x v="1"/>
    <n v="9001"/>
    <n v="1083"/>
    <n v="20"/>
    <n v="7918"/>
    <n v="0.87968003555160534"/>
    <n v="2023"/>
  </r>
  <r>
    <x v="681"/>
    <x v="1"/>
    <x v="2"/>
    <x v="0"/>
    <n v="10194"/>
    <n v="5292"/>
    <n v="15"/>
    <n v="4902"/>
    <n v="0.48087110064743965"/>
    <n v="2022"/>
  </r>
  <r>
    <x v="682"/>
    <x v="1"/>
    <x v="1"/>
    <x v="0"/>
    <n v="3627"/>
    <n v="670"/>
    <n v="15"/>
    <n v="2957"/>
    <n v="0.81527433140336369"/>
    <n v="2024"/>
  </r>
  <r>
    <x v="683"/>
    <x v="1"/>
    <x v="2"/>
    <x v="1"/>
    <n v="7263"/>
    <n v="786"/>
    <n v="0"/>
    <n v="6477"/>
    <n v="0.89178025609252376"/>
    <n v="2024"/>
  </r>
  <r>
    <x v="188"/>
    <x v="1"/>
    <x v="0"/>
    <x v="0"/>
    <n v="13260"/>
    <n v="7678"/>
    <n v="15"/>
    <n v="5582"/>
    <n v="0.42096530920060332"/>
    <n v="2024"/>
  </r>
  <r>
    <x v="661"/>
    <x v="0"/>
    <x v="2"/>
    <x v="3"/>
    <n v="12059"/>
    <n v="10529"/>
    <n v="5"/>
    <n v="1530"/>
    <n v="0.12687619205572601"/>
    <n v="2024"/>
  </r>
  <r>
    <x v="643"/>
    <x v="1"/>
    <x v="2"/>
    <x v="1"/>
    <n v="3895"/>
    <n v="3496"/>
    <n v="10"/>
    <n v="399"/>
    <n v="0.1024390243902439"/>
    <n v="2022"/>
  </r>
  <r>
    <x v="319"/>
    <x v="3"/>
    <x v="0"/>
    <x v="3"/>
    <n v="9505"/>
    <n v="9852"/>
    <n v="5"/>
    <n v="-347"/>
    <n v="-3.650710152551289E-2"/>
    <n v="2022"/>
  </r>
  <r>
    <x v="583"/>
    <x v="3"/>
    <x v="3"/>
    <x v="2"/>
    <n v="1345"/>
    <n v="4587"/>
    <n v="15"/>
    <n v="-3242"/>
    <n v="-2.4104089219330853"/>
    <n v="2022"/>
  </r>
  <r>
    <x v="375"/>
    <x v="0"/>
    <x v="0"/>
    <x v="2"/>
    <n v="1664"/>
    <n v="2561"/>
    <n v="20"/>
    <n v="-897"/>
    <n v="-0.5390625"/>
    <n v="2022"/>
  </r>
  <r>
    <x v="606"/>
    <x v="2"/>
    <x v="0"/>
    <x v="0"/>
    <n v="13454"/>
    <n v="11113"/>
    <n v="5"/>
    <n v="2341"/>
    <n v="0.17400029730935038"/>
    <n v="2023"/>
  </r>
  <r>
    <x v="424"/>
    <x v="3"/>
    <x v="2"/>
    <x v="2"/>
    <n v="6404"/>
    <n v="9448"/>
    <n v="20"/>
    <n v="-3044"/>
    <n v="-0.47532792004996877"/>
    <n v="2023"/>
  </r>
  <r>
    <x v="24"/>
    <x v="2"/>
    <x v="3"/>
    <x v="3"/>
    <n v="14231"/>
    <n v="8872"/>
    <n v="5"/>
    <n v="5359"/>
    <n v="0.37657227180099784"/>
    <n v="2024"/>
  </r>
  <r>
    <x v="129"/>
    <x v="0"/>
    <x v="1"/>
    <x v="2"/>
    <n v="10459"/>
    <n v="538"/>
    <n v="20"/>
    <n v="9921"/>
    <n v="0.948561047901329"/>
    <n v="2023"/>
  </r>
  <r>
    <x v="684"/>
    <x v="2"/>
    <x v="0"/>
    <x v="3"/>
    <n v="5860"/>
    <n v="7143"/>
    <n v="5"/>
    <n v="-1283"/>
    <n v="-0.2189419795221843"/>
    <n v="2023"/>
  </r>
  <r>
    <x v="161"/>
    <x v="2"/>
    <x v="3"/>
    <x v="0"/>
    <n v="854"/>
    <n v="1405"/>
    <n v="20"/>
    <n v="-551"/>
    <n v="-0.64519906323185017"/>
    <n v="2023"/>
  </r>
  <r>
    <x v="265"/>
    <x v="2"/>
    <x v="0"/>
    <x v="0"/>
    <n v="2372"/>
    <n v="1686"/>
    <n v="10"/>
    <n v="686"/>
    <n v="0.28920741989881954"/>
    <n v="2022"/>
  </r>
  <r>
    <x v="630"/>
    <x v="2"/>
    <x v="0"/>
    <x v="3"/>
    <n v="2524"/>
    <n v="11044"/>
    <n v="0"/>
    <n v="-8520"/>
    <n v="-3.375594294770206"/>
    <n v="2024"/>
  </r>
  <r>
    <x v="308"/>
    <x v="0"/>
    <x v="0"/>
    <x v="2"/>
    <n v="3317"/>
    <n v="10741"/>
    <n v="5"/>
    <n v="-7424"/>
    <n v="-2.2381670183901115"/>
    <n v="2024"/>
  </r>
  <r>
    <x v="685"/>
    <x v="3"/>
    <x v="0"/>
    <x v="0"/>
    <n v="4332"/>
    <n v="10019"/>
    <n v="10"/>
    <n v="-5687"/>
    <n v="-1.3127885503231764"/>
    <n v="2023"/>
  </r>
  <r>
    <x v="146"/>
    <x v="1"/>
    <x v="2"/>
    <x v="1"/>
    <n v="12967"/>
    <n v="1967"/>
    <n v="0"/>
    <n v="11000"/>
    <n v="0.84830724145908842"/>
    <n v="2023"/>
  </r>
  <r>
    <x v="219"/>
    <x v="2"/>
    <x v="3"/>
    <x v="0"/>
    <n v="8757"/>
    <n v="2991"/>
    <n v="5"/>
    <n v="5766"/>
    <n v="0.65844467283316199"/>
    <n v="2024"/>
  </r>
  <r>
    <x v="443"/>
    <x v="3"/>
    <x v="3"/>
    <x v="2"/>
    <n v="13607"/>
    <n v="8056"/>
    <n v="10"/>
    <n v="5551"/>
    <n v="0.40795178952009997"/>
    <n v="2022"/>
  </r>
  <r>
    <x v="571"/>
    <x v="3"/>
    <x v="3"/>
    <x v="1"/>
    <n v="14159"/>
    <n v="2296"/>
    <n v="10"/>
    <n v="11863"/>
    <n v="0.83784165548414435"/>
    <n v="2023"/>
  </r>
  <r>
    <x v="686"/>
    <x v="0"/>
    <x v="0"/>
    <x v="2"/>
    <n v="12958"/>
    <n v="1725"/>
    <n v="10"/>
    <n v="11233"/>
    <n v="0.8668776045686063"/>
    <n v="2022"/>
  </r>
  <r>
    <x v="687"/>
    <x v="3"/>
    <x v="2"/>
    <x v="3"/>
    <n v="12782"/>
    <n v="11304"/>
    <n v="15"/>
    <n v="1478"/>
    <n v="0.11563135659521202"/>
    <n v="2023"/>
  </r>
  <r>
    <x v="688"/>
    <x v="0"/>
    <x v="0"/>
    <x v="1"/>
    <n v="11213"/>
    <n v="8323"/>
    <n v="20"/>
    <n v="2890"/>
    <n v="0.2577365557834656"/>
    <n v="2022"/>
  </r>
  <r>
    <x v="419"/>
    <x v="2"/>
    <x v="0"/>
    <x v="2"/>
    <n v="3081"/>
    <n v="7149"/>
    <n v="0"/>
    <n v="-4068"/>
    <n v="-1.320350535540409"/>
    <n v="2024"/>
  </r>
  <r>
    <x v="192"/>
    <x v="2"/>
    <x v="3"/>
    <x v="1"/>
    <n v="10082"/>
    <n v="3547"/>
    <n v="20"/>
    <n v="6535"/>
    <n v="0.6481848839515969"/>
    <n v="2023"/>
  </r>
  <r>
    <x v="430"/>
    <x v="1"/>
    <x v="0"/>
    <x v="2"/>
    <n v="9822"/>
    <n v="2892"/>
    <n v="20"/>
    <n v="6930"/>
    <n v="0.70555894929749541"/>
    <n v="2024"/>
  </r>
  <r>
    <x v="249"/>
    <x v="1"/>
    <x v="1"/>
    <x v="1"/>
    <n v="2986"/>
    <n v="1790"/>
    <n v="20"/>
    <n v="1196"/>
    <n v="0.40053583389149366"/>
    <n v="2023"/>
  </r>
  <r>
    <x v="689"/>
    <x v="1"/>
    <x v="0"/>
    <x v="2"/>
    <n v="9526"/>
    <n v="1524"/>
    <n v="10"/>
    <n v="8002"/>
    <n v="0.84001679613688851"/>
    <n v="2023"/>
  </r>
  <r>
    <x v="449"/>
    <x v="3"/>
    <x v="1"/>
    <x v="3"/>
    <n v="8918"/>
    <n v="2887"/>
    <n v="20"/>
    <n v="6031"/>
    <n v="0.67627270688495178"/>
    <n v="2024"/>
  </r>
  <r>
    <x v="690"/>
    <x v="2"/>
    <x v="0"/>
    <x v="1"/>
    <n v="12207"/>
    <n v="8014"/>
    <n v="15"/>
    <n v="4193"/>
    <n v="0.34349143933808468"/>
    <n v="2023"/>
  </r>
  <r>
    <x v="362"/>
    <x v="0"/>
    <x v="2"/>
    <x v="1"/>
    <n v="13229"/>
    <n v="3364"/>
    <n v="5"/>
    <n v="9865"/>
    <n v="0.74571018217552343"/>
    <n v="2024"/>
  </r>
  <r>
    <x v="691"/>
    <x v="1"/>
    <x v="2"/>
    <x v="1"/>
    <n v="2943"/>
    <n v="8104"/>
    <n v="10"/>
    <n v="-5161"/>
    <n v="-1.7536527353041114"/>
    <n v="2024"/>
  </r>
  <r>
    <x v="51"/>
    <x v="0"/>
    <x v="3"/>
    <x v="1"/>
    <n v="9419"/>
    <n v="1132"/>
    <n v="0"/>
    <n v="8287"/>
    <n v="0.87981739038114448"/>
    <n v="2023"/>
  </r>
  <r>
    <x v="692"/>
    <x v="0"/>
    <x v="0"/>
    <x v="3"/>
    <n v="14392"/>
    <n v="2740"/>
    <n v="5"/>
    <n v="11652"/>
    <n v="0.80961645358532519"/>
    <n v="2023"/>
  </r>
  <r>
    <x v="691"/>
    <x v="1"/>
    <x v="1"/>
    <x v="1"/>
    <n v="14919"/>
    <n v="5095"/>
    <n v="5"/>
    <n v="9824"/>
    <n v="0.65848917487767278"/>
    <n v="2024"/>
  </r>
  <r>
    <x v="693"/>
    <x v="2"/>
    <x v="1"/>
    <x v="0"/>
    <n v="12378"/>
    <n v="1946"/>
    <n v="5"/>
    <n v="10432"/>
    <n v="0.84278558733236386"/>
    <n v="2023"/>
  </r>
  <r>
    <x v="68"/>
    <x v="1"/>
    <x v="0"/>
    <x v="3"/>
    <n v="12314"/>
    <n v="740"/>
    <n v="20"/>
    <n v="11574"/>
    <n v="0.93990579827838228"/>
    <n v="2022"/>
  </r>
  <r>
    <x v="8"/>
    <x v="0"/>
    <x v="1"/>
    <x v="0"/>
    <n v="1536"/>
    <n v="6256"/>
    <n v="20"/>
    <n v="-4720"/>
    <n v="-3.0729166666666665"/>
    <n v="2022"/>
  </r>
  <r>
    <x v="94"/>
    <x v="1"/>
    <x v="2"/>
    <x v="1"/>
    <n v="10524"/>
    <n v="10021"/>
    <n v="10"/>
    <n v="503"/>
    <n v="4.7795515013302925E-2"/>
    <n v="2024"/>
  </r>
  <r>
    <x v="268"/>
    <x v="0"/>
    <x v="1"/>
    <x v="2"/>
    <n v="14636"/>
    <n v="11457"/>
    <n v="20"/>
    <n v="3179"/>
    <n v="0.21720415414047553"/>
    <n v="2024"/>
  </r>
  <r>
    <x v="694"/>
    <x v="0"/>
    <x v="3"/>
    <x v="0"/>
    <n v="11432"/>
    <n v="2667"/>
    <n v="20"/>
    <n v="8765"/>
    <n v="0.76670748775367392"/>
    <n v="2024"/>
  </r>
  <r>
    <x v="695"/>
    <x v="1"/>
    <x v="2"/>
    <x v="1"/>
    <n v="9184"/>
    <n v="6996"/>
    <n v="20"/>
    <n v="2188"/>
    <n v="0.23824041811846691"/>
    <n v="2022"/>
  </r>
  <r>
    <x v="602"/>
    <x v="3"/>
    <x v="2"/>
    <x v="0"/>
    <n v="7935"/>
    <n v="11778"/>
    <n v="10"/>
    <n v="-3843"/>
    <n v="-0.48431001890359165"/>
    <n v="2024"/>
  </r>
  <r>
    <x v="696"/>
    <x v="1"/>
    <x v="2"/>
    <x v="1"/>
    <n v="2048"/>
    <n v="5490"/>
    <n v="10"/>
    <n v="-3442"/>
    <n v="-1.6806640625"/>
    <n v="2022"/>
  </r>
  <r>
    <x v="381"/>
    <x v="3"/>
    <x v="0"/>
    <x v="1"/>
    <n v="9835"/>
    <n v="4963"/>
    <n v="15"/>
    <n v="4872"/>
    <n v="0.49537366548042705"/>
    <n v="2022"/>
  </r>
  <r>
    <x v="213"/>
    <x v="0"/>
    <x v="0"/>
    <x v="1"/>
    <n v="5565"/>
    <n v="7362"/>
    <n v="15"/>
    <n v="-1797"/>
    <n v="-0.32291105121293801"/>
    <n v="2023"/>
  </r>
  <r>
    <x v="151"/>
    <x v="0"/>
    <x v="2"/>
    <x v="2"/>
    <n v="6996"/>
    <n v="4631"/>
    <n v="15"/>
    <n v="2365"/>
    <n v="0.33805031446540879"/>
    <n v="2024"/>
  </r>
  <r>
    <x v="235"/>
    <x v="3"/>
    <x v="0"/>
    <x v="0"/>
    <n v="6683"/>
    <n v="9796"/>
    <n v="15"/>
    <n v="-3113"/>
    <n v="-0.46580876851713304"/>
    <n v="2024"/>
  </r>
  <r>
    <x v="697"/>
    <x v="0"/>
    <x v="1"/>
    <x v="3"/>
    <n v="4457"/>
    <n v="3334"/>
    <n v="5"/>
    <n v="1123"/>
    <n v="0.25196320394884453"/>
    <n v="2023"/>
  </r>
  <r>
    <x v="698"/>
    <x v="3"/>
    <x v="0"/>
    <x v="3"/>
    <n v="3907"/>
    <n v="9677"/>
    <n v="5"/>
    <n v="-5770"/>
    <n v="-1.4768364474020987"/>
    <n v="2022"/>
  </r>
  <r>
    <x v="70"/>
    <x v="3"/>
    <x v="0"/>
    <x v="3"/>
    <n v="1139"/>
    <n v="3562"/>
    <n v="15"/>
    <n v="-2423"/>
    <n v="-2.1273046532045652"/>
    <n v="2023"/>
  </r>
  <r>
    <x v="699"/>
    <x v="0"/>
    <x v="2"/>
    <x v="3"/>
    <n v="672"/>
    <n v="2407"/>
    <n v="15"/>
    <n v="-1735"/>
    <n v="-2.5818452380952381"/>
    <n v="2024"/>
  </r>
  <r>
    <x v="700"/>
    <x v="2"/>
    <x v="3"/>
    <x v="1"/>
    <n v="6166"/>
    <n v="7336"/>
    <n v="0"/>
    <n v="-1170"/>
    <n v="-0.18975024326954265"/>
    <n v="2022"/>
  </r>
  <r>
    <x v="337"/>
    <x v="3"/>
    <x v="3"/>
    <x v="0"/>
    <n v="4854"/>
    <n v="10332"/>
    <n v="5"/>
    <n v="-5478"/>
    <n v="-1.1285537700865267"/>
    <n v="2024"/>
  </r>
  <r>
    <x v="470"/>
    <x v="1"/>
    <x v="3"/>
    <x v="0"/>
    <n v="4459"/>
    <n v="4620"/>
    <n v="0"/>
    <n v="-161"/>
    <n v="-3.6106750392464679E-2"/>
    <n v="2023"/>
  </r>
  <r>
    <x v="701"/>
    <x v="1"/>
    <x v="1"/>
    <x v="2"/>
    <n v="9208"/>
    <n v="6238"/>
    <n v="0"/>
    <n v="2970"/>
    <n v="0.32254561251086011"/>
    <n v="2023"/>
  </r>
  <r>
    <x v="702"/>
    <x v="0"/>
    <x v="0"/>
    <x v="0"/>
    <n v="9214"/>
    <n v="3047"/>
    <n v="20"/>
    <n v="6167"/>
    <n v="0.66930757542869546"/>
    <n v="2022"/>
  </r>
  <r>
    <x v="233"/>
    <x v="2"/>
    <x v="3"/>
    <x v="0"/>
    <n v="10609"/>
    <n v="4977"/>
    <n v="10"/>
    <n v="5632"/>
    <n v="0.53087001602413042"/>
    <n v="2024"/>
  </r>
  <r>
    <x v="232"/>
    <x v="0"/>
    <x v="2"/>
    <x v="0"/>
    <n v="3386"/>
    <n v="8272"/>
    <n v="5"/>
    <n v="-4886"/>
    <n v="-1.4430005906674541"/>
    <n v="2024"/>
  </r>
  <r>
    <x v="601"/>
    <x v="2"/>
    <x v="3"/>
    <x v="2"/>
    <n v="2664"/>
    <n v="4564"/>
    <n v="15"/>
    <n v="-1900"/>
    <n v="-0.71321321321321318"/>
    <n v="2024"/>
  </r>
  <r>
    <x v="374"/>
    <x v="3"/>
    <x v="3"/>
    <x v="3"/>
    <n v="10621"/>
    <n v="3433"/>
    <n v="15"/>
    <n v="7188"/>
    <n v="0.67677243197439041"/>
    <n v="2022"/>
  </r>
  <r>
    <x v="26"/>
    <x v="3"/>
    <x v="0"/>
    <x v="0"/>
    <n v="4445"/>
    <n v="11912"/>
    <n v="10"/>
    <n v="-7467"/>
    <n v="-1.6798650168728908"/>
    <n v="2024"/>
  </r>
  <r>
    <x v="210"/>
    <x v="3"/>
    <x v="0"/>
    <x v="2"/>
    <n v="5735"/>
    <n v="1765"/>
    <n v="5"/>
    <n v="3970"/>
    <n v="0.69224062772449868"/>
    <n v="2023"/>
  </r>
  <r>
    <x v="131"/>
    <x v="3"/>
    <x v="0"/>
    <x v="2"/>
    <n v="10901"/>
    <n v="4409"/>
    <n v="15"/>
    <n v="6492"/>
    <n v="0.59554169342262175"/>
    <n v="2022"/>
  </r>
  <r>
    <x v="703"/>
    <x v="1"/>
    <x v="1"/>
    <x v="1"/>
    <n v="8246"/>
    <n v="2511"/>
    <n v="15"/>
    <n v="5735"/>
    <n v="0.69548872180451127"/>
    <n v="2022"/>
  </r>
  <r>
    <x v="18"/>
    <x v="1"/>
    <x v="1"/>
    <x v="2"/>
    <n v="12475"/>
    <n v="5839"/>
    <n v="20"/>
    <n v="6636"/>
    <n v="0.53194388777555113"/>
    <n v="2024"/>
  </r>
  <r>
    <x v="290"/>
    <x v="0"/>
    <x v="3"/>
    <x v="3"/>
    <n v="3090"/>
    <n v="11296"/>
    <n v="0"/>
    <n v="-8206"/>
    <n v="-2.6556634304207121"/>
    <n v="2023"/>
  </r>
  <r>
    <x v="704"/>
    <x v="2"/>
    <x v="0"/>
    <x v="0"/>
    <n v="8254"/>
    <n v="10035"/>
    <n v="15"/>
    <n v="-1781"/>
    <n v="-0.21577417009934577"/>
    <n v="2022"/>
  </r>
  <r>
    <x v="705"/>
    <x v="3"/>
    <x v="3"/>
    <x v="2"/>
    <n v="5434"/>
    <n v="1989"/>
    <n v="5"/>
    <n v="3445"/>
    <n v="0.63397129186602874"/>
    <n v="2023"/>
  </r>
  <r>
    <x v="706"/>
    <x v="3"/>
    <x v="2"/>
    <x v="3"/>
    <n v="4576"/>
    <n v="10063"/>
    <n v="10"/>
    <n v="-5487"/>
    <n v="-1.1990821678321679"/>
    <n v="2022"/>
  </r>
  <r>
    <x v="707"/>
    <x v="2"/>
    <x v="2"/>
    <x v="2"/>
    <n v="5685"/>
    <n v="8027"/>
    <n v="20"/>
    <n v="-2342"/>
    <n v="-0.41196130167106421"/>
    <n v="2024"/>
  </r>
  <r>
    <x v="235"/>
    <x v="2"/>
    <x v="0"/>
    <x v="2"/>
    <n v="1593"/>
    <n v="8064"/>
    <n v="5"/>
    <n v="-6471"/>
    <n v="-4.0621468926553677"/>
    <n v="2024"/>
  </r>
  <r>
    <x v="708"/>
    <x v="0"/>
    <x v="0"/>
    <x v="2"/>
    <n v="4380"/>
    <n v="4841"/>
    <n v="20"/>
    <n v="-461"/>
    <n v="-0.10525114155251142"/>
    <n v="2022"/>
  </r>
  <r>
    <x v="448"/>
    <x v="2"/>
    <x v="2"/>
    <x v="2"/>
    <n v="11186"/>
    <n v="11771"/>
    <n v="0"/>
    <n v="-585"/>
    <n v="-5.2297514750581087E-2"/>
    <n v="2023"/>
  </r>
  <r>
    <x v="709"/>
    <x v="3"/>
    <x v="0"/>
    <x v="2"/>
    <n v="7059"/>
    <n v="3841"/>
    <n v="15"/>
    <n v="3218"/>
    <n v="0.45587193653491997"/>
    <n v="2023"/>
  </r>
  <r>
    <x v="710"/>
    <x v="3"/>
    <x v="1"/>
    <x v="3"/>
    <n v="11271"/>
    <n v="11515"/>
    <n v="5"/>
    <n v="-244"/>
    <n v="-2.1648478395883242E-2"/>
    <n v="2022"/>
  </r>
  <r>
    <x v="558"/>
    <x v="3"/>
    <x v="1"/>
    <x v="0"/>
    <n v="11180"/>
    <n v="1118"/>
    <n v="10"/>
    <n v="10062"/>
    <n v="0.9"/>
    <n v="2023"/>
  </r>
  <r>
    <x v="584"/>
    <x v="3"/>
    <x v="0"/>
    <x v="0"/>
    <n v="3285"/>
    <n v="4821"/>
    <n v="0"/>
    <n v="-1536"/>
    <n v="-0.46757990867579907"/>
    <n v="2022"/>
  </r>
  <r>
    <x v="426"/>
    <x v="3"/>
    <x v="2"/>
    <x v="0"/>
    <n v="6565"/>
    <n v="1424"/>
    <n v="0"/>
    <n v="5141"/>
    <n v="0.78309215536938315"/>
    <n v="2022"/>
  </r>
  <r>
    <x v="711"/>
    <x v="0"/>
    <x v="3"/>
    <x v="0"/>
    <n v="7039"/>
    <n v="5960"/>
    <n v="20"/>
    <n v="1079"/>
    <n v="0.15328881943457878"/>
    <n v="2022"/>
  </r>
  <r>
    <x v="299"/>
    <x v="3"/>
    <x v="0"/>
    <x v="3"/>
    <n v="11450"/>
    <n v="5941"/>
    <n v="0"/>
    <n v="5509"/>
    <n v="0.48113537117903932"/>
    <n v="2023"/>
  </r>
  <r>
    <x v="712"/>
    <x v="0"/>
    <x v="0"/>
    <x v="1"/>
    <n v="2074"/>
    <n v="1429"/>
    <n v="5"/>
    <n v="645"/>
    <n v="0.31099324975891995"/>
    <n v="2023"/>
  </r>
  <r>
    <x v="713"/>
    <x v="3"/>
    <x v="3"/>
    <x v="1"/>
    <n v="6176"/>
    <n v="2002"/>
    <n v="20"/>
    <n v="4174"/>
    <n v="0.67584196891191706"/>
    <n v="2024"/>
  </r>
  <r>
    <x v="714"/>
    <x v="1"/>
    <x v="0"/>
    <x v="3"/>
    <n v="11065"/>
    <n v="2301"/>
    <n v="0"/>
    <n v="8764"/>
    <n v="0.79204699502937193"/>
    <n v="2023"/>
  </r>
  <r>
    <x v="715"/>
    <x v="1"/>
    <x v="3"/>
    <x v="3"/>
    <n v="8560"/>
    <n v="7212"/>
    <n v="10"/>
    <n v="1348"/>
    <n v="0.15747663551401869"/>
    <n v="2023"/>
  </r>
  <r>
    <x v="683"/>
    <x v="1"/>
    <x v="2"/>
    <x v="2"/>
    <n v="4490"/>
    <n v="4178"/>
    <n v="5"/>
    <n v="312"/>
    <n v="6.9487750556792877E-2"/>
    <n v="2024"/>
  </r>
  <r>
    <x v="716"/>
    <x v="1"/>
    <x v="1"/>
    <x v="2"/>
    <n v="5710"/>
    <n v="7532"/>
    <n v="10"/>
    <n v="-1822"/>
    <n v="-0.31908931698774079"/>
    <n v="2024"/>
  </r>
  <r>
    <x v="155"/>
    <x v="0"/>
    <x v="2"/>
    <x v="2"/>
    <n v="5345"/>
    <n v="10298"/>
    <n v="10"/>
    <n v="-4953"/>
    <n v="-0.92666043030869971"/>
    <n v="2022"/>
  </r>
  <r>
    <x v="481"/>
    <x v="0"/>
    <x v="1"/>
    <x v="0"/>
    <n v="9785"/>
    <n v="11439"/>
    <n v="20"/>
    <n v="-1654"/>
    <n v="-0.16903423607562595"/>
    <n v="2022"/>
  </r>
  <r>
    <x v="612"/>
    <x v="2"/>
    <x v="3"/>
    <x v="2"/>
    <n v="1689"/>
    <n v="6631"/>
    <n v="15"/>
    <n v="-4942"/>
    <n v="-2.92599171107164"/>
    <n v="2024"/>
  </r>
  <r>
    <x v="129"/>
    <x v="3"/>
    <x v="1"/>
    <x v="1"/>
    <n v="3189"/>
    <n v="6335"/>
    <n v="20"/>
    <n v="-3146"/>
    <n v="-0.98651614926309183"/>
    <n v="2023"/>
  </r>
  <r>
    <x v="671"/>
    <x v="1"/>
    <x v="2"/>
    <x v="0"/>
    <n v="4595"/>
    <n v="11701"/>
    <n v="5"/>
    <n v="-7106"/>
    <n v="-1.5464635473340587"/>
    <n v="2024"/>
  </r>
  <r>
    <x v="589"/>
    <x v="0"/>
    <x v="1"/>
    <x v="2"/>
    <n v="2375"/>
    <n v="10644"/>
    <n v="5"/>
    <n v="-8269"/>
    <n v="-3.4816842105263159"/>
    <n v="2022"/>
  </r>
  <r>
    <x v="717"/>
    <x v="3"/>
    <x v="3"/>
    <x v="0"/>
    <n v="8268"/>
    <n v="6823"/>
    <n v="20"/>
    <n v="1445"/>
    <n v="0.17477019835510402"/>
    <n v="2024"/>
  </r>
  <r>
    <x v="200"/>
    <x v="3"/>
    <x v="1"/>
    <x v="1"/>
    <n v="3906"/>
    <n v="8411"/>
    <n v="15"/>
    <n v="-4505"/>
    <n v="-1.1533538146441373"/>
    <n v="2022"/>
  </r>
  <r>
    <x v="112"/>
    <x v="0"/>
    <x v="0"/>
    <x v="2"/>
    <n v="10479"/>
    <n v="9036"/>
    <n v="20"/>
    <n v="1443"/>
    <n v="0.13770397938734613"/>
    <n v="2023"/>
  </r>
  <r>
    <x v="718"/>
    <x v="1"/>
    <x v="2"/>
    <x v="1"/>
    <n v="4432"/>
    <n v="2701"/>
    <n v="5"/>
    <n v="1731"/>
    <n v="0.39056859205776173"/>
    <n v="2024"/>
  </r>
  <r>
    <x v="355"/>
    <x v="2"/>
    <x v="0"/>
    <x v="1"/>
    <n v="10299"/>
    <n v="10856"/>
    <n v="15"/>
    <n v="-557"/>
    <n v="-5.4082920671909895E-2"/>
    <n v="2024"/>
  </r>
  <r>
    <x v="200"/>
    <x v="3"/>
    <x v="3"/>
    <x v="1"/>
    <n v="12440"/>
    <n v="9781"/>
    <n v="5"/>
    <n v="2659"/>
    <n v="0.21374598070739551"/>
    <n v="2022"/>
  </r>
  <r>
    <x v="603"/>
    <x v="2"/>
    <x v="1"/>
    <x v="2"/>
    <n v="8740"/>
    <n v="10367"/>
    <n v="15"/>
    <n v="-1627"/>
    <n v="-0.18615560640732265"/>
    <n v="2024"/>
  </r>
  <r>
    <x v="297"/>
    <x v="1"/>
    <x v="0"/>
    <x v="3"/>
    <n v="13863"/>
    <n v="9274"/>
    <n v="15"/>
    <n v="4589"/>
    <n v="0.33102503065714489"/>
    <n v="2022"/>
  </r>
  <r>
    <x v="609"/>
    <x v="1"/>
    <x v="0"/>
    <x v="2"/>
    <n v="5908"/>
    <n v="839"/>
    <n v="20"/>
    <n v="5069"/>
    <n v="0.85798916723087337"/>
    <n v="2024"/>
  </r>
  <r>
    <x v="719"/>
    <x v="2"/>
    <x v="1"/>
    <x v="1"/>
    <n v="4361"/>
    <n v="11274"/>
    <n v="20"/>
    <n v="-6913"/>
    <n v="-1.5851868837422609"/>
    <n v="2024"/>
  </r>
  <r>
    <x v="720"/>
    <x v="1"/>
    <x v="1"/>
    <x v="2"/>
    <n v="14437"/>
    <n v="5915"/>
    <n v="20"/>
    <n v="8522"/>
    <n v="0.59028884117198865"/>
    <n v="2023"/>
  </r>
  <r>
    <x v="550"/>
    <x v="3"/>
    <x v="2"/>
    <x v="1"/>
    <n v="7906"/>
    <n v="11160"/>
    <n v="15"/>
    <n v="-3254"/>
    <n v="-0.41158613711105491"/>
    <n v="2022"/>
  </r>
  <r>
    <x v="180"/>
    <x v="2"/>
    <x v="0"/>
    <x v="3"/>
    <n v="10872"/>
    <n v="3256"/>
    <n v="15"/>
    <n v="7616"/>
    <n v="0.70051508462104484"/>
    <n v="2022"/>
  </r>
  <r>
    <x v="292"/>
    <x v="1"/>
    <x v="0"/>
    <x v="0"/>
    <n v="11738"/>
    <n v="8377"/>
    <n v="5"/>
    <n v="3361"/>
    <n v="0.28633498040552052"/>
    <n v="2024"/>
  </r>
  <r>
    <x v="249"/>
    <x v="2"/>
    <x v="3"/>
    <x v="3"/>
    <n v="3333"/>
    <n v="4022"/>
    <n v="10"/>
    <n v="-689"/>
    <n v="-0.20672067206720673"/>
    <n v="2023"/>
  </r>
  <r>
    <x v="431"/>
    <x v="3"/>
    <x v="2"/>
    <x v="3"/>
    <n v="5785"/>
    <n v="10325"/>
    <n v="20"/>
    <n v="-4540"/>
    <n v="-0.78478824546240278"/>
    <n v="2023"/>
  </r>
  <r>
    <x v="721"/>
    <x v="1"/>
    <x v="3"/>
    <x v="0"/>
    <n v="10089"/>
    <n v="5387"/>
    <n v="5"/>
    <n v="4702"/>
    <n v="0.46605213598969175"/>
    <n v="2024"/>
  </r>
  <r>
    <x v="79"/>
    <x v="3"/>
    <x v="0"/>
    <x v="2"/>
    <n v="14616"/>
    <n v="10638"/>
    <n v="5"/>
    <n v="3978"/>
    <n v="0.27216748768472904"/>
    <n v="2023"/>
  </r>
  <r>
    <x v="314"/>
    <x v="1"/>
    <x v="3"/>
    <x v="0"/>
    <n v="8145"/>
    <n v="6760"/>
    <n v="0"/>
    <n v="1385"/>
    <n v="0.17004297114794353"/>
    <n v="2023"/>
  </r>
  <r>
    <x v="722"/>
    <x v="0"/>
    <x v="0"/>
    <x v="2"/>
    <n v="12518"/>
    <n v="2470"/>
    <n v="20"/>
    <n v="10048"/>
    <n v="0.80268413484582202"/>
    <n v="2024"/>
  </r>
  <r>
    <x v="343"/>
    <x v="1"/>
    <x v="0"/>
    <x v="2"/>
    <n v="13266"/>
    <n v="3691"/>
    <n v="5"/>
    <n v="9575"/>
    <n v="0.72176993818784863"/>
    <n v="2022"/>
  </r>
  <r>
    <x v="583"/>
    <x v="2"/>
    <x v="3"/>
    <x v="1"/>
    <n v="9523"/>
    <n v="7242"/>
    <n v="0"/>
    <n v="2281"/>
    <n v="0.23952535965557073"/>
    <n v="2022"/>
  </r>
  <r>
    <x v="710"/>
    <x v="1"/>
    <x v="3"/>
    <x v="1"/>
    <n v="11389"/>
    <n v="1916"/>
    <n v="20"/>
    <n v="9473"/>
    <n v="0.83176749495126878"/>
    <n v="2022"/>
  </r>
  <r>
    <x v="312"/>
    <x v="3"/>
    <x v="1"/>
    <x v="0"/>
    <n v="14402"/>
    <n v="9408"/>
    <n v="15"/>
    <n v="4994"/>
    <n v="0.34675739480627693"/>
    <n v="2022"/>
  </r>
  <r>
    <x v="723"/>
    <x v="3"/>
    <x v="1"/>
    <x v="3"/>
    <n v="5277"/>
    <n v="6758"/>
    <n v="0"/>
    <n v="-1481"/>
    <n v="-0.2806518855410271"/>
    <n v="2024"/>
  </r>
  <r>
    <x v="724"/>
    <x v="1"/>
    <x v="1"/>
    <x v="0"/>
    <n v="3235"/>
    <n v="3056"/>
    <n v="15"/>
    <n v="179"/>
    <n v="5.5332302936630599E-2"/>
    <n v="2024"/>
  </r>
  <r>
    <x v="555"/>
    <x v="2"/>
    <x v="0"/>
    <x v="2"/>
    <n v="14111"/>
    <n v="7153"/>
    <n v="10"/>
    <n v="6958"/>
    <n v="0.49309049677556516"/>
    <n v="2022"/>
  </r>
  <r>
    <x v="725"/>
    <x v="0"/>
    <x v="3"/>
    <x v="1"/>
    <n v="8773"/>
    <n v="8009"/>
    <n v="10"/>
    <n v="764"/>
    <n v="8.7085375584178726E-2"/>
    <n v="2023"/>
  </r>
  <r>
    <x v="134"/>
    <x v="2"/>
    <x v="2"/>
    <x v="0"/>
    <n v="8778"/>
    <n v="2236"/>
    <n v="10"/>
    <n v="6542"/>
    <n v="0.74527227158806109"/>
    <n v="2024"/>
  </r>
  <r>
    <x v="726"/>
    <x v="0"/>
    <x v="0"/>
    <x v="0"/>
    <n v="6868"/>
    <n v="3391"/>
    <n v="10"/>
    <n v="3477"/>
    <n v="0.50626092020966806"/>
    <n v="2023"/>
  </r>
  <r>
    <x v="627"/>
    <x v="3"/>
    <x v="2"/>
    <x v="1"/>
    <n v="10755"/>
    <n v="1268"/>
    <n v="5"/>
    <n v="9487"/>
    <n v="0.88210134821013486"/>
    <n v="2024"/>
  </r>
  <r>
    <x v="235"/>
    <x v="2"/>
    <x v="3"/>
    <x v="1"/>
    <n v="1321"/>
    <n v="7597"/>
    <n v="10"/>
    <n v="-6276"/>
    <n v="-4.7509462528387587"/>
    <n v="2024"/>
  </r>
  <r>
    <x v="455"/>
    <x v="0"/>
    <x v="0"/>
    <x v="1"/>
    <n v="8025"/>
    <n v="11856"/>
    <n v="5"/>
    <n v="-3831"/>
    <n v="-0.47738317757009346"/>
    <n v="2024"/>
  </r>
  <r>
    <x v="372"/>
    <x v="1"/>
    <x v="2"/>
    <x v="2"/>
    <n v="662"/>
    <n v="3503"/>
    <n v="5"/>
    <n v="-2841"/>
    <n v="-4.2915407854984897"/>
    <n v="2022"/>
  </r>
  <r>
    <x v="74"/>
    <x v="3"/>
    <x v="2"/>
    <x v="1"/>
    <n v="8277"/>
    <n v="6799"/>
    <n v="20"/>
    <n v="1478"/>
    <n v="0.17856711368853451"/>
    <n v="2023"/>
  </r>
  <r>
    <x v="727"/>
    <x v="1"/>
    <x v="1"/>
    <x v="3"/>
    <n v="12431"/>
    <n v="5473"/>
    <n v="5"/>
    <n v="6958"/>
    <n v="0.55972970798809429"/>
    <n v="2022"/>
  </r>
  <r>
    <x v="158"/>
    <x v="3"/>
    <x v="1"/>
    <x v="0"/>
    <n v="11089"/>
    <n v="1189"/>
    <n v="5"/>
    <n v="9900"/>
    <n v="0.89277662548471459"/>
    <n v="2024"/>
  </r>
  <r>
    <x v="461"/>
    <x v="2"/>
    <x v="1"/>
    <x v="1"/>
    <n v="2432"/>
    <n v="9284"/>
    <n v="10"/>
    <n v="-6852"/>
    <n v="-2.8174342105263159"/>
    <n v="2024"/>
  </r>
  <r>
    <x v="728"/>
    <x v="2"/>
    <x v="0"/>
    <x v="1"/>
    <n v="11420"/>
    <n v="11950"/>
    <n v="5"/>
    <n v="-530"/>
    <n v="-4.6409807355516634E-2"/>
    <n v="2024"/>
  </r>
  <r>
    <x v="196"/>
    <x v="3"/>
    <x v="3"/>
    <x v="2"/>
    <n v="4035"/>
    <n v="9473"/>
    <n v="15"/>
    <n v="-5438"/>
    <n v="-1.3477075588599752"/>
    <n v="2022"/>
  </r>
  <r>
    <x v="634"/>
    <x v="3"/>
    <x v="3"/>
    <x v="2"/>
    <n v="14638"/>
    <n v="7682"/>
    <n v="10"/>
    <n v="6956"/>
    <n v="0.47520153026369721"/>
    <n v="2022"/>
  </r>
  <r>
    <x v="185"/>
    <x v="3"/>
    <x v="1"/>
    <x v="0"/>
    <n v="6456"/>
    <n v="3831"/>
    <n v="0"/>
    <n v="2625"/>
    <n v="0.40659851301115241"/>
    <n v="2024"/>
  </r>
  <r>
    <x v="729"/>
    <x v="2"/>
    <x v="1"/>
    <x v="3"/>
    <n v="3946"/>
    <n v="1101"/>
    <n v="10"/>
    <n v="2845"/>
    <n v="0.72098327420172326"/>
    <n v="2023"/>
  </r>
  <r>
    <x v="340"/>
    <x v="0"/>
    <x v="1"/>
    <x v="0"/>
    <n v="13903"/>
    <n v="8534"/>
    <n v="5"/>
    <n v="5369"/>
    <n v="0.38617564554412714"/>
    <n v="2022"/>
  </r>
  <r>
    <x v="128"/>
    <x v="1"/>
    <x v="2"/>
    <x v="1"/>
    <n v="3290"/>
    <n v="3649"/>
    <n v="15"/>
    <n v="-359"/>
    <n v="-0.10911854103343466"/>
    <n v="2024"/>
  </r>
  <r>
    <x v="125"/>
    <x v="1"/>
    <x v="1"/>
    <x v="3"/>
    <n v="3207"/>
    <n v="8305"/>
    <n v="10"/>
    <n v="-5098"/>
    <n v="-1.5896476457748674"/>
    <n v="2024"/>
  </r>
  <r>
    <x v="128"/>
    <x v="2"/>
    <x v="2"/>
    <x v="3"/>
    <n v="8459"/>
    <n v="10269"/>
    <n v="15"/>
    <n v="-1810"/>
    <n v="-0.21397328289395909"/>
    <n v="2024"/>
  </r>
  <r>
    <x v="77"/>
    <x v="1"/>
    <x v="3"/>
    <x v="3"/>
    <n v="14670"/>
    <n v="3501"/>
    <n v="0"/>
    <n v="11169"/>
    <n v="0.76134969325153379"/>
    <n v="2023"/>
  </r>
  <r>
    <x v="529"/>
    <x v="3"/>
    <x v="0"/>
    <x v="3"/>
    <n v="4433"/>
    <n v="649"/>
    <n v="0"/>
    <n v="3784"/>
    <n v="0.85359801488833742"/>
    <n v="2024"/>
  </r>
  <r>
    <x v="427"/>
    <x v="0"/>
    <x v="0"/>
    <x v="0"/>
    <n v="3885"/>
    <n v="10059"/>
    <n v="20"/>
    <n v="-6174"/>
    <n v="-1.5891891891891892"/>
    <n v="2022"/>
  </r>
  <r>
    <x v="131"/>
    <x v="1"/>
    <x v="0"/>
    <x v="2"/>
    <n v="7136"/>
    <n v="9621"/>
    <n v="20"/>
    <n v="-2485"/>
    <n v="-0.34823430493273544"/>
    <n v="2022"/>
  </r>
  <r>
    <x v="730"/>
    <x v="0"/>
    <x v="0"/>
    <x v="2"/>
    <n v="1422"/>
    <n v="11451"/>
    <n v="10"/>
    <n v="-10029"/>
    <n v="-7.052742616033755"/>
    <n v="2022"/>
  </r>
  <r>
    <x v="327"/>
    <x v="3"/>
    <x v="2"/>
    <x v="1"/>
    <n v="8589"/>
    <n v="10272"/>
    <n v="20"/>
    <n v="-1683"/>
    <n v="-0.19594830597275584"/>
    <n v="2022"/>
  </r>
  <r>
    <x v="408"/>
    <x v="1"/>
    <x v="2"/>
    <x v="2"/>
    <n v="10867"/>
    <n v="883"/>
    <n v="15"/>
    <n v="9984"/>
    <n v="0.91874482377841171"/>
    <n v="2023"/>
  </r>
  <r>
    <x v="529"/>
    <x v="2"/>
    <x v="1"/>
    <x v="2"/>
    <n v="14237"/>
    <n v="3677"/>
    <n v="20"/>
    <n v="10560"/>
    <n v="0.74172929690243727"/>
    <n v="2024"/>
  </r>
  <r>
    <x v="727"/>
    <x v="0"/>
    <x v="2"/>
    <x v="2"/>
    <n v="10274"/>
    <n v="6328"/>
    <n v="15"/>
    <n v="3946"/>
    <n v="0.38407630912984231"/>
    <n v="2022"/>
  </r>
  <r>
    <x v="583"/>
    <x v="3"/>
    <x v="1"/>
    <x v="2"/>
    <n v="1064"/>
    <n v="7994"/>
    <n v="20"/>
    <n v="-6930"/>
    <n v="-6.5131578947368425"/>
    <n v="2022"/>
  </r>
  <r>
    <x v="309"/>
    <x v="0"/>
    <x v="1"/>
    <x v="1"/>
    <n v="3758"/>
    <n v="6496"/>
    <n v="20"/>
    <n v="-2738"/>
    <n v="-0.72857903139968072"/>
    <n v="2022"/>
  </r>
  <r>
    <x v="42"/>
    <x v="1"/>
    <x v="0"/>
    <x v="0"/>
    <n v="11289"/>
    <n v="7383"/>
    <n v="20"/>
    <n v="3906"/>
    <n v="0.34600053149083176"/>
    <n v="2022"/>
  </r>
  <r>
    <x v="731"/>
    <x v="1"/>
    <x v="2"/>
    <x v="3"/>
    <n v="3000"/>
    <n v="3701"/>
    <n v="5"/>
    <n v="-701"/>
    <n v="-0.23366666666666666"/>
    <n v="2022"/>
  </r>
  <r>
    <x v="732"/>
    <x v="2"/>
    <x v="2"/>
    <x v="2"/>
    <n v="5066"/>
    <n v="3485"/>
    <n v="5"/>
    <n v="1581"/>
    <n v="0.31208053691275167"/>
    <n v="2023"/>
  </r>
  <r>
    <x v="57"/>
    <x v="3"/>
    <x v="1"/>
    <x v="0"/>
    <n v="9679"/>
    <n v="10686"/>
    <n v="20"/>
    <n v="-1007"/>
    <n v="-0.10403967351999173"/>
    <n v="2024"/>
  </r>
  <r>
    <x v="723"/>
    <x v="3"/>
    <x v="1"/>
    <x v="2"/>
    <n v="7381"/>
    <n v="5585"/>
    <n v="15"/>
    <n v="1796"/>
    <n v="0.24332746240346836"/>
    <n v="2024"/>
  </r>
  <r>
    <x v="511"/>
    <x v="2"/>
    <x v="3"/>
    <x v="2"/>
    <n v="4136"/>
    <n v="9654"/>
    <n v="10"/>
    <n v="-5518"/>
    <n v="-1.3341392649903288"/>
    <n v="2022"/>
  </r>
  <r>
    <x v="122"/>
    <x v="2"/>
    <x v="3"/>
    <x v="3"/>
    <n v="6530"/>
    <n v="7072"/>
    <n v="0"/>
    <n v="-542"/>
    <n v="-8.3001531393568154E-2"/>
    <n v="2023"/>
  </r>
  <r>
    <x v="594"/>
    <x v="3"/>
    <x v="1"/>
    <x v="3"/>
    <n v="723"/>
    <n v="8790"/>
    <n v="5"/>
    <n v="-8067"/>
    <n v="-11.157676348547717"/>
    <n v="2022"/>
  </r>
  <r>
    <x v="218"/>
    <x v="0"/>
    <x v="3"/>
    <x v="3"/>
    <n v="6797"/>
    <n v="3647"/>
    <n v="20"/>
    <n v="3150"/>
    <n v="0.46343975283213185"/>
    <n v="2022"/>
  </r>
  <r>
    <x v="565"/>
    <x v="0"/>
    <x v="3"/>
    <x v="2"/>
    <n v="850"/>
    <n v="10431"/>
    <n v="0"/>
    <n v="-9581"/>
    <n v="-11.271764705882353"/>
    <n v="2023"/>
  </r>
  <r>
    <x v="23"/>
    <x v="2"/>
    <x v="1"/>
    <x v="2"/>
    <n v="7814"/>
    <n v="1088"/>
    <n v="5"/>
    <n v="6726"/>
    <n v="0.86076273355515742"/>
    <n v="2023"/>
  </r>
  <r>
    <x v="642"/>
    <x v="0"/>
    <x v="1"/>
    <x v="2"/>
    <n v="2428"/>
    <n v="5245"/>
    <n v="10"/>
    <n v="-2817"/>
    <n v="-1.1602141680395388"/>
    <n v="2022"/>
  </r>
  <r>
    <x v="464"/>
    <x v="3"/>
    <x v="2"/>
    <x v="3"/>
    <n v="8243"/>
    <n v="3189"/>
    <n v="15"/>
    <n v="5054"/>
    <n v="0.61312628897246146"/>
    <n v="2022"/>
  </r>
  <r>
    <x v="122"/>
    <x v="1"/>
    <x v="1"/>
    <x v="1"/>
    <n v="9040"/>
    <n v="9869"/>
    <n v="20"/>
    <n v="-829"/>
    <n v="-9.1703539823008856E-2"/>
    <n v="2023"/>
  </r>
  <r>
    <x v="329"/>
    <x v="1"/>
    <x v="1"/>
    <x v="0"/>
    <n v="12969"/>
    <n v="5573"/>
    <n v="10"/>
    <n v="7396"/>
    <n v="0.57028298249672293"/>
    <n v="2024"/>
  </r>
  <r>
    <x v="332"/>
    <x v="0"/>
    <x v="0"/>
    <x v="1"/>
    <n v="5232"/>
    <n v="10441"/>
    <n v="5"/>
    <n v="-5209"/>
    <n v="-0.99560397553516822"/>
    <n v="2024"/>
  </r>
  <r>
    <x v="733"/>
    <x v="2"/>
    <x v="2"/>
    <x v="2"/>
    <n v="1517"/>
    <n v="3572"/>
    <n v="20"/>
    <n v="-2055"/>
    <n v="-1.3546473302570863"/>
    <n v="2024"/>
  </r>
  <r>
    <x v="734"/>
    <x v="2"/>
    <x v="2"/>
    <x v="2"/>
    <n v="2726"/>
    <n v="9369"/>
    <n v="0"/>
    <n v="-6643"/>
    <n v="-2.4369038884812912"/>
    <n v="2023"/>
  </r>
  <r>
    <x v="735"/>
    <x v="2"/>
    <x v="2"/>
    <x v="1"/>
    <n v="7706"/>
    <n v="5534"/>
    <n v="15"/>
    <n v="2172"/>
    <n v="0.28185829223981312"/>
    <n v="2023"/>
  </r>
  <r>
    <x v="395"/>
    <x v="2"/>
    <x v="0"/>
    <x v="2"/>
    <n v="13559"/>
    <n v="10069"/>
    <n v="5"/>
    <n v="3490"/>
    <n v="0.2573936130983111"/>
    <n v="2023"/>
  </r>
  <r>
    <x v="511"/>
    <x v="2"/>
    <x v="1"/>
    <x v="0"/>
    <n v="7670"/>
    <n v="7202"/>
    <n v="15"/>
    <n v="468"/>
    <n v="6.1016949152542375E-2"/>
    <n v="2022"/>
  </r>
  <r>
    <x v="646"/>
    <x v="0"/>
    <x v="2"/>
    <x v="2"/>
    <n v="13803"/>
    <n v="11631"/>
    <n v="20"/>
    <n v="2172"/>
    <n v="0.15735709628341665"/>
    <n v="2022"/>
  </r>
  <r>
    <x v="594"/>
    <x v="1"/>
    <x v="2"/>
    <x v="0"/>
    <n v="6707"/>
    <n v="7912"/>
    <n v="10"/>
    <n v="-1205"/>
    <n v="-0.17966303861637095"/>
    <n v="2022"/>
  </r>
  <r>
    <x v="736"/>
    <x v="1"/>
    <x v="3"/>
    <x v="1"/>
    <n v="12816"/>
    <n v="2792"/>
    <n v="15"/>
    <n v="10024"/>
    <n v="0.78214731585518105"/>
    <n v="2023"/>
  </r>
  <r>
    <x v="737"/>
    <x v="0"/>
    <x v="2"/>
    <x v="1"/>
    <n v="2919"/>
    <n v="11247"/>
    <n v="0"/>
    <n v="-8328"/>
    <n v="-2.8530318602261047"/>
    <n v="2022"/>
  </r>
  <r>
    <x v="211"/>
    <x v="2"/>
    <x v="1"/>
    <x v="2"/>
    <n v="6740"/>
    <n v="7045"/>
    <n v="5"/>
    <n v="-305"/>
    <n v="-4.5252225519287835E-2"/>
    <n v="2024"/>
  </r>
  <r>
    <x v="208"/>
    <x v="0"/>
    <x v="1"/>
    <x v="0"/>
    <n v="2393"/>
    <n v="10395"/>
    <n v="0"/>
    <n v="-8002"/>
    <n v="-3.3439197659841202"/>
    <n v="2022"/>
  </r>
  <r>
    <x v="477"/>
    <x v="1"/>
    <x v="3"/>
    <x v="2"/>
    <n v="14253"/>
    <n v="9874"/>
    <n v="15"/>
    <n v="4379"/>
    <n v="0.30723356486353748"/>
    <n v="2022"/>
  </r>
  <r>
    <x v="680"/>
    <x v="3"/>
    <x v="2"/>
    <x v="3"/>
    <n v="5822"/>
    <n v="4540"/>
    <n v="10"/>
    <n v="1282"/>
    <n v="0.2201992442459636"/>
    <n v="2024"/>
  </r>
  <r>
    <x v="23"/>
    <x v="0"/>
    <x v="2"/>
    <x v="3"/>
    <n v="11732"/>
    <n v="2622"/>
    <n v="10"/>
    <n v="9110"/>
    <n v="0.77650869416979207"/>
    <n v="2023"/>
  </r>
  <r>
    <x v="738"/>
    <x v="2"/>
    <x v="2"/>
    <x v="3"/>
    <n v="10760"/>
    <n v="11048"/>
    <n v="0"/>
    <n v="-288"/>
    <n v="-2.6765799256505577E-2"/>
    <n v="2023"/>
  </r>
  <r>
    <x v="739"/>
    <x v="1"/>
    <x v="0"/>
    <x v="3"/>
    <n v="8218"/>
    <n v="5598"/>
    <n v="20"/>
    <n v="2620"/>
    <n v="0.31881236310537842"/>
    <n v="2024"/>
  </r>
  <r>
    <x v="507"/>
    <x v="1"/>
    <x v="2"/>
    <x v="2"/>
    <n v="7378"/>
    <n v="2161"/>
    <n v="20"/>
    <n v="5217"/>
    <n v="0.70710219571699651"/>
    <n v="2022"/>
  </r>
  <r>
    <x v="740"/>
    <x v="1"/>
    <x v="1"/>
    <x v="3"/>
    <n v="1625"/>
    <n v="6920"/>
    <n v="10"/>
    <n v="-5295"/>
    <n v="-3.2584615384615385"/>
    <n v="2023"/>
  </r>
  <r>
    <x v="595"/>
    <x v="1"/>
    <x v="1"/>
    <x v="0"/>
    <n v="3617"/>
    <n v="10358"/>
    <n v="0"/>
    <n v="-6741"/>
    <n v="-1.8636991982305777"/>
    <n v="2024"/>
  </r>
  <r>
    <x v="4"/>
    <x v="2"/>
    <x v="0"/>
    <x v="1"/>
    <n v="4661"/>
    <n v="4347"/>
    <n v="0"/>
    <n v="314"/>
    <n v="6.7367517700064369E-2"/>
    <n v="2023"/>
  </r>
  <r>
    <x v="701"/>
    <x v="3"/>
    <x v="0"/>
    <x v="1"/>
    <n v="4542"/>
    <n v="7881"/>
    <n v="0"/>
    <n v="-3339"/>
    <n v="-0.73513870541611626"/>
    <n v="2023"/>
  </r>
  <r>
    <x v="741"/>
    <x v="1"/>
    <x v="2"/>
    <x v="3"/>
    <n v="13922"/>
    <n v="7620"/>
    <n v="15"/>
    <n v="6302"/>
    <n v="0.45266484700474069"/>
    <n v="2023"/>
  </r>
  <r>
    <x v="742"/>
    <x v="0"/>
    <x v="3"/>
    <x v="3"/>
    <n v="4933"/>
    <n v="11667"/>
    <n v="20"/>
    <n v="-6734"/>
    <n v="-1.3650922359618893"/>
    <n v="2024"/>
  </r>
  <r>
    <x v="743"/>
    <x v="3"/>
    <x v="0"/>
    <x v="3"/>
    <n v="10862"/>
    <n v="1398"/>
    <n v="20"/>
    <n v="9464"/>
    <n v="0.87129442091695819"/>
    <n v="2023"/>
  </r>
  <r>
    <x v="686"/>
    <x v="1"/>
    <x v="0"/>
    <x v="2"/>
    <n v="14516"/>
    <n v="5547"/>
    <n v="15"/>
    <n v="8969"/>
    <n v="0.6178699366216589"/>
    <n v="2022"/>
  </r>
  <r>
    <x v="340"/>
    <x v="3"/>
    <x v="2"/>
    <x v="1"/>
    <n v="9138"/>
    <n v="2034"/>
    <n v="5"/>
    <n v="7104"/>
    <n v="0.7774130006565988"/>
    <n v="2022"/>
  </r>
  <r>
    <x v="744"/>
    <x v="0"/>
    <x v="2"/>
    <x v="3"/>
    <n v="3158"/>
    <n v="4963"/>
    <n v="15"/>
    <n v="-1805"/>
    <n v="-0.57156428119062697"/>
    <n v="2024"/>
  </r>
  <r>
    <x v="745"/>
    <x v="1"/>
    <x v="0"/>
    <x v="0"/>
    <n v="12054"/>
    <n v="6209"/>
    <n v="0"/>
    <n v="5845"/>
    <n v="0.48490127758420443"/>
    <n v="2022"/>
  </r>
  <r>
    <x v="746"/>
    <x v="0"/>
    <x v="3"/>
    <x v="3"/>
    <n v="11410"/>
    <n v="3716"/>
    <n v="15"/>
    <n v="7694"/>
    <n v="0.6743207712532866"/>
    <n v="2024"/>
  </r>
  <r>
    <x v="747"/>
    <x v="2"/>
    <x v="0"/>
    <x v="1"/>
    <n v="3983"/>
    <n v="6602"/>
    <n v="0"/>
    <n v="-2619"/>
    <n v="-0.65754456439869446"/>
    <n v="2023"/>
  </r>
  <r>
    <x v="663"/>
    <x v="1"/>
    <x v="2"/>
    <x v="3"/>
    <n v="3444"/>
    <n v="7893"/>
    <n v="10"/>
    <n v="-4449"/>
    <n v="-1.2918118466898956"/>
    <n v="2024"/>
  </r>
  <r>
    <x v="336"/>
    <x v="1"/>
    <x v="2"/>
    <x v="1"/>
    <n v="13068"/>
    <n v="980"/>
    <n v="0"/>
    <n v="12088"/>
    <n v="0.92500765228037951"/>
    <n v="2022"/>
  </r>
  <r>
    <x v="661"/>
    <x v="1"/>
    <x v="0"/>
    <x v="3"/>
    <n v="7710"/>
    <n v="8463"/>
    <n v="20"/>
    <n v="-753"/>
    <n v="-9.7665369649805447E-2"/>
    <n v="2024"/>
  </r>
  <r>
    <x v="487"/>
    <x v="1"/>
    <x v="3"/>
    <x v="0"/>
    <n v="8153"/>
    <n v="2370"/>
    <n v="15"/>
    <n v="5783"/>
    <n v="0.70930945664172695"/>
    <n v="2023"/>
  </r>
  <r>
    <x v="559"/>
    <x v="2"/>
    <x v="0"/>
    <x v="3"/>
    <n v="9287"/>
    <n v="6968"/>
    <n v="0"/>
    <n v="2319"/>
    <n v="0.24970388715408637"/>
    <n v="2024"/>
  </r>
  <r>
    <x v="146"/>
    <x v="1"/>
    <x v="0"/>
    <x v="0"/>
    <n v="2486"/>
    <n v="8301"/>
    <n v="5"/>
    <n v="-5815"/>
    <n v="-2.3390989541432021"/>
    <n v="2023"/>
  </r>
  <r>
    <x v="398"/>
    <x v="3"/>
    <x v="2"/>
    <x v="0"/>
    <n v="11442"/>
    <n v="10221"/>
    <n v="10"/>
    <n v="1221"/>
    <n v="0.10671211326691138"/>
    <n v="2024"/>
  </r>
  <r>
    <x v="712"/>
    <x v="1"/>
    <x v="3"/>
    <x v="3"/>
    <n v="1574"/>
    <n v="2491"/>
    <n v="5"/>
    <n v="-917"/>
    <n v="-0.58259212198221089"/>
    <n v="2023"/>
  </r>
  <r>
    <x v="16"/>
    <x v="2"/>
    <x v="1"/>
    <x v="0"/>
    <n v="12661"/>
    <n v="9159"/>
    <n v="5"/>
    <n v="3502"/>
    <n v="0.27659742516388913"/>
    <n v="2022"/>
  </r>
  <r>
    <x v="298"/>
    <x v="1"/>
    <x v="3"/>
    <x v="2"/>
    <n v="4805"/>
    <n v="10104"/>
    <n v="5"/>
    <n v="-5299"/>
    <n v="-1.1028095733610821"/>
    <n v="2023"/>
  </r>
  <r>
    <x v="748"/>
    <x v="3"/>
    <x v="0"/>
    <x v="3"/>
    <n v="12913"/>
    <n v="7886"/>
    <n v="10"/>
    <n v="5027"/>
    <n v="0.38929760706265004"/>
    <n v="2022"/>
  </r>
  <r>
    <x v="749"/>
    <x v="2"/>
    <x v="0"/>
    <x v="3"/>
    <n v="13279"/>
    <n v="9172"/>
    <n v="10"/>
    <n v="4107"/>
    <n v="0.30928533775133671"/>
    <n v="2022"/>
  </r>
  <r>
    <x v="285"/>
    <x v="2"/>
    <x v="0"/>
    <x v="0"/>
    <n v="12272"/>
    <n v="9464"/>
    <n v="10"/>
    <n v="2808"/>
    <n v="0.2288135593220339"/>
    <n v="2023"/>
  </r>
  <r>
    <x v="27"/>
    <x v="3"/>
    <x v="3"/>
    <x v="0"/>
    <n v="3507"/>
    <n v="3146"/>
    <n v="10"/>
    <n v="361"/>
    <n v="0.10293698317650414"/>
    <n v="2023"/>
  </r>
  <r>
    <x v="317"/>
    <x v="3"/>
    <x v="2"/>
    <x v="3"/>
    <n v="1469"/>
    <n v="10624"/>
    <n v="5"/>
    <n v="-9155"/>
    <n v="-6.2321307011572502"/>
    <n v="2022"/>
  </r>
  <r>
    <x v="750"/>
    <x v="3"/>
    <x v="0"/>
    <x v="2"/>
    <n v="9272"/>
    <n v="2763"/>
    <n v="20"/>
    <n v="6509"/>
    <n v="0.70200603968938735"/>
    <n v="2023"/>
  </r>
  <r>
    <x v="450"/>
    <x v="3"/>
    <x v="0"/>
    <x v="0"/>
    <n v="3324"/>
    <n v="7137"/>
    <n v="20"/>
    <n v="-3813"/>
    <n v="-1.1471119133574008"/>
    <n v="2024"/>
  </r>
  <r>
    <x v="357"/>
    <x v="3"/>
    <x v="3"/>
    <x v="0"/>
    <n v="12693"/>
    <n v="11021"/>
    <n v="10"/>
    <n v="1672"/>
    <n v="0.13172614827070039"/>
    <n v="2024"/>
  </r>
  <r>
    <x v="751"/>
    <x v="2"/>
    <x v="1"/>
    <x v="1"/>
    <n v="1711"/>
    <n v="10995"/>
    <n v="15"/>
    <n v="-9284"/>
    <n v="-5.426066627703098"/>
    <n v="2023"/>
  </r>
  <r>
    <x v="15"/>
    <x v="2"/>
    <x v="1"/>
    <x v="2"/>
    <n v="729"/>
    <n v="5222"/>
    <n v="0"/>
    <n v="-4493"/>
    <n v="-6.1632373113854593"/>
    <n v="2023"/>
  </r>
  <r>
    <x v="509"/>
    <x v="1"/>
    <x v="2"/>
    <x v="2"/>
    <n v="4784"/>
    <n v="4692"/>
    <n v="15"/>
    <n v="92"/>
    <n v="1.9230769230769232E-2"/>
    <n v="2024"/>
  </r>
  <r>
    <x v="374"/>
    <x v="1"/>
    <x v="2"/>
    <x v="3"/>
    <n v="14845"/>
    <n v="3483"/>
    <n v="15"/>
    <n v="11362"/>
    <n v="0.76537554732233071"/>
    <n v="2022"/>
  </r>
  <r>
    <x v="752"/>
    <x v="0"/>
    <x v="0"/>
    <x v="2"/>
    <n v="3685"/>
    <n v="3467"/>
    <n v="15"/>
    <n v="218"/>
    <n v="5.9158751696065132E-2"/>
    <n v="2024"/>
  </r>
  <r>
    <x v="90"/>
    <x v="1"/>
    <x v="3"/>
    <x v="3"/>
    <n v="1001"/>
    <n v="3297"/>
    <n v="20"/>
    <n v="-2296"/>
    <n v="-2.2937062937062938"/>
    <n v="2024"/>
  </r>
  <r>
    <x v="63"/>
    <x v="1"/>
    <x v="0"/>
    <x v="1"/>
    <n v="10824"/>
    <n v="6821"/>
    <n v="0"/>
    <n v="4003"/>
    <n v="0.36982631189948262"/>
    <n v="2024"/>
  </r>
  <r>
    <x v="753"/>
    <x v="3"/>
    <x v="2"/>
    <x v="2"/>
    <n v="548"/>
    <n v="3527"/>
    <n v="15"/>
    <n v="-2979"/>
    <n v="-5.4361313868613141"/>
    <n v="2022"/>
  </r>
  <r>
    <x v="536"/>
    <x v="3"/>
    <x v="3"/>
    <x v="0"/>
    <n v="4066"/>
    <n v="6864"/>
    <n v="10"/>
    <n v="-2798"/>
    <n v="-0.68814559763895722"/>
    <n v="2024"/>
  </r>
  <r>
    <x v="754"/>
    <x v="1"/>
    <x v="3"/>
    <x v="1"/>
    <n v="3555"/>
    <n v="10644"/>
    <n v="20"/>
    <n v="-7089"/>
    <n v="-1.9940928270042193"/>
    <n v="2023"/>
  </r>
  <r>
    <x v="223"/>
    <x v="0"/>
    <x v="2"/>
    <x v="3"/>
    <n v="9380"/>
    <n v="10220"/>
    <n v="10"/>
    <n v="-840"/>
    <n v="-8.9552238805970144E-2"/>
    <n v="2023"/>
  </r>
  <r>
    <x v="455"/>
    <x v="3"/>
    <x v="1"/>
    <x v="1"/>
    <n v="886"/>
    <n v="2324"/>
    <n v="10"/>
    <n v="-1438"/>
    <n v="-1.6230248306997743"/>
    <n v="2024"/>
  </r>
  <r>
    <x v="307"/>
    <x v="1"/>
    <x v="1"/>
    <x v="3"/>
    <n v="1469"/>
    <n v="629"/>
    <n v="15"/>
    <n v="840"/>
    <n v="0.57181756296800546"/>
    <n v="2023"/>
  </r>
  <r>
    <x v="318"/>
    <x v="1"/>
    <x v="3"/>
    <x v="1"/>
    <n v="12152"/>
    <n v="2786"/>
    <n v="10"/>
    <n v="9366"/>
    <n v="0.77073732718894006"/>
    <n v="2023"/>
  </r>
  <r>
    <x v="381"/>
    <x v="2"/>
    <x v="0"/>
    <x v="3"/>
    <n v="9697"/>
    <n v="1455"/>
    <n v="0"/>
    <n v="8242"/>
    <n v="0.84995359389501912"/>
    <n v="2022"/>
  </r>
  <r>
    <x v="755"/>
    <x v="0"/>
    <x v="1"/>
    <x v="2"/>
    <n v="6320"/>
    <n v="10382"/>
    <n v="10"/>
    <n v="-4062"/>
    <n v="-0.64272151898734176"/>
    <n v="2024"/>
  </r>
  <r>
    <x v="465"/>
    <x v="2"/>
    <x v="0"/>
    <x v="0"/>
    <n v="14792"/>
    <n v="4777"/>
    <n v="15"/>
    <n v="10015"/>
    <n v="0.67705516495402918"/>
    <n v="2024"/>
  </r>
  <r>
    <x v="576"/>
    <x v="0"/>
    <x v="1"/>
    <x v="3"/>
    <n v="3552"/>
    <n v="2485"/>
    <n v="10"/>
    <n v="1067"/>
    <n v="0.30039414414414417"/>
    <n v="2022"/>
  </r>
  <r>
    <x v="149"/>
    <x v="3"/>
    <x v="1"/>
    <x v="1"/>
    <n v="12109"/>
    <n v="7386"/>
    <n v="20"/>
    <n v="4723"/>
    <n v="0.39004046576926255"/>
    <n v="2024"/>
  </r>
  <r>
    <x v="756"/>
    <x v="0"/>
    <x v="0"/>
    <x v="3"/>
    <n v="7897"/>
    <n v="2617"/>
    <n v="20"/>
    <n v="5280"/>
    <n v="0.66860833227808025"/>
    <n v="2024"/>
  </r>
  <r>
    <x v="194"/>
    <x v="1"/>
    <x v="2"/>
    <x v="3"/>
    <n v="2802"/>
    <n v="3921"/>
    <n v="20"/>
    <n v="-1119"/>
    <n v="-0.39935760171306212"/>
    <n v="2024"/>
  </r>
  <r>
    <x v="322"/>
    <x v="1"/>
    <x v="1"/>
    <x v="3"/>
    <n v="2783"/>
    <n v="4791"/>
    <n v="5"/>
    <n v="-2008"/>
    <n v="-0.72152353575278472"/>
    <n v="2024"/>
  </r>
  <r>
    <x v="18"/>
    <x v="0"/>
    <x v="1"/>
    <x v="1"/>
    <n v="10299"/>
    <n v="2811"/>
    <n v="20"/>
    <n v="7488"/>
    <n v="0.72706087969705802"/>
    <n v="2024"/>
  </r>
  <r>
    <x v="744"/>
    <x v="0"/>
    <x v="0"/>
    <x v="0"/>
    <n v="14577"/>
    <n v="8142"/>
    <n v="20"/>
    <n v="6435"/>
    <n v="0.44144885778966864"/>
    <n v="2024"/>
  </r>
  <r>
    <x v="31"/>
    <x v="0"/>
    <x v="2"/>
    <x v="2"/>
    <n v="4866"/>
    <n v="8941"/>
    <n v="5"/>
    <n v="-4075"/>
    <n v="-0.83744348540896019"/>
    <n v="2022"/>
  </r>
  <r>
    <x v="501"/>
    <x v="2"/>
    <x v="1"/>
    <x v="0"/>
    <n v="622"/>
    <n v="9846"/>
    <n v="20"/>
    <n v="-9224"/>
    <n v="-14.829581993569132"/>
    <n v="2022"/>
  </r>
  <r>
    <x v="411"/>
    <x v="0"/>
    <x v="1"/>
    <x v="3"/>
    <n v="7299"/>
    <n v="8148"/>
    <n v="15"/>
    <n v="-849"/>
    <n v="-0.1163173037402384"/>
    <n v="2024"/>
  </r>
  <r>
    <x v="757"/>
    <x v="3"/>
    <x v="2"/>
    <x v="1"/>
    <n v="9972"/>
    <n v="5704"/>
    <n v="20"/>
    <n v="4268"/>
    <n v="0.4279983955074208"/>
    <n v="2022"/>
  </r>
  <r>
    <x v="223"/>
    <x v="2"/>
    <x v="1"/>
    <x v="0"/>
    <n v="4227"/>
    <n v="5693"/>
    <n v="20"/>
    <n v="-1466"/>
    <n v="-0.34681807428436245"/>
    <n v="2023"/>
  </r>
  <r>
    <x v="392"/>
    <x v="2"/>
    <x v="2"/>
    <x v="3"/>
    <n v="14232"/>
    <n v="1593"/>
    <n v="5"/>
    <n v="12639"/>
    <n v="0.88806913996627324"/>
    <n v="2024"/>
  </r>
  <r>
    <x v="293"/>
    <x v="0"/>
    <x v="2"/>
    <x v="2"/>
    <n v="8950"/>
    <n v="2765"/>
    <n v="15"/>
    <n v="6185"/>
    <n v="0.69106145251396645"/>
    <n v="2024"/>
  </r>
  <r>
    <x v="758"/>
    <x v="3"/>
    <x v="0"/>
    <x v="2"/>
    <n v="9639"/>
    <n v="11594"/>
    <n v="10"/>
    <n v="-1955"/>
    <n v="-0.20282186948853614"/>
    <n v="2024"/>
  </r>
  <r>
    <x v="65"/>
    <x v="2"/>
    <x v="3"/>
    <x v="2"/>
    <n v="14882"/>
    <n v="10341"/>
    <n v="0"/>
    <n v="4541"/>
    <n v="0.30513371858621152"/>
    <n v="2024"/>
  </r>
  <r>
    <x v="370"/>
    <x v="1"/>
    <x v="2"/>
    <x v="3"/>
    <n v="5458"/>
    <n v="3475"/>
    <n v="15"/>
    <n v="1983"/>
    <n v="0.36331989739831438"/>
    <n v="2023"/>
  </r>
  <r>
    <x v="177"/>
    <x v="2"/>
    <x v="0"/>
    <x v="1"/>
    <n v="1024"/>
    <n v="8149"/>
    <n v="10"/>
    <n v="-7125"/>
    <n v="-6.9580078125"/>
    <n v="2022"/>
  </r>
  <r>
    <x v="759"/>
    <x v="0"/>
    <x v="3"/>
    <x v="0"/>
    <n v="9579"/>
    <n v="11691"/>
    <n v="15"/>
    <n v="-2112"/>
    <n v="-0.22048230504227997"/>
    <n v="2024"/>
  </r>
  <r>
    <x v="760"/>
    <x v="3"/>
    <x v="1"/>
    <x v="2"/>
    <n v="8899"/>
    <n v="9725"/>
    <n v="10"/>
    <n v="-826"/>
    <n v="-9.281941791212496E-2"/>
    <n v="2023"/>
  </r>
  <r>
    <x v="592"/>
    <x v="0"/>
    <x v="3"/>
    <x v="3"/>
    <n v="12074"/>
    <n v="9929"/>
    <n v="10"/>
    <n v="2145"/>
    <n v="0.1776544641378168"/>
    <n v="2024"/>
  </r>
  <r>
    <x v="761"/>
    <x v="1"/>
    <x v="2"/>
    <x v="3"/>
    <n v="11486"/>
    <n v="11844"/>
    <n v="15"/>
    <n v="-358"/>
    <n v="-3.1168378896047361E-2"/>
    <n v="2023"/>
  </r>
  <r>
    <x v="762"/>
    <x v="1"/>
    <x v="2"/>
    <x v="0"/>
    <n v="648"/>
    <n v="8744"/>
    <n v="5"/>
    <n v="-8096"/>
    <n v="-12.493827160493828"/>
    <n v="2023"/>
  </r>
  <r>
    <x v="763"/>
    <x v="1"/>
    <x v="2"/>
    <x v="2"/>
    <n v="8501"/>
    <n v="8510"/>
    <n v="15"/>
    <n v="-9"/>
    <n v="-1.0586989765909893E-3"/>
    <n v="2024"/>
  </r>
  <r>
    <x v="764"/>
    <x v="0"/>
    <x v="2"/>
    <x v="3"/>
    <n v="937"/>
    <n v="3059"/>
    <n v="15"/>
    <n v="-2122"/>
    <n v="-2.2646744930629668"/>
    <n v="2022"/>
  </r>
  <r>
    <x v="388"/>
    <x v="2"/>
    <x v="2"/>
    <x v="0"/>
    <n v="10894"/>
    <n v="5555"/>
    <n v="10"/>
    <n v="5339"/>
    <n v="0.49008628602900678"/>
    <n v="2023"/>
  </r>
  <r>
    <x v="730"/>
    <x v="0"/>
    <x v="0"/>
    <x v="1"/>
    <n v="4249"/>
    <n v="8714"/>
    <n v="0"/>
    <n v="-4465"/>
    <n v="-1.050835490703695"/>
    <n v="2022"/>
  </r>
  <r>
    <x v="203"/>
    <x v="3"/>
    <x v="2"/>
    <x v="1"/>
    <n v="11853"/>
    <n v="302"/>
    <n v="10"/>
    <n v="11551"/>
    <n v="0.97452121825698135"/>
    <n v="2024"/>
  </r>
  <r>
    <x v="669"/>
    <x v="2"/>
    <x v="0"/>
    <x v="1"/>
    <n v="14509"/>
    <n v="8430"/>
    <n v="20"/>
    <n v="6079"/>
    <n v="0.41898132193810739"/>
    <n v="2023"/>
  </r>
  <r>
    <x v="765"/>
    <x v="1"/>
    <x v="1"/>
    <x v="2"/>
    <n v="12593"/>
    <n v="1559"/>
    <n v="15"/>
    <n v="11034"/>
    <n v="0.87620106408322085"/>
    <n v="2023"/>
  </r>
  <r>
    <x v="526"/>
    <x v="0"/>
    <x v="2"/>
    <x v="0"/>
    <n v="8686"/>
    <n v="8490"/>
    <n v="15"/>
    <n v="196"/>
    <n v="2.2565047202394658E-2"/>
    <n v="2024"/>
  </r>
  <r>
    <x v="746"/>
    <x v="1"/>
    <x v="2"/>
    <x v="0"/>
    <n v="4953"/>
    <n v="4623"/>
    <n v="5"/>
    <n v="330"/>
    <n v="6.6626287098728046E-2"/>
    <n v="2024"/>
  </r>
  <r>
    <x v="766"/>
    <x v="1"/>
    <x v="3"/>
    <x v="3"/>
    <n v="11937"/>
    <n v="6073"/>
    <n v="10"/>
    <n v="5864"/>
    <n v="0.49124570662645556"/>
    <n v="2023"/>
  </r>
  <r>
    <x v="767"/>
    <x v="3"/>
    <x v="1"/>
    <x v="3"/>
    <n v="5836"/>
    <n v="2868"/>
    <n v="5"/>
    <n v="2968"/>
    <n v="0.50856751199451677"/>
    <n v="2024"/>
  </r>
  <r>
    <x v="46"/>
    <x v="2"/>
    <x v="2"/>
    <x v="3"/>
    <n v="14718"/>
    <n v="2185"/>
    <n v="15"/>
    <n v="12533"/>
    <n v="0.85154232912080441"/>
    <n v="2022"/>
  </r>
  <r>
    <x v="351"/>
    <x v="3"/>
    <x v="2"/>
    <x v="0"/>
    <n v="5051"/>
    <n v="7360"/>
    <n v="10"/>
    <n v="-2309"/>
    <n v="-0.4571372005543457"/>
    <n v="2023"/>
  </r>
  <r>
    <x v="74"/>
    <x v="3"/>
    <x v="1"/>
    <x v="3"/>
    <n v="3323"/>
    <n v="8144"/>
    <n v="10"/>
    <n v="-4821"/>
    <n v="-1.4507974721637076"/>
    <n v="2023"/>
  </r>
  <r>
    <x v="59"/>
    <x v="3"/>
    <x v="0"/>
    <x v="0"/>
    <n v="6228"/>
    <n v="6411"/>
    <n v="20"/>
    <n v="-183"/>
    <n v="-2.9383429672447014E-2"/>
    <n v="2024"/>
  </r>
  <r>
    <x v="13"/>
    <x v="1"/>
    <x v="2"/>
    <x v="0"/>
    <n v="13416"/>
    <n v="9791"/>
    <n v="20"/>
    <n v="3625"/>
    <n v="0.27019976147883124"/>
    <n v="2024"/>
  </r>
  <r>
    <x v="97"/>
    <x v="3"/>
    <x v="3"/>
    <x v="1"/>
    <n v="11962"/>
    <n v="2638"/>
    <n v="0"/>
    <n v="9324"/>
    <n v="0.77946831633506097"/>
    <n v="2023"/>
  </r>
  <r>
    <x v="598"/>
    <x v="3"/>
    <x v="2"/>
    <x v="3"/>
    <n v="9177"/>
    <n v="9568"/>
    <n v="20"/>
    <n v="-391"/>
    <n v="-4.2606516290726815E-2"/>
    <n v="2024"/>
  </r>
  <r>
    <x v="768"/>
    <x v="2"/>
    <x v="3"/>
    <x v="1"/>
    <n v="8891"/>
    <n v="4058"/>
    <n v="10"/>
    <n v="4833"/>
    <n v="0.54358339894275109"/>
    <n v="2023"/>
  </r>
  <r>
    <x v="278"/>
    <x v="2"/>
    <x v="3"/>
    <x v="2"/>
    <n v="13158"/>
    <n v="11673"/>
    <n v="20"/>
    <n v="1485"/>
    <n v="0.11285909712722299"/>
    <n v="2022"/>
  </r>
  <r>
    <x v="12"/>
    <x v="3"/>
    <x v="2"/>
    <x v="2"/>
    <n v="13801"/>
    <n v="5110"/>
    <n v="0"/>
    <n v="8691"/>
    <n v="0.62973697558147956"/>
    <n v="2023"/>
  </r>
  <r>
    <x v="769"/>
    <x v="2"/>
    <x v="2"/>
    <x v="2"/>
    <n v="2482"/>
    <n v="9439"/>
    <n v="15"/>
    <n v="-6957"/>
    <n v="-2.8029814665592263"/>
    <n v="2023"/>
  </r>
  <r>
    <x v="770"/>
    <x v="2"/>
    <x v="3"/>
    <x v="0"/>
    <n v="7496"/>
    <n v="7091"/>
    <n v="20"/>
    <n v="405"/>
    <n v="5.402881536819637E-2"/>
    <n v="2023"/>
  </r>
  <r>
    <x v="771"/>
    <x v="3"/>
    <x v="1"/>
    <x v="0"/>
    <n v="10163"/>
    <n v="7471"/>
    <n v="10"/>
    <n v="2692"/>
    <n v="0.26488241660926892"/>
    <n v="2024"/>
  </r>
  <r>
    <x v="655"/>
    <x v="1"/>
    <x v="1"/>
    <x v="0"/>
    <n v="13035"/>
    <n v="3031"/>
    <n v="15"/>
    <n v="10004"/>
    <n v="0.76747219025700042"/>
    <n v="2023"/>
  </r>
  <r>
    <x v="772"/>
    <x v="3"/>
    <x v="2"/>
    <x v="3"/>
    <n v="13575"/>
    <n v="1169"/>
    <n v="10"/>
    <n v="12406"/>
    <n v="0.91388581952117864"/>
    <n v="2022"/>
  </r>
  <r>
    <x v="773"/>
    <x v="2"/>
    <x v="0"/>
    <x v="1"/>
    <n v="2811"/>
    <n v="5466"/>
    <n v="15"/>
    <n v="-2655"/>
    <n v="-0.94450373532550691"/>
    <n v="2022"/>
  </r>
  <r>
    <x v="62"/>
    <x v="1"/>
    <x v="1"/>
    <x v="0"/>
    <n v="7725"/>
    <n v="393"/>
    <n v="10"/>
    <n v="7332"/>
    <n v="0.94912621359223304"/>
    <n v="2022"/>
  </r>
  <r>
    <x v="216"/>
    <x v="0"/>
    <x v="2"/>
    <x v="1"/>
    <n v="12065"/>
    <n v="3287"/>
    <n v="20"/>
    <n v="8778"/>
    <n v="0.72755905511811025"/>
    <n v="2023"/>
  </r>
  <r>
    <x v="460"/>
    <x v="1"/>
    <x v="1"/>
    <x v="1"/>
    <n v="10770"/>
    <n v="10267"/>
    <n v="20"/>
    <n v="503"/>
    <n v="4.6703806870937788E-2"/>
    <n v="2022"/>
  </r>
  <r>
    <x v="589"/>
    <x v="2"/>
    <x v="0"/>
    <x v="1"/>
    <n v="10213"/>
    <n v="10752"/>
    <n v="0"/>
    <n v="-539"/>
    <n v="-5.2775873886223443E-2"/>
    <n v="2022"/>
  </r>
  <r>
    <x v="331"/>
    <x v="1"/>
    <x v="2"/>
    <x v="3"/>
    <n v="14060"/>
    <n v="8927"/>
    <n v="15"/>
    <n v="5133"/>
    <n v="0.36507823613086771"/>
    <n v="2023"/>
  </r>
  <r>
    <x v="190"/>
    <x v="3"/>
    <x v="0"/>
    <x v="3"/>
    <n v="1104"/>
    <n v="5247"/>
    <n v="0"/>
    <n v="-4143"/>
    <n v="-3.7527173913043477"/>
    <n v="2024"/>
  </r>
  <r>
    <x v="679"/>
    <x v="0"/>
    <x v="2"/>
    <x v="2"/>
    <n v="8675"/>
    <n v="6951"/>
    <n v="5"/>
    <n v="1724"/>
    <n v="0.19873198847262247"/>
    <n v="2022"/>
  </r>
  <r>
    <x v="600"/>
    <x v="0"/>
    <x v="0"/>
    <x v="2"/>
    <n v="12540"/>
    <n v="7279"/>
    <n v="20"/>
    <n v="5261"/>
    <n v="0.41953748006379588"/>
    <n v="2024"/>
  </r>
  <r>
    <x v="489"/>
    <x v="0"/>
    <x v="1"/>
    <x v="1"/>
    <n v="12034"/>
    <n v="7094"/>
    <n v="15"/>
    <n v="4940"/>
    <n v="0.41050357320924047"/>
    <n v="2022"/>
  </r>
  <r>
    <x v="146"/>
    <x v="2"/>
    <x v="1"/>
    <x v="2"/>
    <n v="6285"/>
    <n v="6824"/>
    <n v="0"/>
    <n v="-539"/>
    <n v="-8.5759745425616554E-2"/>
    <n v="2023"/>
  </r>
  <r>
    <x v="367"/>
    <x v="2"/>
    <x v="0"/>
    <x v="1"/>
    <n v="10109"/>
    <n v="3444"/>
    <n v="0"/>
    <n v="6665"/>
    <n v="0.65931348303491943"/>
    <n v="2023"/>
  </r>
  <r>
    <x v="774"/>
    <x v="0"/>
    <x v="0"/>
    <x v="3"/>
    <n v="14608"/>
    <n v="3887"/>
    <n v="5"/>
    <n v="10721"/>
    <n v="0.73391292442497258"/>
    <n v="2024"/>
  </r>
  <r>
    <x v="211"/>
    <x v="1"/>
    <x v="0"/>
    <x v="3"/>
    <n v="5097"/>
    <n v="376"/>
    <n v="0"/>
    <n v="4721"/>
    <n v="0.92623111634294686"/>
    <n v="2024"/>
  </r>
  <r>
    <x v="775"/>
    <x v="0"/>
    <x v="2"/>
    <x v="3"/>
    <n v="8259"/>
    <n v="9307"/>
    <n v="10"/>
    <n v="-1048"/>
    <n v="-0.12689187552972514"/>
    <n v="2023"/>
  </r>
  <r>
    <x v="42"/>
    <x v="1"/>
    <x v="1"/>
    <x v="0"/>
    <n v="12567"/>
    <n v="9259"/>
    <n v="20"/>
    <n v="3308"/>
    <n v="0.26322909206652345"/>
    <n v="2022"/>
  </r>
  <r>
    <x v="776"/>
    <x v="1"/>
    <x v="2"/>
    <x v="1"/>
    <n v="8032"/>
    <n v="6853"/>
    <n v="0"/>
    <n v="1179"/>
    <n v="0.1467878486055777"/>
    <n v="2023"/>
  </r>
  <r>
    <x v="380"/>
    <x v="2"/>
    <x v="1"/>
    <x v="3"/>
    <n v="11625"/>
    <n v="8597"/>
    <n v="0"/>
    <n v="3028"/>
    <n v="0.26047311827956987"/>
    <n v="2023"/>
  </r>
  <r>
    <x v="268"/>
    <x v="1"/>
    <x v="3"/>
    <x v="1"/>
    <n v="9240"/>
    <n v="6994"/>
    <n v="5"/>
    <n v="2246"/>
    <n v="0.24307359307359308"/>
    <n v="2024"/>
  </r>
  <r>
    <x v="38"/>
    <x v="0"/>
    <x v="2"/>
    <x v="2"/>
    <n v="14153"/>
    <n v="3173"/>
    <n v="10"/>
    <n v="10980"/>
    <n v="0.77580724934642831"/>
    <n v="2022"/>
  </r>
  <r>
    <x v="137"/>
    <x v="2"/>
    <x v="1"/>
    <x v="2"/>
    <n v="1338"/>
    <n v="3646"/>
    <n v="0"/>
    <n v="-2308"/>
    <n v="-1.7249626307922272"/>
    <n v="2022"/>
  </r>
  <r>
    <x v="543"/>
    <x v="3"/>
    <x v="1"/>
    <x v="3"/>
    <n v="14218"/>
    <n v="7324"/>
    <n v="20"/>
    <n v="6894"/>
    <n v="0.48487832325221553"/>
    <n v="2022"/>
  </r>
  <r>
    <x v="190"/>
    <x v="3"/>
    <x v="2"/>
    <x v="1"/>
    <n v="14236"/>
    <n v="3448"/>
    <n v="20"/>
    <n v="10788"/>
    <n v="0.75779713402641191"/>
    <n v="2024"/>
  </r>
  <r>
    <x v="736"/>
    <x v="2"/>
    <x v="2"/>
    <x v="3"/>
    <n v="4315"/>
    <n v="11640"/>
    <n v="0"/>
    <n v="-7325"/>
    <n v="-1.697566628041715"/>
    <n v="2023"/>
  </r>
  <r>
    <x v="777"/>
    <x v="0"/>
    <x v="1"/>
    <x v="2"/>
    <n v="1347"/>
    <n v="9957"/>
    <n v="10"/>
    <n v="-8610"/>
    <n v="-6.3919821826280625"/>
    <n v="2022"/>
  </r>
  <r>
    <x v="559"/>
    <x v="3"/>
    <x v="2"/>
    <x v="3"/>
    <n v="5209"/>
    <n v="11079"/>
    <n v="20"/>
    <n v="-5870"/>
    <n v="-1.12689575734306"/>
    <n v="2024"/>
  </r>
  <r>
    <x v="538"/>
    <x v="3"/>
    <x v="0"/>
    <x v="1"/>
    <n v="5007"/>
    <n v="544"/>
    <n v="20"/>
    <n v="4463"/>
    <n v="0.89135210705012979"/>
    <n v="2022"/>
  </r>
  <r>
    <x v="104"/>
    <x v="1"/>
    <x v="2"/>
    <x v="2"/>
    <n v="7075"/>
    <n v="2925"/>
    <n v="10"/>
    <n v="4150"/>
    <n v="0.58657243816254412"/>
    <n v="2024"/>
  </r>
  <r>
    <x v="323"/>
    <x v="1"/>
    <x v="2"/>
    <x v="0"/>
    <n v="5273"/>
    <n v="4149"/>
    <n v="10"/>
    <n v="1124"/>
    <n v="0.21316138820405842"/>
    <n v="2022"/>
  </r>
  <r>
    <x v="3"/>
    <x v="0"/>
    <x v="2"/>
    <x v="2"/>
    <n v="12946"/>
    <n v="9897"/>
    <n v="0"/>
    <n v="3049"/>
    <n v="0.23551676193418816"/>
    <n v="2022"/>
  </r>
  <r>
    <x v="566"/>
    <x v="2"/>
    <x v="1"/>
    <x v="0"/>
    <n v="14849"/>
    <n v="9473"/>
    <n v="15"/>
    <n v="5376"/>
    <n v="0.36204458212674256"/>
    <n v="2022"/>
  </r>
  <r>
    <x v="742"/>
    <x v="0"/>
    <x v="0"/>
    <x v="3"/>
    <n v="4968"/>
    <n v="8037"/>
    <n v="5"/>
    <n v="-3069"/>
    <n v="-0.61775362318840576"/>
    <n v="2024"/>
  </r>
  <r>
    <x v="778"/>
    <x v="2"/>
    <x v="3"/>
    <x v="3"/>
    <n v="10964"/>
    <n v="8633"/>
    <n v="15"/>
    <n v="2331"/>
    <n v="0.21260488872674208"/>
    <n v="2022"/>
  </r>
  <r>
    <x v="755"/>
    <x v="3"/>
    <x v="3"/>
    <x v="1"/>
    <n v="5692"/>
    <n v="1192"/>
    <n v="15"/>
    <n v="4500"/>
    <n v="0.79058327477160928"/>
    <n v="2024"/>
  </r>
  <r>
    <x v="779"/>
    <x v="1"/>
    <x v="0"/>
    <x v="0"/>
    <n v="3820"/>
    <n v="5787"/>
    <n v="20"/>
    <n v="-1967"/>
    <n v="-0.51492146596858634"/>
    <n v="2023"/>
  </r>
  <r>
    <x v="780"/>
    <x v="0"/>
    <x v="0"/>
    <x v="3"/>
    <n v="11250"/>
    <n v="7551"/>
    <n v="10"/>
    <n v="3699"/>
    <n v="0.32879999999999998"/>
    <n v="2022"/>
  </r>
  <r>
    <x v="726"/>
    <x v="0"/>
    <x v="0"/>
    <x v="0"/>
    <n v="5198"/>
    <n v="7610"/>
    <n v="20"/>
    <n v="-2412"/>
    <n v="-0.46402462485571372"/>
    <n v="2023"/>
  </r>
  <r>
    <x v="176"/>
    <x v="2"/>
    <x v="1"/>
    <x v="3"/>
    <n v="4811"/>
    <n v="2699"/>
    <n v="5"/>
    <n v="2112"/>
    <n v="0.43899397214716274"/>
    <n v="2022"/>
  </r>
  <r>
    <x v="262"/>
    <x v="2"/>
    <x v="3"/>
    <x v="2"/>
    <n v="10688"/>
    <n v="4940"/>
    <n v="0"/>
    <n v="5748"/>
    <n v="0.53779940119760483"/>
    <n v="2024"/>
  </r>
  <r>
    <x v="781"/>
    <x v="0"/>
    <x v="0"/>
    <x v="3"/>
    <n v="4173"/>
    <n v="3260"/>
    <n v="5"/>
    <n v="913"/>
    <n v="0.21878744308650852"/>
    <n v="2022"/>
  </r>
  <r>
    <x v="782"/>
    <x v="2"/>
    <x v="1"/>
    <x v="1"/>
    <n v="2064"/>
    <n v="10691"/>
    <n v="20"/>
    <n v="-8627"/>
    <n v="-4.1797480620155039"/>
    <n v="2023"/>
  </r>
  <r>
    <x v="750"/>
    <x v="0"/>
    <x v="3"/>
    <x v="2"/>
    <n v="12710"/>
    <n v="7625"/>
    <n v="20"/>
    <n v="5085"/>
    <n v="0.40007867820613691"/>
    <n v="2023"/>
  </r>
  <r>
    <x v="475"/>
    <x v="0"/>
    <x v="2"/>
    <x v="1"/>
    <n v="2340"/>
    <n v="1769"/>
    <n v="20"/>
    <n v="571"/>
    <n v="0.24401709401709401"/>
    <n v="2022"/>
  </r>
  <r>
    <x v="702"/>
    <x v="0"/>
    <x v="1"/>
    <x v="2"/>
    <n v="6558"/>
    <n v="11192"/>
    <n v="20"/>
    <n v="-4634"/>
    <n v="-0.70661787130222631"/>
    <n v="2022"/>
  </r>
  <r>
    <x v="783"/>
    <x v="3"/>
    <x v="3"/>
    <x v="0"/>
    <n v="7631"/>
    <n v="11497"/>
    <n v="15"/>
    <n v="-3866"/>
    <n v="-0.50661774341501764"/>
    <n v="2023"/>
  </r>
  <r>
    <x v="642"/>
    <x v="2"/>
    <x v="1"/>
    <x v="1"/>
    <n v="11983"/>
    <n v="3674"/>
    <n v="0"/>
    <n v="8309"/>
    <n v="0.69339898189101223"/>
    <n v="2022"/>
  </r>
  <r>
    <x v="754"/>
    <x v="1"/>
    <x v="3"/>
    <x v="3"/>
    <n v="11579"/>
    <n v="9147"/>
    <n v="15"/>
    <n v="2432"/>
    <n v="0.21003540892995942"/>
    <n v="2023"/>
  </r>
  <r>
    <x v="177"/>
    <x v="1"/>
    <x v="3"/>
    <x v="0"/>
    <n v="1226"/>
    <n v="11260"/>
    <n v="20"/>
    <n v="-10034"/>
    <n v="-8.1843393148450243"/>
    <n v="2022"/>
  </r>
  <r>
    <x v="466"/>
    <x v="2"/>
    <x v="2"/>
    <x v="3"/>
    <n v="9936"/>
    <n v="8534"/>
    <n v="10"/>
    <n v="1402"/>
    <n v="0.14110305958132044"/>
    <n v="2024"/>
  </r>
  <r>
    <x v="16"/>
    <x v="0"/>
    <x v="1"/>
    <x v="2"/>
    <n v="12152"/>
    <n v="10803"/>
    <n v="15"/>
    <n v="1349"/>
    <n v="0.11101053324555629"/>
    <n v="2022"/>
  </r>
  <r>
    <x v="784"/>
    <x v="1"/>
    <x v="0"/>
    <x v="2"/>
    <n v="7197"/>
    <n v="8223"/>
    <n v="20"/>
    <n v="-1026"/>
    <n v="-0.14255939974989579"/>
    <n v="2023"/>
  </r>
  <r>
    <x v="386"/>
    <x v="1"/>
    <x v="2"/>
    <x v="3"/>
    <n v="12410"/>
    <n v="5422"/>
    <n v="20"/>
    <n v="6988"/>
    <n v="0.56309427880741336"/>
    <n v="2024"/>
  </r>
  <r>
    <x v="785"/>
    <x v="2"/>
    <x v="2"/>
    <x v="3"/>
    <n v="9757"/>
    <n v="10152"/>
    <n v="0"/>
    <n v="-395"/>
    <n v="-4.0483755252639128E-2"/>
    <n v="2023"/>
  </r>
  <r>
    <x v="786"/>
    <x v="1"/>
    <x v="3"/>
    <x v="0"/>
    <n v="13463"/>
    <n v="5687"/>
    <n v="5"/>
    <n v="7776"/>
    <n v="0.57758300527371309"/>
    <n v="2024"/>
  </r>
  <r>
    <x v="787"/>
    <x v="0"/>
    <x v="0"/>
    <x v="3"/>
    <n v="782"/>
    <n v="7931"/>
    <n v="15"/>
    <n v="-7149"/>
    <n v="-9.1419437340153458"/>
    <n v="2024"/>
  </r>
  <r>
    <x v="37"/>
    <x v="2"/>
    <x v="1"/>
    <x v="1"/>
    <n v="1581"/>
    <n v="7526"/>
    <n v="15"/>
    <n v="-5945"/>
    <n v="-3.7602783048703352"/>
    <n v="2022"/>
  </r>
  <r>
    <x v="399"/>
    <x v="0"/>
    <x v="0"/>
    <x v="1"/>
    <n v="4385"/>
    <n v="5408"/>
    <n v="15"/>
    <n v="-1023"/>
    <n v="-0.23329532497149372"/>
    <n v="2024"/>
  </r>
  <r>
    <x v="338"/>
    <x v="1"/>
    <x v="0"/>
    <x v="3"/>
    <n v="3381"/>
    <n v="2524"/>
    <n v="20"/>
    <n v="857"/>
    <n v="0.25347530316474415"/>
    <n v="2024"/>
  </r>
  <r>
    <x v="598"/>
    <x v="1"/>
    <x v="0"/>
    <x v="1"/>
    <n v="11276"/>
    <n v="2410"/>
    <n v="0"/>
    <n v="8866"/>
    <n v="0.78627172756296559"/>
    <n v="2024"/>
  </r>
  <r>
    <x v="400"/>
    <x v="0"/>
    <x v="0"/>
    <x v="3"/>
    <n v="14696"/>
    <n v="1257"/>
    <n v="20"/>
    <n v="13439"/>
    <n v="0.91446652150244967"/>
    <n v="2024"/>
  </r>
  <r>
    <x v="631"/>
    <x v="3"/>
    <x v="0"/>
    <x v="0"/>
    <n v="3470"/>
    <n v="7446"/>
    <n v="20"/>
    <n v="-3976"/>
    <n v="-1.1458213256484149"/>
    <n v="2022"/>
  </r>
  <r>
    <x v="417"/>
    <x v="1"/>
    <x v="3"/>
    <x v="1"/>
    <n v="9844"/>
    <n v="860"/>
    <n v="10"/>
    <n v="8984"/>
    <n v="0.91263713937423807"/>
    <n v="2024"/>
  </r>
  <r>
    <x v="3"/>
    <x v="3"/>
    <x v="3"/>
    <x v="1"/>
    <n v="7485"/>
    <n v="9822"/>
    <n v="0"/>
    <n v="-2337"/>
    <n v="-0.3122244488977956"/>
    <n v="2022"/>
  </r>
  <r>
    <x v="195"/>
    <x v="1"/>
    <x v="2"/>
    <x v="3"/>
    <n v="12189"/>
    <n v="7713"/>
    <n v="15"/>
    <n v="4476"/>
    <n v="0.36721634260398722"/>
    <n v="2024"/>
  </r>
  <r>
    <x v="240"/>
    <x v="3"/>
    <x v="3"/>
    <x v="1"/>
    <n v="1447"/>
    <n v="1612"/>
    <n v="5"/>
    <n v="-165"/>
    <n v="-0.11402902557014513"/>
    <n v="2023"/>
  </r>
  <r>
    <x v="788"/>
    <x v="3"/>
    <x v="2"/>
    <x v="2"/>
    <n v="5260"/>
    <n v="2121"/>
    <n v="15"/>
    <n v="3139"/>
    <n v="0.59676806083650191"/>
    <n v="2022"/>
  </r>
  <r>
    <x v="789"/>
    <x v="3"/>
    <x v="2"/>
    <x v="0"/>
    <n v="10409"/>
    <n v="11494"/>
    <n v="20"/>
    <n v="-1085"/>
    <n v="-0.10423671822461332"/>
    <n v="2023"/>
  </r>
  <r>
    <x v="790"/>
    <x v="0"/>
    <x v="1"/>
    <x v="0"/>
    <n v="13936"/>
    <n v="11895"/>
    <n v="0"/>
    <n v="2041"/>
    <n v="0.14645522388059701"/>
    <n v="2022"/>
  </r>
  <r>
    <x v="791"/>
    <x v="3"/>
    <x v="0"/>
    <x v="1"/>
    <n v="566"/>
    <n v="5946"/>
    <n v="0"/>
    <n v="-5380"/>
    <n v="-9.5053003533568905"/>
    <n v="2022"/>
  </r>
  <r>
    <x v="185"/>
    <x v="3"/>
    <x v="3"/>
    <x v="1"/>
    <n v="14841"/>
    <n v="5245"/>
    <n v="0"/>
    <n v="9596"/>
    <n v="0.64658715719964965"/>
    <n v="2024"/>
  </r>
  <r>
    <x v="524"/>
    <x v="3"/>
    <x v="1"/>
    <x v="2"/>
    <n v="9328"/>
    <n v="5674"/>
    <n v="10"/>
    <n v="3654"/>
    <n v="0.39172384219554029"/>
    <n v="2023"/>
  </r>
  <r>
    <x v="792"/>
    <x v="1"/>
    <x v="3"/>
    <x v="2"/>
    <n v="9005"/>
    <n v="2951"/>
    <n v="15"/>
    <n v="6054"/>
    <n v="0.67229317046085513"/>
    <n v="2023"/>
  </r>
  <r>
    <x v="793"/>
    <x v="3"/>
    <x v="2"/>
    <x v="1"/>
    <n v="12089"/>
    <n v="10306"/>
    <n v="10"/>
    <n v="1783"/>
    <n v="0.14748945322193729"/>
    <n v="2022"/>
  </r>
  <r>
    <x v="342"/>
    <x v="1"/>
    <x v="3"/>
    <x v="1"/>
    <n v="1064"/>
    <n v="10233"/>
    <n v="5"/>
    <n v="-9169"/>
    <n v="-8.6174812030075181"/>
    <n v="2024"/>
  </r>
  <r>
    <x v="21"/>
    <x v="3"/>
    <x v="0"/>
    <x v="2"/>
    <n v="10293"/>
    <n v="5001"/>
    <n v="20"/>
    <n v="5292"/>
    <n v="0.5141358204605071"/>
    <n v="2024"/>
  </r>
  <r>
    <x v="794"/>
    <x v="3"/>
    <x v="2"/>
    <x v="3"/>
    <n v="9517"/>
    <n v="3177"/>
    <n v="10"/>
    <n v="6340"/>
    <n v="0.66617631606598715"/>
    <n v="2024"/>
  </r>
  <r>
    <x v="588"/>
    <x v="0"/>
    <x v="2"/>
    <x v="2"/>
    <n v="13893"/>
    <n v="5882"/>
    <n v="10"/>
    <n v="8011"/>
    <n v="0.5766213200892536"/>
    <n v="2024"/>
  </r>
  <r>
    <x v="45"/>
    <x v="1"/>
    <x v="1"/>
    <x v="3"/>
    <n v="4170"/>
    <n v="11762"/>
    <n v="20"/>
    <n v="-7592"/>
    <n v="-1.8206235011990408"/>
    <n v="2022"/>
  </r>
  <r>
    <x v="348"/>
    <x v="3"/>
    <x v="0"/>
    <x v="0"/>
    <n v="9717"/>
    <n v="5690"/>
    <n v="0"/>
    <n v="4027"/>
    <n v="0.41442832149840486"/>
    <n v="2023"/>
  </r>
  <r>
    <x v="480"/>
    <x v="1"/>
    <x v="2"/>
    <x v="0"/>
    <n v="2751"/>
    <n v="4383"/>
    <n v="20"/>
    <n v="-1632"/>
    <n v="-0.59323882224645585"/>
    <n v="2022"/>
  </r>
  <r>
    <x v="731"/>
    <x v="1"/>
    <x v="0"/>
    <x v="2"/>
    <n v="13449"/>
    <n v="1045"/>
    <n v="15"/>
    <n v="12404"/>
    <n v="0.92229905569187298"/>
    <n v="2022"/>
  </r>
  <r>
    <x v="238"/>
    <x v="2"/>
    <x v="3"/>
    <x v="3"/>
    <n v="1304"/>
    <n v="9049"/>
    <n v="20"/>
    <n v="-7745"/>
    <n v="-5.9394171779141107"/>
    <n v="2024"/>
  </r>
  <r>
    <x v="795"/>
    <x v="0"/>
    <x v="0"/>
    <x v="2"/>
    <n v="11143"/>
    <n v="11793"/>
    <n v="0"/>
    <n v="-650"/>
    <n v="-5.8332585479673335E-2"/>
    <n v="2024"/>
  </r>
  <r>
    <x v="796"/>
    <x v="0"/>
    <x v="2"/>
    <x v="2"/>
    <n v="5131"/>
    <n v="1241"/>
    <n v="20"/>
    <n v="3890"/>
    <n v="0.75813681543558764"/>
    <n v="2022"/>
  </r>
  <r>
    <x v="188"/>
    <x v="0"/>
    <x v="1"/>
    <x v="3"/>
    <n v="10083"/>
    <n v="4323"/>
    <n v="10"/>
    <n v="5760"/>
    <n v="0.57125855400178516"/>
    <n v="2024"/>
  </r>
  <r>
    <x v="797"/>
    <x v="2"/>
    <x v="2"/>
    <x v="2"/>
    <n v="1735"/>
    <n v="2596"/>
    <n v="5"/>
    <n v="-861"/>
    <n v="-0.49625360230547549"/>
    <n v="2022"/>
  </r>
  <r>
    <x v="178"/>
    <x v="2"/>
    <x v="0"/>
    <x v="0"/>
    <n v="7220"/>
    <n v="1239"/>
    <n v="10"/>
    <n v="5981"/>
    <n v="0.82839335180055407"/>
    <n v="2023"/>
  </r>
  <r>
    <x v="94"/>
    <x v="0"/>
    <x v="0"/>
    <x v="1"/>
    <n v="12724"/>
    <n v="1910"/>
    <n v="5"/>
    <n v="10814"/>
    <n v="0.84988997170701042"/>
    <n v="2024"/>
  </r>
  <r>
    <x v="307"/>
    <x v="2"/>
    <x v="2"/>
    <x v="1"/>
    <n v="11972"/>
    <n v="6600"/>
    <n v="20"/>
    <n v="5372"/>
    <n v="0.44871366521884398"/>
    <n v="2023"/>
  </r>
  <r>
    <x v="410"/>
    <x v="2"/>
    <x v="0"/>
    <x v="2"/>
    <n v="7406"/>
    <n v="2025"/>
    <n v="15"/>
    <n v="5381"/>
    <n v="0.72657304887928709"/>
    <n v="2024"/>
  </r>
  <r>
    <x v="544"/>
    <x v="2"/>
    <x v="3"/>
    <x v="3"/>
    <n v="6516"/>
    <n v="9476"/>
    <n v="20"/>
    <n v="-2960"/>
    <n v="-0.45426642111724985"/>
    <n v="2023"/>
  </r>
  <r>
    <x v="13"/>
    <x v="0"/>
    <x v="2"/>
    <x v="3"/>
    <n v="14952"/>
    <n v="10079"/>
    <n v="0"/>
    <n v="4873"/>
    <n v="0.32590957731407172"/>
    <n v="2024"/>
  </r>
  <r>
    <x v="179"/>
    <x v="0"/>
    <x v="1"/>
    <x v="0"/>
    <n v="13415"/>
    <n v="9828"/>
    <n v="20"/>
    <n v="3587"/>
    <n v="0.26738725307491612"/>
    <n v="2022"/>
  </r>
  <r>
    <x v="536"/>
    <x v="0"/>
    <x v="2"/>
    <x v="3"/>
    <n v="13536"/>
    <n v="11629"/>
    <n v="5"/>
    <n v="1907"/>
    <n v="0.14088356973995272"/>
    <n v="2024"/>
  </r>
  <r>
    <x v="798"/>
    <x v="2"/>
    <x v="3"/>
    <x v="3"/>
    <n v="4049"/>
    <n v="9153"/>
    <n v="10"/>
    <n v="-5104"/>
    <n v="-1.2605581625092614"/>
    <n v="2023"/>
  </r>
  <r>
    <x v="575"/>
    <x v="0"/>
    <x v="3"/>
    <x v="0"/>
    <n v="12892"/>
    <n v="7487"/>
    <n v="15"/>
    <n v="5405"/>
    <n v="0.4192522494570276"/>
    <n v="2023"/>
  </r>
  <r>
    <x v="680"/>
    <x v="2"/>
    <x v="3"/>
    <x v="2"/>
    <n v="8438"/>
    <n v="332"/>
    <n v="20"/>
    <n v="8106"/>
    <n v="0.96065418345579523"/>
    <n v="2024"/>
  </r>
  <r>
    <x v="120"/>
    <x v="3"/>
    <x v="3"/>
    <x v="1"/>
    <n v="4641"/>
    <n v="6285"/>
    <n v="20"/>
    <n v="-1644"/>
    <n v="-0.35423400129282484"/>
    <n v="2023"/>
  </r>
  <r>
    <x v="686"/>
    <x v="2"/>
    <x v="3"/>
    <x v="0"/>
    <n v="7466"/>
    <n v="3714"/>
    <n v="10"/>
    <n v="3752"/>
    <n v="0.50254487007768556"/>
    <n v="2022"/>
  </r>
  <r>
    <x v="799"/>
    <x v="1"/>
    <x v="1"/>
    <x v="2"/>
    <n v="10046"/>
    <n v="1456"/>
    <n v="15"/>
    <n v="8590"/>
    <n v="0.8550666932112283"/>
    <n v="2024"/>
  </r>
  <r>
    <x v="737"/>
    <x v="0"/>
    <x v="0"/>
    <x v="0"/>
    <n v="5835"/>
    <n v="3426"/>
    <n v="20"/>
    <n v="2409"/>
    <n v="0.41285347043701798"/>
    <n v="2022"/>
  </r>
  <r>
    <x v="588"/>
    <x v="0"/>
    <x v="3"/>
    <x v="2"/>
    <n v="5577"/>
    <n v="8552"/>
    <n v="20"/>
    <n v="-2975"/>
    <n v="-0.53344091805630267"/>
    <n v="2024"/>
  </r>
  <r>
    <x v="800"/>
    <x v="1"/>
    <x v="3"/>
    <x v="0"/>
    <n v="13747"/>
    <n v="1843"/>
    <n v="5"/>
    <n v="11904"/>
    <n v="0.86593438568414927"/>
    <n v="2022"/>
  </r>
  <r>
    <x v="801"/>
    <x v="2"/>
    <x v="2"/>
    <x v="2"/>
    <n v="6111"/>
    <n v="571"/>
    <n v="5"/>
    <n v="5540"/>
    <n v="0.90656193748977254"/>
    <n v="2023"/>
  </r>
  <r>
    <x v="802"/>
    <x v="3"/>
    <x v="1"/>
    <x v="0"/>
    <n v="10528"/>
    <n v="5595"/>
    <n v="0"/>
    <n v="4933"/>
    <n v="0.46856003039513677"/>
    <n v="2023"/>
  </r>
  <r>
    <x v="31"/>
    <x v="1"/>
    <x v="1"/>
    <x v="2"/>
    <n v="8589"/>
    <n v="4376"/>
    <n v="10"/>
    <n v="4213"/>
    <n v="0.49051111887297705"/>
    <n v="2022"/>
  </r>
  <r>
    <x v="556"/>
    <x v="1"/>
    <x v="0"/>
    <x v="0"/>
    <n v="3392"/>
    <n v="11880"/>
    <n v="15"/>
    <n v="-8488"/>
    <n v="-2.5023584905660377"/>
    <n v="2024"/>
  </r>
  <r>
    <x v="266"/>
    <x v="2"/>
    <x v="1"/>
    <x v="1"/>
    <n v="11188"/>
    <n v="6202"/>
    <n v="20"/>
    <n v="4986"/>
    <n v="0.44565606006435465"/>
    <n v="2024"/>
  </r>
  <r>
    <x v="488"/>
    <x v="0"/>
    <x v="2"/>
    <x v="1"/>
    <n v="11275"/>
    <n v="11244"/>
    <n v="20"/>
    <n v="31"/>
    <n v="2.7494456762749446E-3"/>
    <n v="2024"/>
  </r>
  <r>
    <x v="803"/>
    <x v="2"/>
    <x v="2"/>
    <x v="3"/>
    <n v="11250"/>
    <n v="3009"/>
    <n v="0"/>
    <n v="8241"/>
    <n v="0.73253333333333337"/>
    <n v="2022"/>
  </r>
  <r>
    <x v="152"/>
    <x v="1"/>
    <x v="0"/>
    <x v="2"/>
    <n v="6077"/>
    <n v="9646"/>
    <n v="20"/>
    <n v="-3569"/>
    <n v="-0.58729636333717294"/>
    <n v="2024"/>
  </r>
  <r>
    <x v="573"/>
    <x v="1"/>
    <x v="2"/>
    <x v="0"/>
    <n v="4118"/>
    <n v="5521"/>
    <n v="10"/>
    <n v="-1403"/>
    <n v="-0.34069936862554639"/>
    <n v="2023"/>
  </r>
  <r>
    <x v="652"/>
    <x v="0"/>
    <x v="3"/>
    <x v="2"/>
    <n v="2059"/>
    <n v="10237"/>
    <n v="0"/>
    <n v="-8178"/>
    <n v="-3.971830985915493"/>
    <n v="2024"/>
  </r>
  <r>
    <x v="504"/>
    <x v="0"/>
    <x v="3"/>
    <x v="1"/>
    <n v="7183"/>
    <n v="11924"/>
    <n v="10"/>
    <n v="-4741"/>
    <n v="-0.66003062787136291"/>
    <n v="2023"/>
  </r>
  <r>
    <x v="557"/>
    <x v="0"/>
    <x v="2"/>
    <x v="2"/>
    <n v="2007"/>
    <n v="8829"/>
    <n v="0"/>
    <n v="-6822"/>
    <n v="-3.399103139013453"/>
    <n v="2022"/>
  </r>
  <r>
    <x v="137"/>
    <x v="2"/>
    <x v="0"/>
    <x v="0"/>
    <n v="12763"/>
    <n v="7022"/>
    <n v="20"/>
    <n v="5741"/>
    <n v="0.44981587401081252"/>
    <n v="2022"/>
  </r>
  <r>
    <x v="804"/>
    <x v="0"/>
    <x v="1"/>
    <x v="2"/>
    <n v="2563"/>
    <n v="8501"/>
    <n v="0"/>
    <n v="-5938"/>
    <n v="-2.3168162309793212"/>
    <n v="2023"/>
  </r>
  <r>
    <x v="711"/>
    <x v="1"/>
    <x v="0"/>
    <x v="0"/>
    <n v="4142"/>
    <n v="4444"/>
    <n v="5"/>
    <n v="-302"/>
    <n v="-7.291163689039111E-2"/>
    <n v="2022"/>
  </r>
  <r>
    <x v="805"/>
    <x v="1"/>
    <x v="1"/>
    <x v="1"/>
    <n v="2500"/>
    <n v="5906"/>
    <n v="15"/>
    <n v="-3406"/>
    <n v="-1.3624000000000001"/>
    <n v="2024"/>
  </r>
  <r>
    <x v="806"/>
    <x v="3"/>
    <x v="2"/>
    <x v="1"/>
    <n v="14761"/>
    <n v="7066"/>
    <n v="20"/>
    <n v="7695"/>
    <n v="0.52130614457015112"/>
    <n v="2024"/>
  </r>
  <r>
    <x v="782"/>
    <x v="2"/>
    <x v="2"/>
    <x v="1"/>
    <n v="13699"/>
    <n v="1030"/>
    <n v="15"/>
    <n v="12669"/>
    <n v="0.92481203007518797"/>
    <n v="2023"/>
  </r>
  <r>
    <x v="131"/>
    <x v="3"/>
    <x v="3"/>
    <x v="3"/>
    <n v="1794"/>
    <n v="5190"/>
    <n v="20"/>
    <n v="-3396"/>
    <n v="-1.8929765886287626"/>
    <n v="2022"/>
  </r>
  <r>
    <x v="751"/>
    <x v="1"/>
    <x v="1"/>
    <x v="1"/>
    <n v="4565"/>
    <n v="1948"/>
    <n v="15"/>
    <n v="2617"/>
    <n v="0.57327491785323115"/>
    <n v="2023"/>
  </r>
  <r>
    <x v="37"/>
    <x v="3"/>
    <x v="0"/>
    <x v="2"/>
    <n v="14590"/>
    <n v="4528"/>
    <n v="5"/>
    <n v="10062"/>
    <n v="0.68965044551062371"/>
    <n v="2022"/>
  </r>
  <r>
    <x v="535"/>
    <x v="1"/>
    <x v="2"/>
    <x v="3"/>
    <n v="11444"/>
    <n v="2430"/>
    <n v="15"/>
    <n v="9014"/>
    <n v="0.78766165676336941"/>
    <n v="2023"/>
  </r>
  <r>
    <x v="82"/>
    <x v="3"/>
    <x v="0"/>
    <x v="1"/>
    <n v="8514"/>
    <n v="10888"/>
    <n v="0"/>
    <n v="-2374"/>
    <n v="-0.27883486023020909"/>
    <n v="2022"/>
  </r>
  <r>
    <x v="586"/>
    <x v="0"/>
    <x v="3"/>
    <x v="2"/>
    <n v="10445"/>
    <n v="4666"/>
    <n v="15"/>
    <n v="5779"/>
    <n v="0.55327908089995215"/>
    <n v="2022"/>
  </r>
  <r>
    <x v="255"/>
    <x v="3"/>
    <x v="1"/>
    <x v="2"/>
    <n v="12902"/>
    <n v="1806"/>
    <n v="20"/>
    <n v="11096"/>
    <n v="0.86002170206169581"/>
    <n v="2024"/>
  </r>
  <r>
    <x v="358"/>
    <x v="0"/>
    <x v="1"/>
    <x v="2"/>
    <n v="2103"/>
    <n v="2458"/>
    <n v="10"/>
    <n v="-355"/>
    <n v="-0.16880646695197338"/>
    <n v="2024"/>
  </r>
  <r>
    <x v="505"/>
    <x v="0"/>
    <x v="2"/>
    <x v="0"/>
    <n v="1822"/>
    <n v="3216"/>
    <n v="15"/>
    <n v="-1394"/>
    <n v="-0.76509330406147091"/>
    <n v="2022"/>
  </r>
  <r>
    <x v="807"/>
    <x v="2"/>
    <x v="1"/>
    <x v="3"/>
    <n v="6456"/>
    <n v="3529"/>
    <n v="15"/>
    <n v="2927"/>
    <n v="0.45337670384138784"/>
    <n v="2022"/>
  </r>
  <r>
    <x v="552"/>
    <x v="0"/>
    <x v="2"/>
    <x v="2"/>
    <n v="2941"/>
    <n v="10158"/>
    <n v="15"/>
    <n v="-7217"/>
    <n v="-2.4539272356341382"/>
    <n v="2022"/>
  </r>
  <r>
    <x v="15"/>
    <x v="0"/>
    <x v="3"/>
    <x v="0"/>
    <n v="1598"/>
    <n v="6565"/>
    <n v="20"/>
    <n v="-4967"/>
    <n v="-3.1082603254067585"/>
    <n v="2023"/>
  </r>
  <r>
    <x v="808"/>
    <x v="3"/>
    <x v="1"/>
    <x v="1"/>
    <n v="5573"/>
    <n v="4436"/>
    <n v="15"/>
    <n v="1137"/>
    <n v="0.20401937914947066"/>
    <n v="2022"/>
  </r>
  <r>
    <x v="451"/>
    <x v="1"/>
    <x v="2"/>
    <x v="2"/>
    <n v="10197"/>
    <n v="11461"/>
    <n v="20"/>
    <n v="-1264"/>
    <n v="-0.12395802687064823"/>
    <n v="2024"/>
  </r>
  <r>
    <x v="809"/>
    <x v="2"/>
    <x v="0"/>
    <x v="0"/>
    <n v="9818"/>
    <n v="2989"/>
    <n v="20"/>
    <n v="6829"/>
    <n v="0.6955591770217967"/>
    <n v="2022"/>
  </r>
  <r>
    <x v="810"/>
    <x v="0"/>
    <x v="2"/>
    <x v="2"/>
    <n v="8988"/>
    <n v="7490"/>
    <n v="10"/>
    <n v="1498"/>
    <n v="0.16666666666666666"/>
    <n v="2024"/>
  </r>
  <r>
    <x v="811"/>
    <x v="2"/>
    <x v="1"/>
    <x v="3"/>
    <n v="11741"/>
    <n v="10818"/>
    <n v="0"/>
    <n v="923"/>
    <n v="7.8613406013116435E-2"/>
    <n v="2023"/>
  </r>
  <r>
    <x v="56"/>
    <x v="3"/>
    <x v="3"/>
    <x v="3"/>
    <n v="10917"/>
    <n v="3110"/>
    <n v="20"/>
    <n v="7807"/>
    <n v="0.71512320234496651"/>
    <n v="2022"/>
  </r>
  <r>
    <x v="775"/>
    <x v="0"/>
    <x v="1"/>
    <x v="1"/>
    <n v="13850"/>
    <n v="11008"/>
    <n v="5"/>
    <n v="2842"/>
    <n v="0.20519855595667871"/>
    <n v="2023"/>
  </r>
  <r>
    <x v="585"/>
    <x v="3"/>
    <x v="1"/>
    <x v="2"/>
    <n v="13046"/>
    <n v="11963"/>
    <n v="15"/>
    <n v="1083"/>
    <n v="8.3013950636210337E-2"/>
    <n v="2024"/>
  </r>
  <r>
    <x v="795"/>
    <x v="2"/>
    <x v="2"/>
    <x v="0"/>
    <n v="4287"/>
    <n v="6452"/>
    <n v="5"/>
    <n v="-2165"/>
    <n v="-0.50501516211803121"/>
    <n v="2024"/>
  </r>
  <r>
    <x v="464"/>
    <x v="3"/>
    <x v="0"/>
    <x v="1"/>
    <n v="14842"/>
    <n v="312"/>
    <n v="15"/>
    <n v="14530"/>
    <n v="0.97897857431612989"/>
    <n v="2022"/>
  </r>
  <r>
    <x v="246"/>
    <x v="2"/>
    <x v="1"/>
    <x v="2"/>
    <n v="2596"/>
    <n v="11462"/>
    <n v="10"/>
    <n v="-8866"/>
    <n v="-3.4152542372881354"/>
    <n v="2024"/>
  </r>
  <r>
    <x v="281"/>
    <x v="3"/>
    <x v="0"/>
    <x v="1"/>
    <n v="12301"/>
    <n v="6238"/>
    <n v="20"/>
    <n v="6063"/>
    <n v="0.49288675717421349"/>
    <n v="2023"/>
  </r>
  <r>
    <x v="608"/>
    <x v="2"/>
    <x v="2"/>
    <x v="0"/>
    <n v="2708"/>
    <n v="8299"/>
    <n v="0"/>
    <n v="-5591"/>
    <n v="-2.0646233382570163"/>
    <n v="2022"/>
  </r>
  <r>
    <x v="812"/>
    <x v="1"/>
    <x v="0"/>
    <x v="1"/>
    <n v="6488"/>
    <n v="7519"/>
    <n v="20"/>
    <n v="-1031"/>
    <n v="-0.15890875462392109"/>
    <n v="2023"/>
  </r>
  <r>
    <x v="398"/>
    <x v="3"/>
    <x v="2"/>
    <x v="1"/>
    <n v="675"/>
    <n v="5628"/>
    <n v="15"/>
    <n v="-4953"/>
    <n v="-7.3377777777777782"/>
    <n v="2024"/>
  </r>
  <r>
    <x v="27"/>
    <x v="3"/>
    <x v="3"/>
    <x v="1"/>
    <n v="7669"/>
    <n v="3921"/>
    <n v="0"/>
    <n v="3748"/>
    <n v="0.48872082409701395"/>
    <n v="2023"/>
  </r>
  <r>
    <x v="637"/>
    <x v="1"/>
    <x v="0"/>
    <x v="2"/>
    <n v="13788"/>
    <n v="3983"/>
    <n v="20"/>
    <n v="9805"/>
    <n v="0.71112561647809691"/>
    <n v="2022"/>
  </r>
  <r>
    <x v="254"/>
    <x v="1"/>
    <x v="0"/>
    <x v="0"/>
    <n v="6514"/>
    <n v="8172"/>
    <n v="0"/>
    <n v="-1658"/>
    <n v="-0.25452870739944733"/>
    <n v="2022"/>
  </r>
  <r>
    <x v="613"/>
    <x v="3"/>
    <x v="3"/>
    <x v="3"/>
    <n v="11194"/>
    <n v="11965"/>
    <n v="15"/>
    <n v="-771"/>
    <n v="-6.8876183669823121E-2"/>
    <n v="2022"/>
  </r>
  <r>
    <x v="693"/>
    <x v="1"/>
    <x v="0"/>
    <x v="2"/>
    <n v="12691"/>
    <n v="5610"/>
    <n v="10"/>
    <n v="7081"/>
    <n v="0.55795445591363957"/>
    <n v="2023"/>
  </r>
  <r>
    <x v="188"/>
    <x v="0"/>
    <x v="3"/>
    <x v="3"/>
    <n v="2167"/>
    <n v="11614"/>
    <n v="10"/>
    <n v="-9447"/>
    <n v="-4.359483156437471"/>
    <n v="2024"/>
  </r>
  <r>
    <x v="557"/>
    <x v="2"/>
    <x v="1"/>
    <x v="3"/>
    <n v="13063"/>
    <n v="11956"/>
    <n v="20"/>
    <n v="1107"/>
    <n v="8.4743167725637294E-2"/>
    <n v="2022"/>
  </r>
  <r>
    <x v="607"/>
    <x v="2"/>
    <x v="2"/>
    <x v="2"/>
    <n v="11237"/>
    <n v="952"/>
    <n v="5"/>
    <n v="10285"/>
    <n v="0.91527987897125562"/>
    <n v="2024"/>
  </r>
  <r>
    <x v="22"/>
    <x v="2"/>
    <x v="3"/>
    <x v="2"/>
    <n v="9367"/>
    <n v="6099"/>
    <n v="15"/>
    <n v="3268"/>
    <n v="0.34888438133874239"/>
    <n v="2023"/>
  </r>
  <r>
    <x v="721"/>
    <x v="0"/>
    <x v="0"/>
    <x v="0"/>
    <n v="2323"/>
    <n v="9112"/>
    <n v="20"/>
    <n v="-6789"/>
    <n v="-2.9225139905294877"/>
    <n v="2024"/>
  </r>
  <r>
    <x v="813"/>
    <x v="1"/>
    <x v="3"/>
    <x v="0"/>
    <n v="5647"/>
    <n v="4090"/>
    <n v="20"/>
    <n v="1557"/>
    <n v="0.27572162210023021"/>
    <n v="2022"/>
  </r>
  <r>
    <x v="465"/>
    <x v="1"/>
    <x v="0"/>
    <x v="1"/>
    <n v="1856"/>
    <n v="1945"/>
    <n v="10"/>
    <n v="-89"/>
    <n v="-4.7952586206896554E-2"/>
    <n v="2024"/>
  </r>
  <r>
    <x v="387"/>
    <x v="3"/>
    <x v="1"/>
    <x v="3"/>
    <n v="3572"/>
    <n v="10735"/>
    <n v="0"/>
    <n v="-7163"/>
    <n v="-2.0053191489361701"/>
    <n v="2024"/>
  </r>
  <r>
    <x v="814"/>
    <x v="1"/>
    <x v="3"/>
    <x v="0"/>
    <n v="3759"/>
    <n v="4812"/>
    <n v="15"/>
    <n v="-1053"/>
    <n v="-0.28012769353551475"/>
    <n v="2022"/>
  </r>
  <r>
    <x v="815"/>
    <x v="3"/>
    <x v="1"/>
    <x v="1"/>
    <n v="6699"/>
    <n v="5059"/>
    <n v="0"/>
    <n v="1640"/>
    <n v="0.24481265860576204"/>
    <n v="2024"/>
  </r>
  <r>
    <x v="150"/>
    <x v="0"/>
    <x v="2"/>
    <x v="0"/>
    <n v="1046"/>
    <n v="11983"/>
    <n v="15"/>
    <n v="-10937"/>
    <n v="-10.45602294455067"/>
    <n v="2022"/>
  </r>
  <r>
    <x v="115"/>
    <x v="2"/>
    <x v="0"/>
    <x v="2"/>
    <n v="5731"/>
    <n v="6174"/>
    <n v="5"/>
    <n v="-443"/>
    <n v="-7.7298900715407431E-2"/>
    <n v="2023"/>
  </r>
  <r>
    <x v="21"/>
    <x v="2"/>
    <x v="0"/>
    <x v="0"/>
    <n v="8465"/>
    <n v="3988"/>
    <n v="10"/>
    <n v="4477"/>
    <n v="0.52888363851151798"/>
    <n v="2024"/>
  </r>
  <r>
    <x v="805"/>
    <x v="2"/>
    <x v="1"/>
    <x v="3"/>
    <n v="2583"/>
    <n v="7989"/>
    <n v="5"/>
    <n v="-5406"/>
    <n v="-2.0929152148664345"/>
    <n v="2024"/>
  </r>
  <r>
    <x v="293"/>
    <x v="1"/>
    <x v="2"/>
    <x v="0"/>
    <n v="2540"/>
    <n v="1679"/>
    <n v="20"/>
    <n v="861"/>
    <n v="0.33897637795275593"/>
    <n v="2024"/>
  </r>
  <r>
    <x v="315"/>
    <x v="3"/>
    <x v="3"/>
    <x v="3"/>
    <n v="5034"/>
    <n v="4543"/>
    <n v="10"/>
    <n v="491"/>
    <n v="9.7536750099324596E-2"/>
    <n v="2023"/>
  </r>
  <r>
    <x v="400"/>
    <x v="3"/>
    <x v="3"/>
    <x v="2"/>
    <n v="2252"/>
    <n v="10537"/>
    <n v="20"/>
    <n v="-8285"/>
    <n v="-3.6789520426287745"/>
    <n v="2024"/>
  </r>
  <r>
    <x v="229"/>
    <x v="0"/>
    <x v="0"/>
    <x v="3"/>
    <n v="10307"/>
    <n v="11540"/>
    <n v="5"/>
    <n v="-1233"/>
    <n v="-0.11962743766372368"/>
    <n v="2023"/>
  </r>
  <r>
    <x v="816"/>
    <x v="1"/>
    <x v="1"/>
    <x v="0"/>
    <n v="2349"/>
    <n v="9880"/>
    <n v="15"/>
    <n v="-7531"/>
    <n v="-3.2060451255853555"/>
    <n v="2022"/>
  </r>
  <r>
    <x v="669"/>
    <x v="0"/>
    <x v="1"/>
    <x v="1"/>
    <n v="3142"/>
    <n v="6807"/>
    <n v="20"/>
    <n v="-3665"/>
    <n v="-1.1664544875875238"/>
    <n v="2023"/>
  </r>
  <r>
    <x v="38"/>
    <x v="3"/>
    <x v="3"/>
    <x v="2"/>
    <n v="2100"/>
    <n v="8119"/>
    <n v="0"/>
    <n v="-6019"/>
    <n v="-2.8661904761904764"/>
    <n v="2022"/>
  </r>
  <r>
    <x v="473"/>
    <x v="3"/>
    <x v="2"/>
    <x v="0"/>
    <n v="12088"/>
    <n v="8893"/>
    <n v="15"/>
    <n v="3195"/>
    <n v="0.26431171409662474"/>
    <n v="2022"/>
  </r>
  <r>
    <x v="66"/>
    <x v="2"/>
    <x v="2"/>
    <x v="2"/>
    <n v="14451"/>
    <n v="2953"/>
    <n v="15"/>
    <n v="11498"/>
    <n v="0.79565427998062421"/>
    <n v="2022"/>
  </r>
  <r>
    <x v="232"/>
    <x v="1"/>
    <x v="3"/>
    <x v="2"/>
    <n v="4902"/>
    <n v="5911"/>
    <n v="5"/>
    <n v="-1009"/>
    <n v="-0.20583435332517339"/>
    <n v="2024"/>
  </r>
  <r>
    <x v="817"/>
    <x v="3"/>
    <x v="3"/>
    <x v="0"/>
    <n v="12297"/>
    <n v="6427"/>
    <n v="5"/>
    <n v="5870"/>
    <n v="0.47735219972350978"/>
    <n v="2023"/>
  </r>
  <r>
    <x v="818"/>
    <x v="2"/>
    <x v="1"/>
    <x v="0"/>
    <n v="4299"/>
    <n v="4223"/>
    <n v="10"/>
    <n v="76"/>
    <n v="1.767852989067225E-2"/>
    <n v="2023"/>
  </r>
  <r>
    <x v="451"/>
    <x v="1"/>
    <x v="2"/>
    <x v="1"/>
    <n v="1118"/>
    <n v="8759"/>
    <n v="10"/>
    <n v="-7641"/>
    <n v="-6.8345259391771016"/>
    <n v="2024"/>
  </r>
  <r>
    <x v="166"/>
    <x v="0"/>
    <x v="3"/>
    <x v="2"/>
    <n v="1632"/>
    <n v="6212"/>
    <n v="0"/>
    <n v="-4580"/>
    <n v="-2.8063725490196076"/>
    <n v="2022"/>
  </r>
  <r>
    <x v="819"/>
    <x v="1"/>
    <x v="3"/>
    <x v="2"/>
    <n v="5991"/>
    <n v="5430"/>
    <n v="15"/>
    <n v="561"/>
    <n v="9.3640460691036556E-2"/>
    <n v="2023"/>
  </r>
  <r>
    <x v="820"/>
    <x v="1"/>
    <x v="0"/>
    <x v="0"/>
    <n v="14167"/>
    <n v="5739"/>
    <n v="0"/>
    <n v="8428"/>
    <n v="0.59490364932589823"/>
    <n v="2022"/>
  </r>
  <r>
    <x v="648"/>
    <x v="3"/>
    <x v="3"/>
    <x v="3"/>
    <n v="6295"/>
    <n v="8180"/>
    <n v="0"/>
    <n v="-1885"/>
    <n v="-0.29944400317712472"/>
    <n v="2024"/>
  </r>
  <r>
    <x v="109"/>
    <x v="3"/>
    <x v="3"/>
    <x v="0"/>
    <n v="10807"/>
    <n v="6749"/>
    <n v="5"/>
    <n v="4058"/>
    <n v="0.3754973628203942"/>
    <n v="2024"/>
  </r>
  <r>
    <x v="804"/>
    <x v="1"/>
    <x v="2"/>
    <x v="2"/>
    <n v="11031"/>
    <n v="2025"/>
    <n v="0"/>
    <n v="9006"/>
    <n v="0.81642643459341857"/>
    <n v="2023"/>
  </r>
  <r>
    <x v="407"/>
    <x v="3"/>
    <x v="1"/>
    <x v="0"/>
    <n v="11431"/>
    <n v="9604"/>
    <n v="0"/>
    <n v="1827"/>
    <n v="0.15982853643600733"/>
    <n v="2024"/>
  </r>
  <r>
    <x v="821"/>
    <x v="3"/>
    <x v="2"/>
    <x v="1"/>
    <n v="12968"/>
    <n v="7822"/>
    <n v="20"/>
    <n v="5146"/>
    <n v="0.39682294879703889"/>
    <n v="2022"/>
  </r>
  <r>
    <x v="175"/>
    <x v="3"/>
    <x v="1"/>
    <x v="3"/>
    <n v="8133"/>
    <n v="11167"/>
    <n v="10"/>
    <n v="-3034"/>
    <n v="-0.37304807574080906"/>
    <n v="2024"/>
  </r>
  <r>
    <x v="822"/>
    <x v="2"/>
    <x v="0"/>
    <x v="0"/>
    <n v="1987"/>
    <n v="5084"/>
    <n v="10"/>
    <n v="-3097"/>
    <n v="-1.5586311021640664"/>
    <n v="2023"/>
  </r>
  <r>
    <x v="581"/>
    <x v="2"/>
    <x v="3"/>
    <x v="1"/>
    <n v="8348"/>
    <n v="9772"/>
    <n v="15"/>
    <n v="-1424"/>
    <n v="-0.17057977958792525"/>
    <n v="2023"/>
  </r>
  <r>
    <x v="512"/>
    <x v="1"/>
    <x v="0"/>
    <x v="2"/>
    <n v="5509"/>
    <n v="1532"/>
    <n v="10"/>
    <n v="3977"/>
    <n v="0.72190960246868763"/>
    <n v="2022"/>
  </r>
  <r>
    <x v="700"/>
    <x v="3"/>
    <x v="1"/>
    <x v="0"/>
    <n v="10249"/>
    <n v="10355"/>
    <n v="15"/>
    <n v="-106"/>
    <n v="-1.0342472436335253E-2"/>
    <n v="2022"/>
  </r>
  <r>
    <x v="818"/>
    <x v="2"/>
    <x v="2"/>
    <x v="2"/>
    <n v="2613"/>
    <n v="9108"/>
    <n v="20"/>
    <n v="-6495"/>
    <n v="-2.4856486796785302"/>
    <n v="2023"/>
  </r>
  <r>
    <x v="628"/>
    <x v="1"/>
    <x v="2"/>
    <x v="1"/>
    <n v="1544"/>
    <n v="8638"/>
    <n v="10"/>
    <n v="-7094"/>
    <n v="-4.5945595854922283"/>
    <n v="2022"/>
  </r>
  <r>
    <x v="501"/>
    <x v="3"/>
    <x v="0"/>
    <x v="2"/>
    <n v="14423"/>
    <n v="7746"/>
    <n v="20"/>
    <n v="6677"/>
    <n v="0.46294113568605699"/>
    <n v="2022"/>
  </r>
  <r>
    <x v="672"/>
    <x v="0"/>
    <x v="1"/>
    <x v="1"/>
    <n v="2931"/>
    <n v="4916"/>
    <n v="10"/>
    <n v="-1985"/>
    <n v="-0.67724326168543159"/>
    <n v="2024"/>
  </r>
  <r>
    <x v="367"/>
    <x v="3"/>
    <x v="0"/>
    <x v="1"/>
    <n v="8479"/>
    <n v="5025"/>
    <n v="10"/>
    <n v="3454"/>
    <n v="0.40735935841490739"/>
    <n v="2023"/>
  </r>
  <r>
    <x v="823"/>
    <x v="3"/>
    <x v="0"/>
    <x v="1"/>
    <n v="14426"/>
    <n v="3977"/>
    <n v="20"/>
    <n v="10449"/>
    <n v="0.72431720504644392"/>
    <n v="2024"/>
  </r>
  <r>
    <x v="824"/>
    <x v="2"/>
    <x v="3"/>
    <x v="0"/>
    <n v="2082"/>
    <n v="6587"/>
    <n v="0"/>
    <n v="-4505"/>
    <n v="-2.1637848222862632"/>
    <n v="2022"/>
  </r>
  <r>
    <x v="601"/>
    <x v="1"/>
    <x v="0"/>
    <x v="2"/>
    <n v="14874"/>
    <n v="8780"/>
    <n v="0"/>
    <n v="6094"/>
    <n v="0.40970821567836491"/>
    <n v="2024"/>
  </r>
  <r>
    <x v="190"/>
    <x v="1"/>
    <x v="3"/>
    <x v="2"/>
    <n v="1808"/>
    <n v="1709"/>
    <n v="0"/>
    <n v="99"/>
    <n v="5.4756637168141595E-2"/>
    <n v="2024"/>
  </r>
  <r>
    <x v="387"/>
    <x v="2"/>
    <x v="3"/>
    <x v="3"/>
    <n v="5417"/>
    <n v="8505"/>
    <n v="0"/>
    <n v="-3088"/>
    <n v="-0.57005722724755403"/>
    <n v="2024"/>
  </r>
  <r>
    <x v="64"/>
    <x v="3"/>
    <x v="2"/>
    <x v="3"/>
    <n v="9293"/>
    <n v="556"/>
    <n v="10"/>
    <n v="8737"/>
    <n v="0.94017002044549658"/>
    <n v="2024"/>
  </r>
  <r>
    <x v="291"/>
    <x v="0"/>
    <x v="3"/>
    <x v="3"/>
    <n v="2120"/>
    <n v="2021"/>
    <n v="5"/>
    <n v="99"/>
    <n v="4.6698113207547166E-2"/>
    <n v="2024"/>
  </r>
  <r>
    <x v="825"/>
    <x v="3"/>
    <x v="3"/>
    <x v="3"/>
    <n v="13572"/>
    <n v="1723"/>
    <n v="20"/>
    <n v="11849"/>
    <n v="0.87304745063365752"/>
    <n v="2022"/>
  </r>
  <r>
    <x v="626"/>
    <x v="3"/>
    <x v="2"/>
    <x v="2"/>
    <n v="8003"/>
    <n v="5253"/>
    <n v="5"/>
    <n v="2750"/>
    <n v="0.34362114207172312"/>
    <n v="2024"/>
  </r>
  <r>
    <x v="285"/>
    <x v="0"/>
    <x v="0"/>
    <x v="1"/>
    <n v="13999"/>
    <n v="3290"/>
    <n v="5"/>
    <n v="10709"/>
    <n v="0.76498321308664907"/>
    <n v="2023"/>
  </r>
  <r>
    <x v="251"/>
    <x v="2"/>
    <x v="1"/>
    <x v="1"/>
    <n v="5266"/>
    <n v="1495"/>
    <n v="15"/>
    <n v="3771"/>
    <n v="0.71610330421572355"/>
    <n v="2023"/>
  </r>
  <r>
    <x v="192"/>
    <x v="1"/>
    <x v="1"/>
    <x v="0"/>
    <n v="5862"/>
    <n v="4859"/>
    <n v="0"/>
    <n v="1003"/>
    <n v="0.17110201296485841"/>
    <n v="2023"/>
  </r>
  <r>
    <x v="723"/>
    <x v="2"/>
    <x v="1"/>
    <x v="1"/>
    <n v="5692"/>
    <n v="4665"/>
    <n v="10"/>
    <n v="1027"/>
    <n v="0.18042867182009839"/>
    <n v="2024"/>
  </r>
  <r>
    <x v="714"/>
    <x v="2"/>
    <x v="0"/>
    <x v="2"/>
    <n v="7122"/>
    <n v="1544"/>
    <n v="0"/>
    <n v="5578"/>
    <n v="0.78320696433586068"/>
    <n v="2023"/>
  </r>
  <r>
    <x v="736"/>
    <x v="3"/>
    <x v="3"/>
    <x v="2"/>
    <n v="6593"/>
    <n v="11715"/>
    <n v="0"/>
    <n v="-5122"/>
    <n v="-0.77688457454876381"/>
    <n v="2023"/>
  </r>
  <r>
    <x v="161"/>
    <x v="1"/>
    <x v="1"/>
    <x v="2"/>
    <n v="7204"/>
    <n v="7066"/>
    <n v="5"/>
    <n v="138"/>
    <n v="1.9156024430871738E-2"/>
    <n v="2023"/>
  </r>
  <r>
    <x v="399"/>
    <x v="1"/>
    <x v="0"/>
    <x v="0"/>
    <n v="600"/>
    <n v="5602"/>
    <n v="15"/>
    <n v="-5002"/>
    <n v="-8.336666666666666"/>
    <n v="2024"/>
  </r>
  <r>
    <x v="658"/>
    <x v="2"/>
    <x v="3"/>
    <x v="3"/>
    <n v="7157"/>
    <n v="11962"/>
    <n v="0"/>
    <n v="-4805"/>
    <n v="-0.67137068604163752"/>
    <n v="2023"/>
  </r>
  <r>
    <x v="826"/>
    <x v="0"/>
    <x v="2"/>
    <x v="1"/>
    <n v="6375"/>
    <n v="1606"/>
    <n v="20"/>
    <n v="4769"/>
    <n v="0.74807843137254904"/>
    <n v="2022"/>
  </r>
  <r>
    <x v="318"/>
    <x v="2"/>
    <x v="1"/>
    <x v="2"/>
    <n v="4771"/>
    <n v="10613"/>
    <n v="20"/>
    <n v="-5842"/>
    <n v="-1.2244812408300147"/>
    <n v="2023"/>
  </r>
  <r>
    <x v="827"/>
    <x v="0"/>
    <x v="3"/>
    <x v="2"/>
    <n v="737"/>
    <n v="2702"/>
    <n v="0"/>
    <n v="-1965"/>
    <n v="-2.666214382632293"/>
    <n v="2024"/>
  </r>
  <r>
    <x v="354"/>
    <x v="1"/>
    <x v="1"/>
    <x v="3"/>
    <n v="7726"/>
    <n v="796"/>
    <n v="5"/>
    <n v="6930"/>
    <n v="0.89697126585555265"/>
    <n v="2024"/>
  </r>
  <r>
    <x v="187"/>
    <x v="2"/>
    <x v="1"/>
    <x v="2"/>
    <n v="8532"/>
    <n v="3699"/>
    <n v="5"/>
    <n v="4833"/>
    <n v="0.56645569620253167"/>
    <n v="2024"/>
  </r>
  <r>
    <x v="351"/>
    <x v="3"/>
    <x v="1"/>
    <x v="1"/>
    <n v="5718"/>
    <n v="1209"/>
    <n v="10"/>
    <n v="4509"/>
    <n v="0.78856243441762852"/>
    <n v="2023"/>
  </r>
  <r>
    <x v="560"/>
    <x v="2"/>
    <x v="3"/>
    <x v="0"/>
    <n v="4525"/>
    <n v="672"/>
    <n v="15"/>
    <n v="3853"/>
    <n v="0.85149171270718227"/>
    <n v="2023"/>
  </r>
  <r>
    <x v="425"/>
    <x v="1"/>
    <x v="0"/>
    <x v="2"/>
    <n v="11610"/>
    <n v="6536"/>
    <n v="5"/>
    <n v="5074"/>
    <n v="0.43703703703703706"/>
    <n v="2024"/>
  </r>
  <r>
    <x v="685"/>
    <x v="3"/>
    <x v="3"/>
    <x v="1"/>
    <n v="6573"/>
    <n v="1644"/>
    <n v="10"/>
    <n v="4929"/>
    <n v="0.74988589685075313"/>
    <n v="2023"/>
  </r>
  <r>
    <x v="566"/>
    <x v="3"/>
    <x v="1"/>
    <x v="2"/>
    <n v="3042"/>
    <n v="8815"/>
    <n v="20"/>
    <n v="-5773"/>
    <n v="-1.8977646285338594"/>
    <n v="2022"/>
  </r>
  <r>
    <x v="828"/>
    <x v="0"/>
    <x v="3"/>
    <x v="3"/>
    <n v="10695"/>
    <n v="2731"/>
    <n v="20"/>
    <n v="7964"/>
    <n v="0.7446470313230481"/>
    <n v="2024"/>
  </r>
  <r>
    <x v="237"/>
    <x v="3"/>
    <x v="2"/>
    <x v="2"/>
    <n v="2037"/>
    <n v="4970"/>
    <n v="20"/>
    <n v="-2933"/>
    <n v="-1.4398625429553265"/>
    <n v="2024"/>
  </r>
  <r>
    <x v="324"/>
    <x v="3"/>
    <x v="0"/>
    <x v="2"/>
    <n v="1254"/>
    <n v="3084"/>
    <n v="0"/>
    <n v="-1830"/>
    <n v="-1.4593301435406698"/>
    <n v="2023"/>
  </r>
  <r>
    <x v="254"/>
    <x v="2"/>
    <x v="3"/>
    <x v="0"/>
    <n v="12060"/>
    <n v="10885"/>
    <n v="15"/>
    <n v="1175"/>
    <n v="9.7429519071310117E-2"/>
    <n v="2022"/>
  </r>
  <r>
    <x v="401"/>
    <x v="1"/>
    <x v="2"/>
    <x v="3"/>
    <n v="10950"/>
    <n v="9707"/>
    <n v="10"/>
    <n v="1243"/>
    <n v="0.11351598173515982"/>
    <n v="2024"/>
  </r>
  <r>
    <x v="829"/>
    <x v="0"/>
    <x v="0"/>
    <x v="3"/>
    <n v="13934"/>
    <n v="1995"/>
    <n v="15"/>
    <n v="11939"/>
    <n v="0.85682503229510554"/>
    <n v="2022"/>
  </r>
  <r>
    <x v="679"/>
    <x v="2"/>
    <x v="2"/>
    <x v="0"/>
    <n v="7896"/>
    <n v="2207"/>
    <n v="0"/>
    <n v="5689"/>
    <n v="0.72049138804457957"/>
    <n v="2022"/>
  </r>
  <r>
    <x v="266"/>
    <x v="3"/>
    <x v="0"/>
    <x v="2"/>
    <n v="12357"/>
    <n v="5114"/>
    <n v="10"/>
    <n v="7243"/>
    <n v="0.58614550457230719"/>
    <n v="2024"/>
  </r>
  <r>
    <x v="403"/>
    <x v="3"/>
    <x v="3"/>
    <x v="1"/>
    <n v="8323"/>
    <n v="1080"/>
    <n v="10"/>
    <n v="7243"/>
    <n v="0.87023909647963471"/>
    <n v="2024"/>
  </r>
  <r>
    <x v="756"/>
    <x v="0"/>
    <x v="2"/>
    <x v="3"/>
    <n v="6007"/>
    <n v="1319"/>
    <n v="5"/>
    <n v="4688"/>
    <n v="0.78042284001997675"/>
    <n v="2024"/>
  </r>
  <r>
    <x v="830"/>
    <x v="1"/>
    <x v="1"/>
    <x v="3"/>
    <n v="4735"/>
    <n v="11757"/>
    <n v="15"/>
    <n v="-7022"/>
    <n v="-1.482998944033791"/>
    <n v="2024"/>
  </r>
  <r>
    <x v="227"/>
    <x v="0"/>
    <x v="2"/>
    <x v="2"/>
    <n v="1040"/>
    <n v="1703"/>
    <n v="15"/>
    <n v="-663"/>
    <n v="-0.63749999999999996"/>
    <n v="2024"/>
  </r>
  <r>
    <x v="831"/>
    <x v="2"/>
    <x v="0"/>
    <x v="2"/>
    <n v="6010"/>
    <n v="1726"/>
    <n v="5"/>
    <n v="4284"/>
    <n v="0.71281198003327784"/>
    <n v="2024"/>
  </r>
  <r>
    <x v="510"/>
    <x v="0"/>
    <x v="3"/>
    <x v="3"/>
    <n v="8961"/>
    <n v="9155"/>
    <n v="20"/>
    <n v="-194"/>
    <n v="-2.1649369490012275E-2"/>
    <n v="2024"/>
  </r>
  <r>
    <x v="832"/>
    <x v="3"/>
    <x v="0"/>
    <x v="2"/>
    <n v="8426"/>
    <n v="6168"/>
    <n v="0"/>
    <n v="2258"/>
    <n v="0.26798006171374317"/>
    <n v="2022"/>
  </r>
  <r>
    <x v="634"/>
    <x v="2"/>
    <x v="2"/>
    <x v="1"/>
    <n v="5631"/>
    <n v="11139"/>
    <n v="15"/>
    <n v="-5508"/>
    <n v="-0.97815663292488009"/>
    <n v="2022"/>
  </r>
  <r>
    <x v="57"/>
    <x v="3"/>
    <x v="2"/>
    <x v="3"/>
    <n v="14678"/>
    <n v="310"/>
    <n v="5"/>
    <n v="14368"/>
    <n v="0.97887995639732939"/>
    <n v="2024"/>
  </r>
  <r>
    <x v="729"/>
    <x v="1"/>
    <x v="1"/>
    <x v="1"/>
    <n v="12152"/>
    <n v="6630"/>
    <n v="10"/>
    <n v="5522"/>
    <n v="0.4544107965766952"/>
    <n v="2023"/>
  </r>
  <r>
    <x v="687"/>
    <x v="3"/>
    <x v="3"/>
    <x v="1"/>
    <n v="12100"/>
    <n v="9530"/>
    <n v="5"/>
    <n v="2570"/>
    <n v="0.21239669421487603"/>
    <n v="2023"/>
  </r>
  <r>
    <x v="567"/>
    <x v="3"/>
    <x v="3"/>
    <x v="2"/>
    <n v="9197"/>
    <n v="3125"/>
    <n v="20"/>
    <n v="6072"/>
    <n v="0.66021528759378056"/>
    <n v="2023"/>
  </r>
  <r>
    <x v="319"/>
    <x v="0"/>
    <x v="2"/>
    <x v="1"/>
    <n v="1629"/>
    <n v="7764"/>
    <n v="0"/>
    <n v="-6135"/>
    <n v="-3.7661141804788212"/>
    <n v="2022"/>
  </r>
  <r>
    <x v="833"/>
    <x v="3"/>
    <x v="3"/>
    <x v="2"/>
    <n v="10771"/>
    <n v="3303"/>
    <n v="20"/>
    <n v="7468"/>
    <n v="0.69334323646829454"/>
    <n v="2022"/>
  </r>
  <r>
    <x v="728"/>
    <x v="2"/>
    <x v="1"/>
    <x v="0"/>
    <n v="3645"/>
    <n v="9567"/>
    <n v="10"/>
    <n v="-5922"/>
    <n v="-1.6246913580246913"/>
    <n v="2024"/>
  </r>
  <r>
    <x v="834"/>
    <x v="2"/>
    <x v="0"/>
    <x v="2"/>
    <n v="11934"/>
    <n v="7495"/>
    <n v="10"/>
    <n v="4439"/>
    <n v="0.37196246019775431"/>
    <n v="2024"/>
  </r>
  <r>
    <x v="474"/>
    <x v="1"/>
    <x v="3"/>
    <x v="1"/>
    <n v="14660"/>
    <n v="7020"/>
    <n v="10"/>
    <n v="7640"/>
    <n v="0.52114597544338337"/>
    <n v="2022"/>
  </r>
  <r>
    <x v="641"/>
    <x v="2"/>
    <x v="2"/>
    <x v="0"/>
    <n v="13880"/>
    <n v="3388"/>
    <n v="10"/>
    <n v="10492"/>
    <n v="0.75590778097982714"/>
    <n v="2024"/>
  </r>
  <r>
    <x v="835"/>
    <x v="0"/>
    <x v="0"/>
    <x v="2"/>
    <n v="13600"/>
    <n v="2089"/>
    <n v="5"/>
    <n v="11511"/>
    <n v="0.84639705882352945"/>
    <n v="2022"/>
  </r>
  <r>
    <x v="836"/>
    <x v="1"/>
    <x v="0"/>
    <x v="1"/>
    <n v="9053"/>
    <n v="3336"/>
    <n v="10"/>
    <n v="5717"/>
    <n v="0.631503369048934"/>
    <n v="2023"/>
  </r>
  <r>
    <x v="696"/>
    <x v="2"/>
    <x v="1"/>
    <x v="3"/>
    <n v="4220"/>
    <n v="7677"/>
    <n v="10"/>
    <n v="-3457"/>
    <n v="-0.81919431279620858"/>
    <n v="2022"/>
  </r>
  <r>
    <x v="358"/>
    <x v="0"/>
    <x v="2"/>
    <x v="3"/>
    <n v="10148"/>
    <n v="7898"/>
    <n v="5"/>
    <n v="2250"/>
    <n v="0.22171856523452896"/>
    <n v="2024"/>
  </r>
  <r>
    <x v="818"/>
    <x v="2"/>
    <x v="3"/>
    <x v="2"/>
    <n v="13716"/>
    <n v="5138"/>
    <n v="10"/>
    <n v="8578"/>
    <n v="0.62540099154272377"/>
    <n v="2023"/>
  </r>
  <r>
    <x v="806"/>
    <x v="2"/>
    <x v="2"/>
    <x v="2"/>
    <n v="4567"/>
    <n v="6172"/>
    <n v="20"/>
    <n v="-1605"/>
    <n v="-0.35143420188307423"/>
    <n v="2024"/>
  </r>
  <r>
    <x v="31"/>
    <x v="3"/>
    <x v="0"/>
    <x v="3"/>
    <n v="4695"/>
    <n v="3953"/>
    <n v="20"/>
    <n v="742"/>
    <n v="0.15804046858359957"/>
    <n v="2022"/>
  </r>
  <r>
    <x v="93"/>
    <x v="2"/>
    <x v="2"/>
    <x v="1"/>
    <n v="10373"/>
    <n v="11667"/>
    <n v="15"/>
    <n v="-1294"/>
    <n v="-0.12474693916899643"/>
    <n v="2023"/>
  </r>
  <r>
    <x v="837"/>
    <x v="2"/>
    <x v="3"/>
    <x v="1"/>
    <n v="14844"/>
    <n v="4599"/>
    <n v="20"/>
    <n v="10245"/>
    <n v="0.69017784963621664"/>
    <n v="2023"/>
  </r>
  <r>
    <x v="175"/>
    <x v="0"/>
    <x v="3"/>
    <x v="1"/>
    <n v="9744"/>
    <n v="9568"/>
    <n v="0"/>
    <n v="176"/>
    <n v="1.8062397372742199E-2"/>
    <n v="2024"/>
  </r>
  <r>
    <x v="309"/>
    <x v="0"/>
    <x v="1"/>
    <x v="2"/>
    <n v="7781"/>
    <n v="1273"/>
    <n v="0"/>
    <n v="6508"/>
    <n v="0.83639635008353685"/>
    <n v="2022"/>
  </r>
  <r>
    <x v="715"/>
    <x v="3"/>
    <x v="3"/>
    <x v="0"/>
    <n v="3009"/>
    <n v="7383"/>
    <n v="0"/>
    <n v="-4374"/>
    <n v="-1.4536390827517447"/>
    <n v="2023"/>
  </r>
  <r>
    <x v="758"/>
    <x v="2"/>
    <x v="3"/>
    <x v="0"/>
    <n v="5516"/>
    <n v="5794"/>
    <n v="5"/>
    <n v="-278"/>
    <n v="-5.0398839738941263E-2"/>
    <n v="2024"/>
  </r>
  <r>
    <x v="540"/>
    <x v="3"/>
    <x v="2"/>
    <x v="0"/>
    <n v="7033"/>
    <n v="10357"/>
    <n v="20"/>
    <n v="-3324"/>
    <n v="-0.47262903455140054"/>
    <n v="2023"/>
  </r>
  <r>
    <x v="250"/>
    <x v="2"/>
    <x v="2"/>
    <x v="0"/>
    <n v="5227"/>
    <n v="11617"/>
    <n v="0"/>
    <n v="-6390"/>
    <n v="-1.2224985651425291"/>
    <n v="2022"/>
  </r>
  <r>
    <x v="584"/>
    <x v="1"/>
    <x v="0"/>
    <x v="0"/>
    <n v="1181"/>
    <n v="9791"/>
    <n v="15"/>
    <n v="-8610"/>
    <n v="-7.2904318374259098"/>
    <n v="2022"/>
  </r>
  <r>
    <x v="838"/>
    <x v="1"/>
    <x v="1"/>
    <x v="2"/>
    <n v="14992"/>
    <n v="3706"/>
    <n v="5"/>
    <n v="11286"/>
    <n v="0.75280149413020281"/>
    <n v="2024"/>
  </r>
  <r>
    <x v="591"/>
    <x v="3"/>
    <x v="2"/>
    <x v="2"/>
    <n v="4432"/>
    <n v="5450"/>
    <n v="15"/>
    <n v="-1018"/>
    <n v="-0.22969314079422382"/>
    <n v="2022"/>
  </r>
  <r>
    <x v="193"/>
    <x v="3"/>
    <x v="3"/>
    <x v="0"/>
    <n v="10821"/>
    <n v="9650"/>
    <n v="20"/>
    <n v="1171"/>
    <n v="0.10821550688476111"/>
    <n v="2023"/>
  </r>
  <r>
    <x v="839"/>
    <x v="3"/>
    <x v="0"/>
    <x v="2"/>
    <n v="13541"/>
    <n v="3429"/>
    <n v="10"/>
    <n v="10112"/>
    <n v="0.74676907170814566"/>
    <n v="2024"/>
  </r>
  <r>
    <x v="716"/>
    <x v="0"/>
    <x v="2"/>
    <x v="2"/>
    <n v="6060"/>
    <n v="404"/>
    <n v="15"/>
    <n v="5656"/>
    <n v="0.93333333333333335"/>
    <n v="2024"/>
  </r>
  <r>
    <x v="595"/>
    <x v="0"/>
    <x v="1"/>
    <x v="0"/>
    <n v="4516"/>
    <n v="7733"/>
    <n v="10"/>
    <n v="-3217"/>
    <n v="-0.71235606731620904"/>
    <n v="2024"/>
  </r>
  <r>
    <x v="406"/>
    <x v="0"/>
    <x v="1"/>
    <x v="1"/>
    <n v="7839"/>
    <n v="7989"/>
    <n v="5"/>
    <n v="-150"/>
    <n v="-1.9135093761959432E-2"/>
    <n v="2023"/>
  </r>
  <r>
    <x v="658"/>
    <x v="3"/>
    <x v="0"/>
    <x v="2"/>
    <n v="11994"/>
    <n v="3867"/>
    <n v="15"/>
    <n v="8127"/>
    <n v="0.67758879439719855"/>
    <n v="2023"/>
  </r>
  <r>
    <x v="366"/>
    <x v="2"/>
    <x v="0"/>
    <x v="1"/>
    <n v="1219"/>
    <n v="4648"/>
    <n v="15"/>
    <n v="-3429"/>
    <n v="-2.8129614438063988"/>
    <n v="2024"/>
  </r>
  <r>
    <x v="829"/>
    <x v="1"/>
    <x v="0"/>
    <x v="2"/>
    <n v="574"/>
    <n v="4690"/>
    <n v="5"/>
    <n v="-4116"/>
    <n v="-7.1707317073170733"/>
    <n v="2022"/>
  </r>
  <r>
    <x v="778"/>
    <x v="3"/>
    <x v="0"/>
    <x v="2"/>
    <n v="9985"/>
    <n v="7111"/>
    <n v="5"/>
    <n v="2874"/>
    <n v="0.28783174762143215"/>
    <n v="2022"/>
  </r>
  <r>
    <x v="622"/>
    <x v="0"/>
    <x v="0"/>
    <x v="0"/>
    <n v="10614"/>
    <n v="1481"/>
    <n v="0"/>
    <n v="9133"/>
    <n v="0.86046730732994159"/>
    <n v="2023"/>
  </r>
  <r>
    <x v="137"/>
    <x v="0"/>
    <x v="3"/>
    <x v="2"/>
    <n v="4657"/>
    <n v="4944"/>
    <n v="20"/>
    <n v="-287"/>
    <n v="-6.1627657290100925E-2"/>
    <n v="2022"/>
  </r>
  <r>
    <x v="736"/>
    <x v="3"/>
    <x v="3"/>
    <x v="3"/>
    <n v="13661"/>
    <n v="11630"/>
    <n v="15"/>
    <n v="2031"/>
    <n v="0.14867140033672499"/>
    <n v="2023"/>
  </r>
  <r>
    <x v="840"/>
    <x v="3"/>
    <x v="2"/>
    <x v="3"/>
    <n v="9011"/>
    <n v="6173"/>
    <n v="15"/>
    <n v="2838"/>
    <n v="0.31494839640439465"/>
    <n v="2023"/>
  </r>
  <r>
    <x v="323"/>
    <x v="0"/>
    <x v="1"/>
    <x v="0"/>
    <n v="2649"/>
    <n v="4694"/>
    <n v="5"/>
    <n v="-2045"/>
    <n v="-0.77198942997357489"/>
    <n v="2022"/>
  </r>
  <r>
    <x v="492"/>
    <x v="2"/>
    <x v="3"/>
    <x v="1"/>
    <n v="10144"/>
    <n v="3834"/>
    <n v="5"/>
    <n v="6310"/>
    <n v="0.62204258675078861"/>
    <n v="2022"/>
  </r>
  <r>
    <x v="232"/>
    <x v="0"/>
    <x v="3"/>
    <x v="1"/>
    <n v="13661"/>
    <n v="6144"/>
    <n v="20"/>
    <n v="7517"/>
    <n v="0.55025254373764731"/>
    <n v="2024"/>
  </r>
  <r>
    <x v="417"/>
    <x v="0"/>
    <x v="3"/>
    <x v="1"/>
    <n v="14533"/>
    <n v="6239"/>
    <n v="5"/>
    <n v="8294"/>
    <n v="0.57070116287070805"/>
    <n v="2024"/>
  </r>
  <r>
    <x v="796"/>
    <x v="3"/>
    <x v="2"/>
    <x v="3"/>
    <n v="10247"/>
    <n v="11619"/>
    <n v="10"/>
    <n v="-1372"/>
    <n v="-0.13389284668683518"/>
    <n v="2022"/>
  </r>
  <r>
    <x v="414"/>
    <x v="2"/>
    <x v="0"/>
    <x v="1"/>
    <n v="7213"/>
    <n v="6775"/>
    <n v="10"/>
    <n v="438"/>
    <n v="6.0723693331484821E-2"/>
    <n v="2024"/>
  </r>
  <r>
    <x v="793"/>
    <x v="0"/>
    <x v="2"/>
    <x v="1"/>
    <n v="4707"/>
    <n v="2074"/>
    <n v="10"/>
    <n v="2633"/>
    <n v="0.55937964733375822"/>
    <n v="2022"/>
  </r>
  <r>
    <x v="348"/>
    <x v="0"/>
    <x v="1"/>
    <x v="0"/>
    <n v="11724"/>
    <n v="8583"/>
    <n v="10"/>
    <n v="3141"/>
    <n v="0.26791197543500511"/>
    <n v="2023"/>
  </r>
  <r>
    <x v="841"/>
    <x v="1"/>
    <x v="1"/>
    <x v="1"/>
    <n v="7641"/>
    <n v="746"/>
    <n v="20"/>
    <n v="6895"/>
    <n v="0.90236879989530161"/>
    <n v="2022"/>
  </r>
  <r>
    <x v="134"/>
    <x v="3"/>
    <x v="1"/>
    <x v="3"/>
    <n v="9152"/>
    <n v="408"/>
    <n v="15"/>
    <n v="8744"/>
    <n v="0.95541958041958042"/>
    <n v="2024"/>
  </r>
  <r>
    <x v="239"/>
    <x v="1"/>
    <x v="1"/>
    <x v="3"/>
    <n v="9578"/>
    <n v="3539"/>
    <n v="10"/>
    <n v="6039"/>
    <n v="0.63050741282104827"/>
    <n v="2022"/>
  </r>
  <r>
    <x v="546"/>
    <x v="1"/>
    <x v="3"/>
    <x v="3"/>
    <n v="12225"/>
    <n v="6231"/>
    <n v="5"/>
    <n v="5994"/>
    <n v="0.49030674846625766"/>
    <n v="2023"/>
  </r>
  <r>
    <x v="358"/>
    <x v="0"/>
    <x v="3"/>
    <x v="0"/>
    <n v="4436"/>
    <n v="4353"/>
    <n v="10"/>
    <n v="83"/>
    <n v="1.8710550045085664E-2"/>
    <n v="2024"/>
  </r>
  <r>
    <x v="591"/>
    <x v="3"/>
    <x v="2"/>
    <x v="0"/>
    <n v="9807"/>
    <n v="4837"/>
    <n v="20"/>
    <n v="4970"/>
    <n v="0.50678087080656675"/>
    <n v="2022"/>
  </r>
  <r>
    <x v="755"/>
    <x v="2"/>
    <x v="0"/>
    <x v="2"/>
    <n v="1575"/>
    <n v="6661"/>
    <n v="5"/>
    <n v="-5086"/>
    <n v="-3.2292063492063492"/>
    <n v="2024"/>
  </r>
  <r>
    <x v="97"/>
    <x v="0"/>
    <x v="1"/>
    <x v="1"/>
    <n v="4376"/>
    <n v="1545"/>
    <n v="10"/>
    <n v="2831"/>
    <n v="0.6469378427787934"/>
    <n v="2023"/>
  </r>
  <r>
    <x v="496"/>
    <x v="2"/>
    <x v="2"/>
    <x v="0"/>
    <n v="5115"/>
    <n v="3020"/>
    <n v="15"/>
    <n v="2095"/>
    <n v="0.4095796676441838"/>
    <n v="2024"/>
  </r>
  <r>
    <x v="74"/>
    <x v="2"/>
    <x v="3"/>
    <x v="3"/>
    <n v="13599"/>
    <n v="8769"/>
    <n v="5"/>
    <n v="4830"/>
    <n v="0.35517317449812486"/>
    <n v="2023"/>
  </r>
  <r>
    <x v="423"/>
    <x v="3"/>
    <x v="3"/>
    <x v="3"/>
    <n v="7765"/>
    <n v="11548"/>
    <n v="5"/>
    <n v="-3783"/>
    <n v="-0.48718609143593045"/>
    <n v="2022"/>
  </r>
  <r>
    <x v="461"/>
    <x v="1"/>
    <x v="0"/>
    <x v="0"/>
    <n v="6879"/>
    <n v="8041"/>
    <n v="15"/>
    <n v="-1162"/>
    <n v="-0.16891990114842273"/>
    <n v="2024"/>
  </r>
  <r>
    <x v="765"/>
    <x v="3"/>
    <x v="0"/>
    <x v="0"/>
    <n v="10616"/>
    <n v="5405"/>
    <n v="5"/>
    <n v="5211"/>
    <n v="0.49086284853051998"/>
    <n v="2023"/>
  </r>
  <r>
    <x v="121"/>
    <x v="2"/>
    <x v="0"/>
    <x v="0"/>
    <n v="14392"/>
    <n v="3222"/>
    <n v="10"/>
    <n v="11170"/>
    <n v="0.77612562534741525"/>
    <n v="2023"/>
  </r>
  <r>
    <x v="769"/>
    <x v="0"/>
    <x v="2"/>
    <x v="2"/>
    <n v="9618"/>
    <n v="2813"/>
    <n v="5"/>
    <n v="6805"/>
    <n v="0.70752755250571842"/>
    <n v="2023"/>
  </r>
  <r>
    <x v="179"/>
    <x v="2"/>
    <x v="3"/>
    <x v="3"/>
    <n v="5152"/>
    <n v="9330"/>
    <n v="10"/>
    <n v="-4178"/>
    <n v="-0.81094720496894412"/>
    <n v="2022"/>
  </r>
  <r>
    <x v="61"/>
    <x v="0"/>
    <x v="3"/>
    <x v="2"/>
    <n v="7292"/>
    <n v="3101"/>
    <n v="15"/>
    <n v="4191"/>
    <n v="0.57473944048272074"/>
    <n v="2023"/>
  </r>
  <r>
    <x v="207"/>
    <x v="0"/>
    <x v="0"/>
    <x v="2"/>
    <n v="10973"/>
    <n v="7281"/>
    <n v="0"/>
    <n v="3692"/>
    <n v="0.33646222546249888"/>
    <n v="2024"/>
  </r>
  <r>
    <x v="457"/>
    <x v="3"/>
    <x v="1"/>
    <x v="1"/>
    <n v="9747"/>
    <n v="8521"/>
    <n v="15"/>
    <n v="1226"/>
    <n v="0.12578229198727814"/>
    <n v="2024"/>
  </r>
  <r>
    <x v="842"/>
    <x v="2"/>
    <x v="0"/>
    <x v="3"/>
    <n v="7956"/>
    <n v="6802"/>
    <n v="10"/>
    <n v="1154"/>
    <n v="0.14504776269482153"/>
    <n v="2022"/>
  </r>
  <r>
    <x v="132"/>
    <x v="1"/>
    <x v="2"/>
    <x v="3"/>
    <n v="5174"/>
    <n v="6338"/>
    <n v="20"/>
    <n v="-1164"/>
    <n v="-0.22497100889060689"/>
    <n v="2023"/>
  </r>
  <r>
    <x v="843"/>
    <x v="2"/>
    <x v="0"/>
    <x v="0"/>
    <n v="1041"/>
    <n v="6529"/>
    <n v="15"/>
    <n v="-5488"/>
    <n v="-5.2718539865513927"/>
    <n v="2023"/>
  </r>
  <r>
    <x v="759"/>
    <x v="2"/>
    <x v="0"/>
    <x v="0"/>
    <n v="2661"/>
    <n v="9749"/>
    <n v="20"/>
    <n v="-7088"/>
    <n v="-2.6636602780909433"/>
    <n v="2024"/>
  </r>
  <r>
    <x v="19"/>
    <x v="1"/>
    <x v="2"/>
    <x v="1"/>
    <n v="2751"/>
    <n v="664"/>
    <n v="20"/>
    <n v="2087"/>
    <n v="0.75863322428207924"/>
    <n v="2024"/>
  </r>
  <r>
    <x v="426"/>
    <x v="3"/>
    <x v="0"/>
    <x v="2"/>
    <n v="9744"/>
    <n v="2100"/>
    <n v="10"/>
    <n v="7644"/>
    <n v="0.78448275862068961"/>
    <n v="2022"/>
  </r>
  <r>
    <x v="645"/>
    <x v="2"/>
    <x v="3"/>
    <x v="0"/>
    <n v="5069"/>
    <n v="6258"/>
    <n v="10"/>
    <n v="-1189"/>
    <n v="-0.23456303018346814"/>
    <n v="2024"/>
  </r>
  <r>
    <x v="217"/>
    <x v="2"/>
    <x v="1"/>
    <x v="0"/>
    <n v="3244"/>
    <n v="9396"/>
    <n v="0"/>
    <n v="-6152"/>
    <n v="-1.8964241676942046"/>
    <n v="2024"/>
  </r>
  <r>
    <x v="38"/>
    <x v="0"/>
    <x v="0"/>
    <x v="3"/>
    <n v="12561"/>
    <n v="7736"/>
    <n v="5"/>
    <n v="4825"/>
    <n v="0.38412546771753842"/>
    <n v="2022"/>
  </r>
  <r>
    <x v="286"/>
    <x v="2"/>
    <x v="2"/>
    <x v="3"/>
    <n v="13692"/>
    <n v="5093"/>
    <n v="15"/>
    <n v="8599"/>
    <n v="0.62803096698802219"/>
    <n v="2023"/>
  </r>
  <r>
    <x v="27"/>
    <x v="1"/>
    <x v="1"/>
    <x v="0"/>
    <n v="6541"/>
    <n v="10670"/>
    <n v="10"/>
    <n v="-4129"/>
    <n v="-0.6312490444886103"/>
    <n v="2023"/>
  </r>
  <r>
    <x v="844"/>
    <x v="0"/>
    <x v="2"/>
    <x v="3"/>
    <n v="13173"/>
    <n v="11342"/>
    <n v="15"/>
    <n v="1831"/>
    <n v="0.13899643209595383"/>
    <n v="2023"/>
  </r>
  <r>
    <x v="776"/>
    <x v="3"/>
    <x v="1"/>
    <x v="1"/>
    <n v="12849"/>
    <n v="8460"/>
    <n v="20"/>
    <n v="4389"/>
    <n v="0.34158300256829327"/>
    <n v="2023"/>
  </r>
  <r>
    <x v="845"/>
    <x v="0"/>
    <x v="1"/>
    <x v="0"/>
    <n v="13302"/>
    <n v="11328"/>
    <n v="5"/>
    <n v="1974"/>
    <n v="0.14839873703202525"/>
    <n v="2023"/>
  </r>
  <r>
    <x v="606"/>
    <x v="1"/>
    <x v="0"/>
    <x v="3"/>
    <n v="13217"/>
    <n v="479"/>
    <n v="0"/>
    <n v="12738"/>
    <n v="0.96375879549065602"/>
    <n v="2023"/>
  </r>
  <r>
    <x v="524"/>
    <x v="1"/>
    <x v="3"/>
    <x v="1"/>
    <n v="5175"/>
    <n v="4173"/>
    <n v="15"/>
    <n v="1002"/>
    <n v="0.19362318840579709"/>
    <n v="2023"/>
  </r>
  <r>
    <x v="94"/>
    <x v="0"/>
    <x v="0"/>
    <x v="3"/>
    <n v="2060"/>
    <n v="4260"/>
    <n v="5"/>
    <n v="-2200"/>
    <n v="-1.0679611650485437"/>
    <n v="2024"/>
  </r>
  <r>
    <x v="79"/>
    <x v="3"/>
    <x v="2"/>
    <x v="3"/>
    <n v="12454"/>
    <n v="1486"/>
    <n v="0"/>
    <n v="10968"/>
    <n v="0.88068090573309776"/>
    <n v="2023"/>
  </r>
  <r>
    <x v="627"/>
    <x v="0"/>
    <x v="2"/>
    <x v="3"/>
    <n v="1664"/>
    <n v="1073"/>
    <n v="15"/>
    <n v="591"/>
    <n v="0.35516826923076922"/>
    <n v="2024"/>
  </r>
  <r>
    <x v="846"/>
    <x v="3"/>
    <x v="1"/>
    <x v="0"/>
    <n v="5919"/>
    <n v="4760"/>
    <n v="5"/>
    <n v="1159"/>
    <n v="0.19581010305794896"/>
    <n v="2023"/>
  </r>
  <r>
    <x v="607"/>
    <x v="0"/>
    <x v="1"/>
    <x v="2"/>
    <n v="3222"/>
    <n v="652"/>
    <n v="10"/>
    <n v="2570"/>
    <n v="0.79764121663563003"/>
    <n v="2024"/>
  </r>
  <r>
    <x v="625"/>
    <x v="1"/>
    <x v="3"/>
    <x v="3"/>
    <n v="11050"/>
    <n v="7243"/>
    <n v="15"/>
    <n v="3807"/>
    <n v="0.34452488687782806"/>
    <n v="2023"/>
  </r>
  <r>
    <x v="43"/>
    <x v="2"/>
    <x v="0"/>
    <x v="1"/>
    <n v="970"/>
    <n v="5502"/>
    <n v="5"/>
    <n v="-4532"/>
    <n v="-4.6721649484536085"/>
    <n v="2023"/>
  </r>
  <r>
    <x v="847"/>
    <x v="2"/>
    <x v="2"/>
    <x v="0"/>
    <n v="10108"/>
    <n v="5644"/>
    <n v="0"/>
    <n v="4464"/>
    <n v="0.4416303917688959"/>
    <n v="2023"/>
  </r>
  <r>
    <x v="235"/>
    <x v="3"/>
    <x v="1"/>
    <x v="0"/>
    <n v="14453"/>
    <n v="4807"/>
    <n v="5"/>
    <n v="9646"/>
    <n v="0.66740469106759848"/>
    <n v="2024"/>
  </r>
  <r>
    <x v="9"/>
    <x v="3"/>
    <x v="3"/>
    <x v="1"/>
    <n v="1968"/>
    <n v="5130"/>
    <n v="10"/>
    <n v="-3162"/>
    <n v="-1.6067073170731707"/>
    <n v="2024"/>
  </r>
  <r>
    <x v="167"/>
    <x v="3"/>
    <x v="2"/>
    <x v="3"/>
    <n v="8425"/>
    <n v="11520"/>
    <n v="15"/>
    <n v="-3095"/>
    <n v="-0.36735905044510386"/>
    <n v="2022"/>
  </r>
  <r>
    <x v="801"/>
    <x v="1"/>
    <x v="1"/>
    <x v="2"/>
    <n v="1308"/>
    <n v="417"/>
    <n v="15"/>
    <n v="891"/>
    <n v="0.68119266055045868"/>
    <n v="2023"/>
  </r>
  <r>
    <x v="754"/>
    <x v="0"/>
    <x v="2"/>
    <x v="3"/>
    <n v="8863"/>
    <n v="781"/>
    <n v="15"/>
    <n v="8082"/>
    <n v="0.91188085298431687"/>
    <n v="2023"/>
  </r>
  <r>
    <x v="848"/>
    <x v="1"/>
    <x v="3"/>
    <x v="1"/>
    <n v="7219"/>
    <n v="4587"/>
    <n v="10"/>
    <n v="2632"/>
    <n v="0.36459343399362792"/>
    <n v="2024"/>
  </r>
  <r>
    <x v="23"/>
    <x v="2"/>
    <x v="3"/>
    <x v="0"/>
    <n v="12818"/>
    <n v="11129"/>
    <n v="0"/>
    <n v="1689"/>
    <n v="0.13176782649399282"/>
    <n v="2023"/>
  </r>
  <r>
    <x v="214"/>
    <x v="3"/>
    <x v="2"/>
    <x v="2"/>
    <n v="12834"/>
    <n v="7102"/>
    <n v="15"/>
    <n v="5732"/>
    <n v="0.44662614929094591"/>
    <n v="2022"/>
  </r>
  <r>
    <x v="572"/>
    <x v="0"/>
    <x v="0"/>
    <x v="0"/>
    <n v="12917"/>
    <n v="8598"/>
    <n v="0"/>
    <n v="4319"/>
    <n v="0.33436556475961909"/>
    <n v="2023"/>
  </r>
  <r>
    <x v="790"/>
    <x v="2"/>
    <x v="2"/>
    <x v="1"/>
    <n v="11091"/>
    <n v="4777"/>
    <n v="5"/>
    <n v="6314"/>
    <n v="0.56929041565233074"/>
    <n v="2022"/>
  </r>
  <r>
    <x v="849"/>
    <x v="2"/>
    <x v="1"/>
    <x v="3"/>
    <n v="5573"/>
    <n v="6833"/>
    <n v="0"/>
    <n v="-1260"/>
    <n v="-0.22609007715772475"/>
    <n v="2023"/>
  </r>
  <r>
    <x v="850"/>
    <x v="2"/>
    <x v="0"/>
    <x v="2"/>
    <n v="8512"/>
    <n v="543"/>
    <n v="0"/>
    <n v="7969"/>
    <n v="0.93620770676691734"/>
    <n v="2024"/>
  </r>
  <r>
    <x v="239"/>
    <x v="1"/>
    <x v="1"/>
    <x v="0"/>
    <n v="2145"/>
    <n v="11124"/>
    <n v="15"/>
    <n v="-8979"/>
    <n v="-4.186013986013986"/>
    <n v="2022"/>
  </r>
  <r>
    <x v="672"/>
    <x v="3"/>
    <x v="2"/>
    <x v="0"/>
    <n v="14392"/>
    <n v="7312"/>
    <n v="20"/>
    <n v="7080"/>
    <n v="0.49193996664813783"/>
    <n v="2024"/>
  </r>
  <r>
    <x v="731"/>
    <x v="2"/>
    <x v="0"/>
    <x v="0"/>
    <n v="8749"/>
    <n v="1165"/>
    <n v="20"/>
    <n v="7584"/>
    <n v="0.86684192479140476"/>
    <n v="2022"/>
  </r>
  <r>
    <x v="676"/>
    <x v="3"/>
    <x v="1"/>
    <x v="3"/>
    <n v="1629"/>
    <n v="11473"/>
    <n v="10"/>
    <n v="-9844"/>
    <n v="-6.0429711479435237"/>
    <n v="2022"/>
  </r>
  <r>
    <x v="75"/>
    <x v="1"/>
    <x v="2"/>
    <x v="2"/>
    <n v="1853"/>
    <n v="10053"/>
    <n v="10"/>
    <n v="-8200"/>
    <n v="-4.4252563410685379"/>
    <n v="2023"/>
  </r>
  <r>
    <x v="377"/>
    <x v="2"/>
    <x v="2"/>
    <x v="3"/>
    <n v="1267"/>
    <n v="5629"/>
    <n v="20"/>
    <n v="-4362"/>
    <n v="-3.4427782162588794"/>
    <n v="2024"/>
  </r>
  <r>
    <x v="521"/>
    <x v="1"/>
    <x v="0"/>
    <x v="3"/>
    <n v="4395"/>
    <n v="903"/>
    <n v="5"/>
    <n v="3492"/>
    <n v="0.79453924914675766"/>
    <n v="2023"/>
  </r>
  <r>
    <x v="848"/>
    <x v="1"/>
    <x v="2"/>
    <x v="3"/>
    <n v="9374"/>
    <n v="6056"/>
    <n v="15"/>
    <n v="3318"/>
    <n v="0.35395775549391933"/>
    <n v="2024"/>
  </r>
  <r>
    <x v="851"/>
    <x v="3"/>
    <x v="3"/>
    <x v="1"/>
    <n v="3954"/>
    <n v="11554"/>
    <n v="15"/>
    <n v="-7600"/>
    <n v="-1.9221041982802225"/>
    <n v="2023"/>
  </r>
  <r>
    <x v="617"/>
    <x v="2"/>
    <x v="1"/>
    <x v="1"/>
    <n v="10700"/>
    <n v="4318"/>
    <n v="5"/>
    <n v="6382"/>
    <n v="0.59644859813084117"/>
    <n v="2023"/>
  </r>
  <r>
    <x v="237"/>
    <x v="1"/>
    <x v="1"/>
    <x v="1"/>
    <n v="7829"/>
    <n v="5492"/>
    <n v="5"/>
    <n v="2337"/>
    <n v="0.29850555626516795"/>
    <n v="2024"/>
  </r>
  <r>
    <x v="13"/>
    <x v="2"/>
    <x v="2"/>
    <x v="2"/>
    <n v="11834"/>
    <n v="2315"/>
    <n v="20"/>
    <n v="9519"/>
    <n v="0.80437721818489094"/>
    <n v="2024"/>
  </r>
  <r>
    <x v="581"/>
    <x v="3"/>
    <x v="2"/>
    <x v="3"/>
    <n v="2290"/>
    <n v="10150"/>
    <n v="10"/>
    <n v="-7860"/>
    <n v="-3.4323144104803491"/>
    <n v="2023"/>
  </r>
  <r>
    <x v="779"/>
    <x v="1"/>
    <x v="3"/>
    <x v="3"/>
    <n v="10169"/>
    <n v="3680"/>
    <n v="5"/>
    <n v="6489"/>
    <n v="0.6381158422657095"/>
    <n v="2023"/>
  </r>
  <r>
    <x v="312"/>
    <x v="3"/>
    <x v="0"/>
    <x v="1"/>
    <n v="1385"/>
    <n v="4070"/>
    <n v="10"/>
    <n v="-2685"/>
    <n v="-1.9386281588447654"/>
    <n v="2022"/>
  </r>
  <r>
    <x v="670"/>
    <x v="2"/>
    <x v="2"/>
    <x v="3"/>
    <n v="8234"/>
    <n v="6129"/>
    <n v="0"/>
    <n v="2105"/>
    <n v="0.25564731600680107"/>
    <n v="2022"/>
  </r>
  <r>
    <x v="44"/>
    <x v="2"/>
    <x v="2"/>
    <x v="3"/>
    <n v="4406"/>
    <n v="1913"/>
    <n v="15"/>
    <n v="2493"/>
    <n v="0.56581933726736267"/>
    <n v="2024"/>
  </r>
  <r>
    <x v="517"/>
    <x v="3"/>
    <x v="2"/>
    <x v="0"/>
    <n v="4992"/>
    <n v="2179"/>
    <n v="20"/>
    <n v="2813"/>
    <n v="0.56350160256410253"/>
    <n v="2022"/>
  </r>
  <r>
    <x v="598"/>
    <x v="0"/>
    <x v="2"/>
    <x v="3"/>
    <n v="10230"/>
    <n v="5672"/>
    <n v="15"/>
    <n v="4558"/>
    <n v="0.44555229716520039"/>
    <n v="2024"/>
  </r>
  <r>
    <x v="751"/>
    <x v="1"/>
    <x v="1"/>
    <x v="0"/>
    <n v="2573"/>
    <n v="4408"/>
    <n v="20"/>
    <n v="-1835"/>
    <n v="-0.71317528177225031"/>
    <n v="2023"/>
  </r>
  <r>
    <x v="394"/>
    <x v="2"/>
    <x v="2"/>
    <x v="3"/>
    <n v="812"/>
    <n v="10838"/>
    <n v="0"/>
    <n v="-10026"/>
    <n v="-12.347290640394089"/>
    <n v="2022"/>
  </r>
  <r>
    <x v="616"/>
    <x v="2"/>
    <x v="1"/>
    <x v="2"/>
    <n v="6769"/>
    <n v="9591"/>
    <n v="15"/>
    <n v="-2822"/>
    <n v="-0.41690057615600534"/>
    <n v="2022"/>
  </r>
  <r>
    <x v="249"/>
    <x v="1"/>
    <x v="2"/>
    <x v="1"/>
    <n v="14376"/>
    <n v="9566"/>
    <n v="0"/>
    <n v="4810"/>
    <n v="0.33458542014468556"/>
    <n v="2023"/>
  </r>
  <r>
    <x v="9"/>
    <x v="3"/>
    <x v="0"/>
    <x v="0"/>
    <n v="5817"/>
    <n v="9278"/>
    <n v="20"/>
    <n v="-3461"/>
    <n v="-0.59498023035929171"/>
    <n v="2024"/>
  </r>
  <r>
    <x v="852"/>
    <x v="3"/>
    <x v="3"/>
    <x v="1"/>
    <n v="1310"/>
    <n v="448"/>
    <n v="5"/>
    <n v="862"/>
    <n v="0.65801526717557257"/>
    <n v="2023"/>
  </r>
  <r>
    <x v="853"/>
    <x v="3"/>
    <x v="0"/>
    <x v="0"/>
    <n v="10927"/>
    <n v="2054"/>
    <n v="15"/>
    <n v="8873"/>
    <n v="0.81202525853390684"/>
    <n v="2022"/>
  </r>
  <r>
    <x v="777"/>
    <x v="0"/>
    <x v="2"/>
    <x v="0"/>
    <n v="7341"/>
    <n v="10661"/>
    <n v="0"/>
    <n v="-3320"/>
    <n v="-0.45225446124506197"/>
    <n v="2022"/>
  </r>
  <r>
    <x v="524"/>
    <x v="0"/>
    <x v="2"/>
    <x v="0"/>
    <n v="11549"/>
    <n v="7678"/>
    <n v="15"/>
    <n v="3871"/>
    <n v="0.33518053511126505"/>
    <n v="2023"/>
  </r>
  <r>
    <x v="173"/>
    <x v="2"/>
    <x v="2"/>
    <x v="2"/>
    <n v="11455"/>
    <n v="6981"/>
    <n v="15"/>
    <n v="4474"/>
    <n v="0.39057180270624181"/>
    <n v="2023"/>
  </r>
  <r>
    <x v="809"/>
    <x v="3"/>
    <x v="0"/>
    <x v="3"/>
    <n v="2532"/>
    <n v="4056"/>
    <n v="15"/>
    <n v="-1524"/>
    <n v="-0.6018957345971564"/>
    <n v="2022"/>
  </r>
  <r>
    <x v="59"/>
    <x v="1"/>
    <x v="2"/>
    <x v="0"/>
    <n v="10199"/>
    <n v="9671"/>
    <n v="10"/>
    <n v="528"/>
    <n v="5.1769781351112855E-2"/>
    <n v="2024"/>
  </r>
  <r>
    <x v="700"/>
    <x v="2"/>
    <x v="0"/>
    <x v="2"/>
    <n v="13237"/>
    <n v="11801"/>
    <n v="0"/>
    <n v="1436"/>
    <n v="0.10848379542192339"/>
    <n v="2022"/>
  </r>
  <r>
    <x v="177"/>
    <x v="1"/>
    <x v="1"/>
    <x v="0"/>
    <n v="11262"/>
    <n v="10915"/>
    <n v="0"/>
    <n v="347"/>
    <n v="3.0811578760433316E-2"/>
    <n v="2022"/>
  </r>
  <r>
    <x v="854"/>
    <x v="2"/>
    <x v="3"/>
    <x v="3"/>
    <n v="10586"/>
    <n v="9416"/>
    <n v="15"/>
    <n v="1170"/>
    <n v="0.11052333270357076"/>
    <n v="2023"/>
  </r>
  <r>
    <x v="855"/>
    <x v="0"/>
    <x v="3"/>
    <x v="0"/>
    <n v="14165"/>
    <n v="5692"/>
    <n v="5"/>
    <n v="8473"/>
    <n v="0.59816448993999294"/>
    <n v="2023"/>
  </r>
  <r>
    <x v="622"/>
    <x v="2"/>
    <x v="0"/>
    <x v="2"/>
    <n v="7629"/>
    <n v="10095"/>
    <n v="15"/>
    <n v="-2466"/>
    <n v="-0.32324026740070783"/>
    <n v="2023"/>
  </r>
  <r>
    <x v="126"/>
    <x v="0"/>
    <x v="1"/>
    <x v="3"/>
    <n v="3205"/>
    <n v="3352"/>
    <n v="10"/>
    <n v="-147"/>
    <n v="-4.5865834633385338E-2"/>
    <n v="2023"/>
  </r>
  <r>
    <x v="629"/>
    <x v="2"/>
    <x v="0"/>
    <x v="2"/>
    <n v="9288"/>
    <n v="5992"/>
    <n v="20"/>
    <n v="3296"/>
    <n v="0.35486649440137813"/>
    <n v="2022"/>
  </r>
  <r>
    <x v="296"/>
    <x v="3"/>
    <x v="1"/>
    <x v="3"/>
    <n v="2647"/>
    <n v="4518"/>
    <n v="10"/>
    <n v="-1871"/>
    <n v="-0.70683792973177184"/>
    <n v="2024"/>
  </r>
  <r>
    <x v="400"/>
    <x v="1"/>
    <x v="2"/>
    <x v="3"/>
    <n v="1115"/>
    <n v="5103"/>
    <n v="5"/>
    <n v="-3988"/>
    <n v="-3.5766816143497757"/>
    <n v="2024"/>
  </r>
  <r>
    <x v="273"/>
    <x v="3"/>
    <x v="1"/>
    <x v="1"/>
    <n v="1447"/>
    <n v="2677"/>
    <n v="15"/>
    <n v="-1230"/>
    <n v="-0.85003455425017282"/>
    <n v="2023"/>
  </r>
  <r>
    <x v="856"/>
    <x v="2"/>
    <x v="1"/>
    <x v="1"/>
    <n v="6177"/>
    <n v="11972"/>
    <n v="0"/>
    <n v="-5795"/>
    <n v="-0.93815768172251901"/>
    <n v="2024"/>
  </r>
  <r>
    <x v="785"/>
    <x v="2"/>
    <x v="1"/>
    <x v="1"/>
    <n v="5151"/>
    <n v="5386"/>
    <n v="15"/>
    <n v="-235"/>
    <n v="-4.5622209279751504E-2"/>
    <n v="2023"/>
  </r>
  <r>
    <x v="657"/>
    <x v="2"/>
    <x v="3"/>
    <x v="3"/>
    <n v="13065"/>
    <n v="3482"/>
    <n v="5"/>
    <n v="9583"/>
    <n v="0.73348641408342896"/>
    <n v="2022"/>
  </r>
  <r>
    <x v="389"/>
    <x v="0"/>
    <x v="1"/>
    <x v="0"/>
    <n v="12456"/>
    <n v="11309"/>
    <n v="0"/>
    <n v="1147"/>
    <n v="9.2084136159280669E-2"/>
    <n v="2022"/>
  </r>
  <r>
    <x v="587"/>
    <x v="1"/>
    <x v="2"/>
    <x v="2"/>
    <n v="8366"/>
    <n v="3460"/>
    <n v="10"/>
    <n v="4906"/>
    <n v="0.58642122878316993"/>
    <n v="2023"/>
  </r>
  <r>
    <x v="811"/>
    <x v="1"/>
    <x v="2"/>
    <x v="2"/>
    <n v="2513"/>
    <n v="6876"/>
    <n v="20"/>
    <n v="-4363"/>
    <n v="-1.7361719060883407"/>
    <n v="2023"/>
  </r>
  <r>
    <x v="696"/>
    <x v="2"/>
    <x v="2"/>
    <x v="2"/>
    <n v="4197"/>
    <n v="9203"/>
    <n v="20"/>
    <n v="-5006"/>
    <n v="-1.1927567309983322"/>
    <n v="2022"/>
  </r>
  <r>
    <x v="242"/>
    <x v="2"/>
    <x v="1"/>
    <x v="1"/>
    <n v="990"/>
    <n v="2886"/>
    <n v="15"/>
    <n v="-1896"/>
    <n v="-1.915151515151515"/>
    <n v="2022"/>
  </r>
  <r>
    <x v="624"/>
    <x v="0"/>
    <x v="0"/>
    <x v="3"/>
    <n v="4850"/>
    <n v="2948"/>
    <n v="10"/>
    <n v="1902"/>
    <n v="0.39216494845360822"/>
    <n v="2022"/>
  </r>
  <r>
    <x v="670"/>
    <x v="3"/>
    <x v="0"/>
    <x v="1"/>
    <n v="2928"/>
    <n v="7613"/>
    <n v="5"/>
    <n v="-4685"/>
    <n v="-1.6000683060109289"/>
    <n v="2022"/>
  </r>
  <r>
    <x v="674"/>
    <x v="3"/>
    <x v="2"/>
    <x v="0"/>
    <n v="5487"/>
    <n v="2017"/>
    <n v="20"/>
    <n v="3470"/>
    <n v="0.6324038636777839"/>
    <n v="2023"/>
  </r>
  <r>
    <x v="338"/>
    <x v="1"/>
    <x v="3"/>
    <x v="3"/>
    <n v="9233"/>
    <n v="5608"/>
    <n v="10"/>
    <n v="3625"/>
    <n v="0.39261345174916062"/>
    <n v="2024"/>
  </r>
  <r>
    <x v="58"/>
    <x v="0"/>
    <x v="0"/>
    <x v="2"/>
    <n v="9979"/>
    <n v="7707"/>
    <n v="15"/>
    <n v="2272"/>
    <n v="0.22767812406052712"/>
    <n v="2023"/>
  </r>
  <r>
    <x v="564"/>
    <x v="2"/>
    <x v="1"/>
    <x v="1"/>
    <n v="10325"/>
    <n v="1170"/>
    <n v="0"/>
    <n v="9155"/>
    <n v="0.88668280871670702"/>
    <n v="2024"/>
  </r>
  <r>
    <x v="123"/>
    <x v="1"/>
    <x v="0"/>
    <x v="1"/>
    <n v="5420"/>
    <n v="3874"/>
    <n v="15"/>
    <n v="1546"/>
    <n v="0.28523985239852401"/>
    <n v="2024"/>
  </r>
  <r>
    <x v="402"/>
    <x v="0"/>
    <x v="2"/>
    <x v="0"/>
    <n v="3426"/>
    <n v="6127"/>
    <n v="15"/>
    <n v="-2701"/>
    <n v="-0.78838295388207824"/>
    <n v="2024"/>
  </r>
  <r>
    <x v="15"/>
    <x v="3"/>
    <x v="3"/>
    <x v="0"/>
    <n v="10044"/>
    <n v="8286"/>
    <n v="10"/>
    <n v="1758"/>
    <n v="0.17502986857825567"/>
    <n v="2023"/>
  </r>
  <r>
    <x v="455"/>
    <x v="0"/>
    <x v="0"/>
    <x v="1"/>
    <n v="7782"/>
    <n v="8762"/>
    <n v="20"/>
    <n v="-980"/>
    <n v="-0.12593163711128244"/>
    <n v="2024"/>
  </r>
  <r>
    <x v="43"/>
    <x v="3"/>
    <x v="0"/>
    <x v="0"/>
    <n v="4876"/>
    <n v="10035"/>
    <n v="10"/>
    <n v="-5159"/>
    <n v="-1.0580393765381459"/>
    <n v="2023"/>
  </r>
  <r>
    <x v="857"/>
    <x v="0"/>
    <x v="2"/>
    <x v="2"/>
    <n v="9990"/>
    <n v="9041"/>
    <n v="0"/>
    <n v="949"/>
    <n v="9.4994994994994988E-2"/>
    <n v="2023"/>
  </r>
  <r>
    <x v="628"/>
    <x v="1"/>
    <x v="3"/>
    <x v="0"/>
    <n v="5368"/>
    <n v="6069"/>
    <n v="10"/>
    <n v="-701"/>
    <n v="-0.13058867362146051"/>
    <n v="2022"/>
  </r>
  <r>
    <x v="116"/>
    <x v="3"/>
    <x v="3"/>
    <x v="0"/>
    <n v="7486"/>
    <n v="6033"/>
    <n v="5"/>
    <n v="1453"/>
    <n v="0.19409564520438152"/>
    <n v="2024"/>
  </r>
  <r>
    <x v="825"/>
    <x v="1"/>
    <x v="2"/>
    <x v="1"/>
    <n v="7362"/>
    <n v="10204"/>
    <n v="15"/>
    <n v="-2842"/>
    <n v="-0.3860364031513176"/>
    <n v="2022"/>
  </r>
  <r>
    <x v="300"/>
    <x v="1"/>
    <x v="1"/>
    <x v="1"/>
    <n v="12659"/>
    <n v="3540"/>
    <n v="20"/>
    <n v="9119"/>
    <n v="0.72035705821944862"/>
    <n v="2022"/>
  </r>
  <r>
    <x v="9"/>
    <x v="3"/>
    <x v="0"/>
    <x v="3"/>
    <n v="4923"/>
    <n v="9854"/>
    <n v="0"/>
    <n v="-4931"/>
    <n v="-1.0016250253910217"/>
    <n v="2024"/>
  </r>
  <r>
    <x v="332"/>
    <x v="3"/>
    <x v="1"/>
    <x v="3"/>
    <n v="10950"/>
    <n v="5193"/>
    <n v="15"/>
    <n v="5757"/>
    <n v="0.52575342465753427"/>
    <n v="2024"/>
  </r>
  <r>
    <x v="607"/>
    <x v="2"/>
    <x v="0"/>
    <x v="1"/>
    <n v="7370"/>
    <n v="9776"/>
    <n v="10"/>
    <n v="-2406"/>
    <n v="-0.3264586160108548"/>
    <n v="2024"/>
  </r>
  <r>
    <x v="440"/>
    <x v="2"/>
    <x v="0"/>
    <x v="0"/>
    <n v="13710"/>
    <n v="1186"/>
    <n v="5"/>
    <n v="12524"/>
    <n v="0.91349380014587889"/>
    <n v="2023"/>
  </r>
  <r>
    <x v="858"/>
    <x v="2"/>
    <x v="1"/>
    <x v="0"/>
    <n v="13339"/>
    <n v="6154"/>
    <n v="10"/>
    <n v="7185"/>
    <n v="0.5386460754179474"/>
    <n v="2024"/>
  </r>
  <r>
    <x v="700"/>
    <x v="1"/>
    <x v="2"/>
    <x v="3"/>
    <n v="8659"/>
    <n v="5618"/>
    <n v="15"/>
    <n v="3041"/>
    <n v="0.35119528813950801"/>
    <n v="2022"/>
  </r>
  <r>
    <x v="859"/>
    <x v="1"/>
    <x v="2"/>
    <x v="3"/>
    <n v="2573"/>
    <n v="2558"/>
    <n v="0"/>
    <n v="15"/>
    <n v="5.8297706956859695E-3"/>
    <n v="2022"/>
  </r>
  <r>
    <x v="674"/>
    <x v="2"/>
    <x v="0"/>
    <x v="3"/>
    <n v="6670"/>
    <n v="4682"/>
    <n v="20"/>
    <n v="1988"/>
    <n v="0.29805097451274365"/>
    <n v="2023"/>
  </r>
  <r>
    <x v="566"/>
    <x v="1"/>
    <x v="2"/>
    <x v="2"/>
    <n v="1201"/>
    <n v="2085"/>
    <n v="15"/>
    <n v="-884"/>
    <n v="-0.73605328892589506"/>
    <n v="2022"/>
  </r>
  <r>
    <x v="616"/>
    <x v="1"/>
    <x v="0"/>
    <x v="2"/>
    <n v="10611"/>
    <n v="8027"/>
    <n v="0"/>
    <n v="2584"/>
    <n v="0.24352087456413157"/>
    <n v="2022"/>
  </r>
  <r>
    <x v="610"/>
    <x v="3"/>
    <x v="2"/>
    <x v="3"/>
    <n v="8613"/>
    <n v="595"/>
    <n v="15"/>
    <n v="8018"/>
    <n v="0.93091837919424125"/>
    <n v="2022"/>
  </r>
  <r>
    <x v="229"/>
    <x v="3"/>
    <x v="0"/>
    <x v="0"/>
    <n v="7325"/>
    <n v="10545"/>
    <n v="5"/>
    <n v="-3220"/>
    <n v="-0.4395904436860068"/>
    <n v="2023"/>
  </r>
  <r>
    <x v="319"/>
    <x v="1"/>
    <x v="2"/>
    <x v="3"/>
    <n v="11152"/>
    <n v="2897"/>
    <n v="10"/>
    <n v="8255"/>
    <n v="0.74022596843615496"/>
    <n v="2022"/>
  </r>
  <r>
    <x v="617"/>
    <x v="2"/>
    <x v="3"/>
    <x v="2"/>
    <n v="12954"/>
    <n v="980"/>
    <n v="20"/>
    <n v="11974"/>
    <n v="0.92434769183263854"/>
    <n v="2023"/>
  </r>
  <r>
    <x v="660"/>
    <x v="0"/>
    <x v="1"/>
    <x v="0"/>
    <n v="8367"/>
    <n v="5190"/>
    <n v="0"/>
    <n v="3177"/>
    <n v="0.37970598780925063"/>
    <n v="2022"/>
  </r>
  <r>
    <x v="860"/>
    <x v="2"/>
    <x v="3"/>
    <x v="2"/>
    <n v="4764"/>
    <n v="4598"/>
    <n v="20"/>
    <n v="166"/>
    <n v="3.4844668345927789E-2"/>
    <n v="2023"/>
  </r>
  <r>
    <x v="689"/>
    <x v="0"/>
    <x v="1"/>
    <x v="0"/>
    <n v="8468"/>
    <n v="624"/>
    <n v="20"/>
    <n v="7844"/>
    <n v="0.92631081719414265"/>
    <n v="2023"/>
  </r>
  <r>
    <x v="393"/>
    <x v="2"/>
    <x v="1"/>
    <x v="2"/>
    <n v="8646"/>
    <n v="8252"/>
    <n v="20"/>
    <n v="394"/>
    <n v="4.5570205875549386E-2"/>
    <n v="2022"/>
  </r>
  <r>
    <x v="861"/>
    <x v="3"/>
    <x v="0"/>
    <x v="0"/>
    <n v="13016"/>
    <n v="10783"/>
    <n v="0"/>
    <n v="2233"/>
    <n v="0.17155808236017209"/>
    <n v="2024"/>
  </r>
  <r>
    <x v="509"/>
    <x v="1"/>
    <x v="1"/>
    <x v="0"/>
    <n v="14790"/>
    <n v="1286"/>
    <n v="0"/>
    <n v="13504"/>
    <n v="0.91304935767410411"/>
    <n v="2024"/>
  </r>
  <r>
    <x v="357"/>
    <x v="1"/>
    <x v="3"/>
    <x v="0"/>
    <n v="8276"/>
    <n v="3418"/>
    <n v="20"/>
    <n v="4858"/>
    <n v="0.58699855002416623"/>
    <n v="2024"/>
  </r>
  <r>
    <x v="676"/>
    <x v="3"/>
    <x v="3"/>
    <x v="0"/>
    <n v="9058"/>
    <n v="1060"/>
    <n v="10"/>
    <n v="7998"/>
    <n v="0.88297637447560173"/>
    <n v="2022"/>
  </r>
  <r>
    <x v="715"/>
    <x v="0"/>
    <x v="2"/>
    <x v="1"/>
    <n v="9219"/>
    <n v="8058"/>
    <n v="15"/>
    <n v="1161"/>
    <n v="0.12593556784900747"/>
    <n v="2023"/>
  </r>
  <r>
    <x v="120"/>
    <x v="0"/>
    <x v="3"/>
    <x v="2"/>
    <n v="5386"/>
    <n v="9528"/>
    <n v="20"/>
    <n v="-4142"/>
    <n v="-0.76903082064611961"/>
    <n v="2023"/>
  </r>
  <r>
    <x v="457"/>
    <x v="0"/>
    <x v="2"/>
    <x v="2"/>
    <n v="12410"/>
    <n v="1206"/>
    <n v="5"/>
    <n v="11204"/>
    <n v="0.90282030620467368"/>
    <n v="2024"/>
  </r>
  <r>
    <x v="586"/>
    <x v="3"/>
    <x v="1"/>
    <x v="1"/>
    <n v="12301"/>
    <n v="5799"/>
    <n v="20"/>
    <n v="6502"/>
    <n v="0.52857491260873102"/>
    <n v="2022"/>
  </r>
  <r>
    <x v="862"/>
    <x v="0"/>
    <x v="3"/>
    <x v="0"/>
    <n v="4435"/>
    <n v="664"/>
    <n v="0"/>
    <n v="3771"/>
    <n v="0.85028184892897407"/>
    <n v="2024"/>
  </r>
  <r>
    <x v="706"/>
    <x v="3"/>
    <x v="1"/>
    <x v="0"/>
    <n v="5119"/>
    <n v="8069"/>
    <n v="15"/>
    <n v="-2950"/>
    <n v="-0.5762844305528424"/>
    <n v="2022"/>
  </r>
  <r>
    <x v="758"/>
    <x v="2"/>
    <x v="3"/>
    <x v="2"/>
    <n v="5691"/>
    <n v="3713"/>
    <n v="5"/>
    <n v="1978"/>
    <n v="0.34756633280618521"/>
    <n v="2024"/>
  </r>
  <r>
    <x v="17"/>
    <x v="2"/>
    <x v="3"/>
    <x v="1"/>
    <n v="14456"/>
    <n v="8327"/>
    <n v="15"/>
    <n v="6129"/>
    <n v="0.42397620365246264"/>
    <n v="2022"/>
  </r>
  <r>
    <x v="187"/>
    <x v="3"/>
    <x v="2"/>
    <x v="0"/>
    <n v="10845"/>
    <n v="8239"/>
    <n v="15"/>
    <n v="2606"/>
    <n v="0.24029506685108346"/>
    <n v="2024"/>
  </r>
  <r>
    <x v="863"/>
    <x v="1"/>
    <x v="1"/>
    <x v="0"/>
    <n v="7375"/>
    <n v="9561"/>
    <n v="5"/>
    <n v="-2186"/>
    <n v="-0.29640677966101697"/>
    <n v="2022"/>
  </r>
  <r>
    <x v="442"/>
    <x v="2"/>
    <x v="3"/>
    <x v="0"/>
    <n v="10600"/>
    <n v="10747"/>
    <n v="20"/>
    <n v="-147"/>
    <n v="-1.3867924528301887E-2"/>
    <n v="2022"/>
  </r>
  <r>
    <x v="632"/>
    <x v="0"/>
    <x v="0"/>
    <x v="3"/>
    <n v="11704"/>
    <n v="3381"/>
    <n v="20"/>
    <n v="8323"/>
    <n v="0.7111244019138756"/>
    <n v="2024"/>
  </r>
  <r>
    <x v="309"/>
    <x v="3"/>
    <x v="1"/>
    <x v="1"/>
    <n v="8356"/>
    <n v="5748"/>
    <n v="20"/>
    <n v="2608"/>
    <n v="0.31211105792245092"/>
    <n v="2022"/>
  </r>
  <r>
    <x v="187"/>
    <x v="0"/>
    <x v="1"/>
    <x v="0"/>
    <n v="5901"/>
    <n v="3558"/>
    <n v="10"/>
    <n v="2343"/>
    <n v="0.39705134722928315"/>
    <n v="2024"/>
  </r>
  <r>
    <x v="864"/>
    <x v="0"/>
    <x v="1"/>
    <x v="3"/>
    <n v="12920"/>
    <n v="2407"/>
    <n v="20"/>
    <n v="10513"/>
    <n v="0.81369969040247681"/>
    <n v="2022"/>
  </r>
  <r>
    <x v="751"/>
    <x v="1"/>
    <x v="2"/>
    <x v="1"/>
    <n v="3522"/>
    <n v="8228"/>
    <n v="5"/>
    <n v="-4706"/>
    <n v="-1.3361726291879614"/>
    <n v="2023"/>
  </r>
  <r>
    <x v="526"/>
    <x v="0"/>
    <x v="0"/>
    <x v="0"/>
    <n v="12175"/>
    <n v="3233"/>
    <n v="10"/>
    <n v="8942"/>
    <n v="0.73445585215605746"/>
    <n v="2024"/>
  </r>
  <r>
    <x v="844"/>
    <x v="1"/>
    <x v="1"/>
    <x v="2"/>
    <n v="11412"/>
    <n v="3129"/>
    <n v="20"/>
    <n v="8283"/>
    <n v="0.72581493165089384"/>
    <n v="2023"/>
  </r>
  <r>
    <x v="551"/>
    <x v="2"/>
    <x v="3"/>
    <x v="3"/>
    <n v="6238"/>
    <n v="8933"/>
    <n v="10"/>
    <n v="-2695"/>
    <n v="-0.4320294966335364"/>
    <n v="2024"/>
  </r>
  <r>
    <x v="356"/>
    <x v="3"/>
    <x v="3"/>
    <x v="3"/>
    <n v="6484"/>
    <n v="5306"/>
    <n v="5"/>
    <n v="1178"/>
    <n v="0.18167797655768045"/>
    <n v="2024"/>
  </r>
  <r>
    <x v="675"/>
    <x v="0"/>
    <x v="2"/>
    <x v="0"/>
    <n v="2270"/>
    <n v="1859"/>
    <n v="20"/>
    <n v="411"/>
    <n v="0.18105726872246697"/>
    <n v="2023"/>
  </r>
  <r>
    <x v="828"/>
    <x v="3"/>
    <x v="3"/>
    <x v="0"/>
    <n v="12805"/>
    <n v="2041"/>
    <n v="0"/>
    <n v="10764"/>
    <n v="0.84060913705583762"/>
    <n v="2024"/>
  </r>
  <r>
    <x v="742"/>
    <x v="0"/>
    <x v="1"/>
    <x v="3"/>
    <n v="10469"/>
    <n v="6130"/>
    <n v="5"/>
    <n v="4339"/>
    <n v="0.41446174419715348"/>
    <n v="2024"/>
  </r>
  <r>
    <x v="716"/>
    <x v="3"/>
    <x v="3"/>
    <x v="2"/>
    <n v="12904"/>
    <n v="7823"/>
    <n v="15"/>
    <n v="5081"/>
    <n v="0.39375387476751394"/>
    <n v="2024"/>
  </r>
  <r>
    <x v="514"/>
    <x v="0"/>
    <x v="1"/>
    <x v="2"/>
    <n v="9489"/>
    <n v="925"/>
    <n v="15"/>
    <n v="8564"/>
    <n v="0.90251870586995464"/>
    <n v="2023"/>
  </r>
  <r>
    <x v="400"/>
    <x v="0"/>
    <x v="3"/>
    <x v="1"/>
    <n v="3715"/>
    <n v="1990"/>
    <n v="5"/>
    <n v="1725"/>
    <n v="0.46433378196500674"/>
    <n v="2024"/>
  </r>
  <r>
    <x v="221"/>
    <x v="0"/>
    <x v="0"/>
    <x v="0"/>
    <n v="12480"/>
    <n v="11273"/>
    <n v="15"/>
    <n v="1207"/>
    <n v="9.6714743589743593E-2"/>
    <n v="2022"/>
  </r>
  <r>
    <x v="42"/>
    <x v="0"/>
    <x v="2"/>
    <x v="2"/>
    <n v="7194"/>
    <n v="8582"/>
    <n v="5"/>
    <n v="-1388"/>
    <n v="-0.19293855991103698"/>
    <n v="2022"/>
  </r>
  <r>
    <x v="528"/>
    <x v="0"/>
    <x v="2"/>
    <x v="1"/>
    <n v="3476"/>
    <n v="6610"/>
    <n v="0"/>
    <n v="-3134"/>
    <n v="-0.90161104718066742"/>
    <n v="2023"/>
  </r>
  <r>
    <x v="865"/>
    <x v="0"/>
    <x v="0"/>
    <x v="2"/>
    <n v="4237"/>
    <n v="3306"/>
    <n v="5"/>
    <n v="931"/>
    <n v="0.21973094170403587"/>
    <n v="2024"/>
  </r>
  <r>
    <x v="744"/>
    <x v="0"/>
    <x v="0"/>
    <x v="0"/>
    <n v="10403"/>
    <n v="4602"/>
    <n v="20"/>
    <n v="5801"/>
    <n v="0.55762760742093631"/>
    <n v="2024"/>
  </r>
  <r>
    <x v="458"/>
    <x v="0"/>
    <x v="2"/>
    <x v="1"/>
    <n v="1252"/>
    <n v="1388"/>
    <n v="20"/>
    <n v="-136"/>
    <n v="-0.10862619808306709"/>
    <n v="2023"/>
  </r>
  <r>
    <x v="418"/>
    <x v="0"/>
    <x v="0"/>
    <x v="1"/>
    <n v="11161"/>
    <n v="6307"/>
    <n v="10"/>
    <n v="4854"/>
    <n v="0.43490726637398081"/>
    <n v="2023"/>
  </r>
  <r>
    <x v="395"/>
    <x v="3"/>
    <x v="1"/>
    <x v="1"/>
    <n v="12661"/>
    <n v="4911"/>
    <n v="15"/>
    <n v="7750"/>
    <n v="0.61211594660769286"/>
    <n v="2023"/>
  </r>
  <r>
    <x v="474"/>
    <x v="1"/>
    <x v="3"/>
    <x v="2"/>
    <n v="1892"/>
    <n v="9672"/>
    <n v="15"/>
    <n v="-7780"/>
    <n v="-4.1120507399577164"/>
    <n v="2022"/>
  </r>
  <r>
    <x v="172"/>
    <x v="0"/>
    <x v="2"/>
    <x v="0"/>
    <n v="7289"/>
    <n v="8228"/>
    <n v="5"/>
    <n v="-939"/>
    <n v="-0.12882425572780903"/>
    <n v="2022"/>
  </r>
  <r>
    <x v="759"/>
    <x v="1"/>
    <x v="0"/>
    <x v="1"/>
    <n v="11297"/>
    <n v="10393"/>
    <n v="15"/>
    <n v="904"/>
    <n v="8.0021244578206599E-2"/>
    <n v="2024"/>
  </r>
  <r>
    <x v="339"/>
    <x v="0"/>
    <x v="1"/>
    <x v="3"/>
    <n v="14885"/>
    <n v="4790"/>
    <n v="20"/>
    <n v="10095"/>
    <n v="0.67819952972791397"/>
    <n v="2023"/>
  </r>
  <r>
    <x v="4"/>
    <x v="0"/>
    <x v="2"/>
    <x v="0"/>
    <n v="1177"/>
    <n v="8678"/>
    <n v="0"/>
    <n v="-7501"/>
    <n v="-6.3729821580288872"/>
    <n v="2023"/>
  </r>
  <r>
    <x v="809"/>
    <x v="3"/>
    <x v="0"/>
    <x v="3"/>
    <n v="605"/>
    <n v="1897"/>
    <n v="5"/>
    <n v="-1292"/>
    <n v="-2.1355371900826445"/>
    <n v="2022"/>
  </r>
  <r>
    <x v="866"/>
    <x v="2"/>
    <x v="2"/>
    <x v="3"/>
    <n v="11979"/>
    <n v="11900"/>
    <n v="15"/>
    <n v="79"/>
    <n v="6.5948743634694044E-3"/>
    <n v="2024"/>
  </r>
  <r>
    <x v="630"/>
    <x v="2"/>
    <x v="0"/>
    <x v="1"/>
    <n v="5253"/>
    <n v="4047"/>
    <n v="20"/>
    <n v="1206"/>
    <n v="0.22958309537407195"/>
    <n v="2024"/>
  </r>
  <r>
    <x v="824"/>
    <x v="3"/>
    <x v="2"/>
    <x v="1"/>
    <n v="2446"/>
    <n v="2970"/>
    <n v="10"/>
    <n v="-524"/>
    <n v="-0.214227309893704"/>
    <n v="2022"/>
  </r>
  <r>
    <x v="138"/>
    <x v="1"/>
    <x v="1"/>
    <x v="2"/>
    <n v="6044"/>
    <n v="8731"/>
    <n v="15"/>
    <n v="-2687"/>
    <n v="-0.44457313037723362"/>
    <n v="2023"/>
  </r>
  <r>
    <x v="867"/>
    <x v="2"/>
    <x v="1"/>
    <x v="2"/>
    <n v="1595"/>
    <n v="2880"/>
    <n v="0"/>
    <n v="-1285"/>
    <n v="-0.80564263322884011"/>
    <n v="2023"/>
  </r>
  <r>
    <x v="314"/>
    <x v="3"/>
    <x v="3"/>
    <x v="2"/>
    <n v="13775"/>
    <n v="7732"/>
    <n v="0"/>
    <n v="6043"/>
    <n v="0.43869328493647913"/>
    <n v="2023"/>
  </r>
  <r>
    <x v="491"/>
    <x v="3"/>
    <x v="2"/>
    <x v="0"/>
    <n v="7485"/>
    <n v="8630"/>
    <n v="15"/>
    <n v="-1145"/>
    <n v="-0.15297261189044756"/>
    <n v="2024"/>
  </r>
  <r>
    <x v="334"/>
    <x v="2"/>
    <x v="3"/>
    <x v="2"/>
    <n v="14596"/>
    <n v="2806"/>
    <n v="15"/>
    <n v="11790"/>
    <n v="0.80775554946560701"/>
    <n v="2023"/>
  </r>
  <r>
    <x v="602"/>
    <x v="1"/>
    <x v="2"/>
    <x v="3"/>
    <n v="2282"/>
    <n v="5025"/>
    <n v="20"/>
    <n v="-2743"/>
    <n v="-1.2020157756354075"/>
    <n v="2024"/>
  </r>
  <r>
    <x v="437"/>
    <x v="3"/>
    <x v="0"/>
    <x v="2"/>
    <n v="5041"/>
    <n v="10737"/>
    <n v="15"/>
    <n v="-5696"/>
    <n v="-1.1299345367982543"/>
    <n v="2022"/>
  </r>
  <r>
    <x v="670"/>
    <x v="0"/>
    <x v="0"/>
    <x v="1"/>
    <n v="14736"/>
    <n v="4600"/>
    <n v="10"/>
    <n v="10136"/>
    <n v="0.68783930510314872"/>
    <n v="2022"/>
  </r>
  <r>
    <x v="25"/>
    <x v="1"/>
    <x v="3"/>
    <x v="2"/>
    <n v="3757"/>
    <n v="10241"/>
    <n v="20"/>
    <n v="-6484"/>
    <n v="-1.7258450891668884"/>
    <n v="2022"/>
  </r>
  <r>
    <x v="419"/>
    <x v="1"/>
    <x v="2"/>
    <x v="0"/>
    <n v="6713"/>
    <n v="9059"/>
    <n v="5"/>
    <n v="-2346"/>
    <n v="-0.34947117533144645"/>
    <n v="2024"/>
  </r>
  <r>
    <x v="167"/>
    <x v="2"/>
    <x v="3"/>
    <x v="0"/>
    <n v="10689"/>
    <n v="7302"/>
    <n v="10"/>
    <n v="3387"/>
    <n v="0.31686780802694359"/>
    <n v="2022"/>
  </r>
  <r>
    <x v="244"/>
    <x v="2"/>
    <x v="1"/>
    <x v="3"/>
    <n v="14985"/>
    <n v="9373"/>
    <n v="20"/>
    <n v="5612"/>
    <n v="0.37450784117450786"/>
    <n v="2023"/>
  </r>
  <r>
    <x v="67"/>
    <x v="0"/>
    <x v="3"/>
    <x v="0"/>
    <n v="5369"/>
    <n v="6431"/>
    <n v="20"/>
    <n v="-1062"/>
    <n v="-0.19780219780219779"/>
    <n v="2024"/>
  </r>
  <r>
    <x v="154"/>
    <x v="3"/>
    <x v="3"/>
    <x v="2"/>
    <n v="2061"/>
    <n v="9131"/>
    <n v="0"/>
    <n v="-7070"/>
    <n v="-3.430373605046094"/>
    <n v="2023"/>
  </r>
  <r>
    <x v="230"/>
    <x v="2"/>
    <x v="0"/>
    <x v="1"/>
    <n v="4506"/>
    <n v="4837"/>
    <n v="20"/>
    <n v="-331"/>
    <n v="-7.3457612072791834E-2"/>
    <n v="2024"/>
  </r>
  <r>
    <x v="868"/>
    <x v="2"/>
    <x v="3"/>
    <x v="0"/>
    <n v="10367"/>
    <n v="2635"/>
    <n v="10"/>
    <n v="7732"/>
    <n v="0.74582810842095104"/>
    <n v="2022"/>
  </r>
  <r>
    <x v="869"/>
    <x v="1"/>
    <x v="2"/>
    <x v="3"/>
    <n v="9814"/>
    <n v="4621"/>
    <n v="15"/>
    <n v="5193"/>
    <n v="0.52914204198084369"/>
    <n v="2024"/>
  </r>
  <r>
    <x v="869"/>
    <x v="2"/>
    <x v="0"/>
    <x v="2"/>
    <n v="4481"/>
    <n v="3285"/>
    <n v="10"/>
    <n v="1196"/>
    <n v="0.26690470877036376"/>
    <n v="2024"/>
  </r>
  <r>
    <x v="575"/>
    <x v="2"/>
    <x v="3"/>
    <x v="3"/>
    <n v="9993"/>
    <n v="859"/>
    <n v="5"/>
    <n v="9134"/>
    <n v="0.91403982787951565"/>
    <n v="2023"/>
  </r>
  <r>
    <x v="870"/>
    <x v="2"/>
    <x v="1"/>
    <x v="0"/>
    <n v="6182"/>
    <n v="1013"/>
    <n v="20"/>
    <n v="5169"/>
    <n v="0.83613717243610486"/>
    <n v="2022"/>
  </r>
  <r>
    <x v="565"/>
    <x v="2"/>
    <x v="3"/>
    <x v="0"/>
    <n v="6282"/>
    <n v="4893"/>
    <n v="20"/>
    <n v="1389"/>
    <n v="0.22110792741165233"/>
    <n v="2023"/>
  </r>
  <r>
    <x v="76"/>
    <x v="1"/>
    <x v="3"/>
    <x v="3"/>
    <n v="1443"/>
    <n v="4288"/>
    <n v="20"/>
    <n v="-2845"/>
    <n v="-1.9715869715869716"/>
    <n v="2024"/>
  </r>
  <r>
    <x v="871"/>
    <x v="0"/>
    <x v="3"/>
    <x v="2"/>
    <n v="5050"/>
    <n v="6503"/>
    <n v="20"/>
    <n v="-1453"/>
    <n v="-0.2877227722772277"/>
    <n v="2024"/>
  </r>
  <r>
    <x v="844"/>
    <x v="0"/>
    <x v="0"/>
    <x v="0"/>
    <n v="13915"/>
    <n v="556"/>
    <n v="0"/>
    <n v="13359"/>
    <n v="0.9600431189363996"/>
    <n v="2023"/>
  </r>
  <r>
    <x v="872"/>
    <x v="3"/>
    <x v="2"/>
    <x v="1"/>
    <n v="9637"/>
    <n v="9068"/>
    <n v="0"/>
    <n v="569"/>
    <n v="5.9043270727404791E-2"/>
    <n v="2023"/>
  </r>
  <r>
    <x v="228"/>
    <x v="2"/>
    <x v="1"/>
    <x v="0"/>
    <n v="1100"/>
    <n v="337"/>
    <n v="15"/>
    <n v="763"/>
    <n v="0.69363636363636361"/>
    <n v="2022"/>
  </r>
  <r>
    <x v="42"/>
    <x v="1"/>
    <x v="3"/>
    <x v="2"/>
    <n v="11392"/>
    <n v="10564"/>
    <n v="20"/>
    <n v="828"/>
    <n v="7.2682584269662925E-2"/>
    <n v="2022"/>
  </r>
  <r>
    <x v="151"/>
    <x v="3"/>
    <x v="2"/>
    <x v="0"/>
    <n v="13512"/>
    <n v="8952"/>
    <n v="5"/>
    <n v="4560"/>
    <n v="0.33747779751332146"/>
    <n v="2024"/>
  </r>
  <r>
    <x v="351"/>
    <x v="3"/>
    <x v="2"/>
    <x v="3"/>
    <n v="6876"/>
    <n v="9932"/>
    <n v="15"/>
    <n v="-3056"/>
    <n v="-0.44444444444444442"/>
    <n v="2023"/>
  </r>
  <r>
    <x v="580"/>
    <x v="0"/>
    <x v="0"/>
    <x v="0"/>
    <n v="10109"/>
    <n v="2132"/>
    <n v="20"/>
    <n v="7977"/>
    <n v="0.78909882283114052"/>
    <n v="2023"/>
  </r>
  <r>
    <x v="183"/>
    <x v="1"/>
    <x v="1"/>
    <x v="0"/>
    <n v="2024"/>
    <n v="7900"/>
    <n v="0"/>
    <n v="-5876"/>
    <n v="-2.9031620553359683"/>
    <n v="2023"/>
  </r>
  <r>
    <x v="12"/>
    <x v="1"/>
    <x v="0"/>
    <x v="2"/>
    <n v="4266"/>
    <n v="5467"/>
    <n v="5"/>
    <n v="-1201"/>
    <n v="-0.28152836380684482"/>
    <n v="2023"/>
  </r>
  <r>
    <x v="433"/>
    <x v="1"/>
    <x v="2"/>
    <x v="3"/>
    <n v="750"/>
    <n v="11891"/>
    <n v="15"/>
    <n v="-11141"/>
    <n v="-14.854666666666667"/>
    <n v="2023"/>
  </r>
  <r>
    <x v="231"/>
    <x v="0"/>
    <x v="2"/>
    <x v="2"/>
    <n v="10236"/>
    <n v="732"/>
    <n v="5"/>
    <n v="9504"/>
    <n v="0.92848769050410318"/>
    <n v="2022"/>
  </r>
  <r>
    <x v="873"/>
    <x v="0"/>
    <x v="2"/>
    <x v="0"/>
    <n v="578"/>
    <n v="4451"/>
    <n v="20"/>
    <n v="-3873"/>
    <n v="-6.7006920415224913"/>
    <n v="2024"/>
  </r>
  <r>
    <x v="606"/>
    <x v="0"/>
    <x v="0"/>
    <x v="1"/>
    <n v="3623"/>
    <n v="6711"/>
    <n v="10"/>
    <n v="-3088"/>
    <n v="-0.85233232128070657"/>
    <n v="2023"/>
  </r>
  <r>
    <x v="846"/>
    <x v="0"/>
    <x v="1"/>
    <x v="0"/>
    <n v="9589"/>
    <n v="2051"/>
    <n v="5"/>
    <n v="7538"/>
    <n v="0.7861090833246428"/>
    <n v="2023"/>
  </r>
  <r>
    <x v="874"/>
    <x v="0"/>
    <x v="3"/>
    <x v="2"/>
    <n v="7564"/>
    <n v="10539"/>
    <n v="5"/>
    <n v="-2975"/>
    <n v="-0.3933104177683765"/>
    <n v="2024"/>
  </r>
  <r>
    <x v="73"/>
    <x v="2"/>
    <x v="0"/>
    <x v="1"/>
    <n v="13568"/>
    <n v="5297"/>
    <n v="0"/>
    <n v="8271"/>
    <n v="0.609596108490566"/>
    <n v="2022"/>
  </r>
  <r>
    <x v="875"/>
    <x v="2"/>
    <x v="2"/>
    <x v="2"/>
    <n v="8917"/>
    <n v="6020"/>
    <n v="20"/>
    <n v="2897"/>
    <n v="0.32488505102612986"/>
    <n v="2024"/>
  </r>
  <r>
    <x v="876"/>
    <x v="1"/>
    <x v="0"/>
    <x v="2"/>
    <n v="13862"/>
    <n v="7916"/>
    <n v="5"/>
    <n v="5946"/>
    <n v="0.42894243254941566"/>
    <n v="2022"/>
  </r>
  <r>
    <x v="38"/>
    <x v="3"/>
    <x v="2"/>
    <x v="3"/>
    <n v="1709"/>
    <n v="11332"/>
    <n v="20"/>
    <n v="-9623"/>
    <n v="-5.6307782328847278"/>
    <n v="2022"/>
  </r>
  <r>
    <x v="70"/>
    <x v="1"/>
    <x v="3"/>
    <x v="1"/>
    <n v="5653"/>
    <n v="556"/>
    <n v="0"/>
    <n v="5097"/>
    <n v="0.90164514417123653"/>
    <n v="2023"/>
  </r>
  <r>
    <x v="62"/>
    <x v="3"/>
    <x v="3"/>
    <x v="0"/>
    <n v="5398"/>
    <n v="971"/>
    <n v="20"/>
    <n v="4427"/>
    <n v="0.82011856243052983"/>
    <n v="2022"/>
  </r>
  <r>
    <x v="382"/>
    <x v="0"/>
    <x v="1"/>
    <x v="2"/>
    <n v="13529"/>
    <n v="789"/>
    <n v="0"/>
    <n v="12740"/>
    <n v="0.94168083376450584"/>
    <n v="2022"/>
  </r>
  <r>
    <x v="395"/>
    <x v="3"/>
    <x v="2"/>
    <x v="0"/>
    <n v="2678"/>
    <n v="7189"/>
    <n v="0"/>
    <n v="-4511"/>
    <n v="-1.6844660194174756"/>
    <n v="2023"/>
  </r>
  <r>
    <x v="863"/>
    <x v="1"/>
    <x v="1"/>
    <x v="3"/>
    <n v="11371"/>
    <n v="2396"/>
    <n v="15"/>
    <n v="8975"/>
    <n v="0.78928854102541557"/>
    <n v="2022"/>
  </r>
  <r>
    <x v="877"/>
    <x v="1"/>
    <x v="1"/>
    <x v="3"/>
    <n v="8110"/>
    <n v="1982"/>
    <n v="20"/>
    <n v="6128"/>
    <n v="0.75561035758323059"/>
    <n v="2023"/>
  </r>
  <r>
    <x v="691"/>
    <x v="3"/>
    <x v="3"/>
    <x v="1"/>
    <n v="11577"/>
    <n v="2760"/>
    <n v="10"/>
    <n v="8817"/>
    <n v="0.7615962684633325"/>
    <n v="2024"/>
  </r>
  <r>
    <x v="213"/>
    <x v="2"/>
    <x v="0"/>
    <x v="3"/>
    <n v="11498"/>
    <n v="4829"/>
    <n v="15"/>
    <n v="6669"/>
    <n v="0.58001391546355885"/>
    <n v="2023"/>
  </r>
  <r>
    <x v="23"/>
    <x v="0"/>
    <x v="0"/>
    <x v="3"/>
    <n v="9395"/>
    <n v="5421"/>
    <n v="0"/>
    <n v="3974"/>
    <n v="0.42299095263437997"/>
    <n v="2023"/>
  </r>
  <r>
    <x v="770"/>
    <x v="0"/>
    <x v="1"/>
    <x v="0"/>
    <n v="3044"/>
    <n v="2275"/>
    <n v="10"/>
    <n v="769"/>
    <n v="0.25262812089356113"/>
    <n v="2023"/>
  </r>
  <r>
    <x v="50"/>
    <x v="1"/>
    <x v="3"/>
    <x v="3"/>
    <n v="6022"/>
    <n v="3516"/>
    <n v="5"/>
    <n v="2506"/>
    <n v="0.41614081700431749"/>
    <n v="2023"/>
  </r>
  <r>
    <x v="820"/>
    <x v="2"/>
    <x v="2"/>
    <x v="3"/>
    <n v="2870"/>
    <n v="9881"/>
    <n v="5"/>
    <n v="-7011"/>
    <n v="-2.4428571428571431"/>
    <n v="2022"/>
  </r>
  <r>
    <x v="695"/>
    <x v="3"/>
    <x v="0"/>
    <x v="2"/>
    <n v="3781"/>
    <n v="4815"/>
    <n v="15"/>
    <n v="-1034"/>
    <n v="-0.27347262628934144"/>
    <n v="2022"/>
  </r>
  <r>
    <x v="687"/>
    <x v="0"/>
    <x v="1"/>
    <x v="3"/>
    <n v="5210"/>
    <n v="5992"/>
    <n v="10"/>
    <n v="-782"/>
    <n v="-0.15009596928982727"/>
    <n v="2023"/>
  </r>
  <r>
    <x v="183"/>
    <x v="2"/>
    <x v="0"/>
    <x v="2"/>
    <n v="828"/>
    <n v="10076"/>
    <n v="20"/>
    <n v="-9248"/>
    <n v="-11.169082125603865"/>
    <n v="2023"/>
  </r>
  <r>
    <x v="470"/>
    <x v="0"/>
    <x v="0"/>
    <x v="3"/>
    <n v="14183"/>
    <n v="5239"/>
    <n v="10"/>
    <n v="8944"/>
    <n v="0.63061411549037583"/>
    <n v="2023"/>
  </r>
  <r>
    <x v="169"/>
    <x v="2"/>
    <x v="2"/>
    <x v="3"/>
    <n v="6079"/>
    <n v="5863"/>
    <n v="15"/>
    <n v="216"/>
    <n v="3.5532159894719528E-2"/>
    <n v="2023"/>
  </r>
  <r>
    <x v="689"/>
    <x v="2"/>
    <x v="3"/>
    <x v="1"/>
    <n v="4728"/>
    <n v="3263"/>
    <n v="20"/>
    <n v="1465"/>
    <n v="0.30985617597292725"/>
    <n v="2023"/>
  </r>
  <r>
    <x v="672"/>
    <x v="1"/>
    <x v="2"/>
    <x v="1"/>
    <n v="13622"/>
    <n v="4829"/>
    <n v="20"/>
    <n v="8793"/>
    <n v="0.64549992658934074"/>
    <n v="2024"/>
  </r>
  <r>
    <x v="572"/>
    <x v="0"/>
    <x v="3"/>
    <x v="2"/>
    <n v="7294"/>
    <n v="7086"/>
    <n v="5"/>
    <n v="208"/>
    <n v="2.8516588977241568E-2"/>
    <n v="2023"/>
  </r>
  <r>
    <x v="31"/>
    <x v="3"/>
    <x v="0"/>
    <x v="3"/>
    <n v="620"/>
    <n v="6500"/>
    <n v="10"/>
    <n v="-5880"/>
    <n v="-9.4838709677419359"/>
    <n v="2022"/>
  </r>
  <r>
    <x v="572"/>
    <x v="1"/>
    <x v="1"/>
    <x v="0"/>
    <n v="7249"/>
    <n v="1276"/>
    <n v="20"/>
    <n v="5973"/>
    <n v="0.82397572078907433"/>
    <n v="2023"/>
  </r>
  <r>
    <x v="318"/>
    <x v="1"/>
    <x v="2"/>
    <x v="1"/>
    <n v="14263"/>
    <n v="7645"/>
    <n v="15"/>
    <n v="6618"/>
    <n v="0.46399775643272806"/>
    <n v="2023"/>
  </r>
  <r>
    <x v="499"/>
    <x v="3"/>
    <x v="3"/>
    <x v="0"/>
    <n v="1464"/>
    <n v="11856"/>
    <n v="5"/>
    <n v="-10392"/>
    <n v="-7.0983606557377046"/>
    <n v="2023"/>
  </r>
  <r>
    <x v="432"/>
    <x v="1"/>
    <x v="0"/>
    <x v="1"/>
    <n v="4724"/>
    <n v="345"/>
    <n v="20"/>
    <n v="4379"/>
    <n v="0.92696867061812027"/>
    <n v="2022"/>
  </r>
  <r>
    <x v="336"/>
    <x v="2"/>
    <x v="3"/>
    <x v="1"/>
    <n v="4175"/>
    <n v="1493"/>
    <n v="10"/>
    <n v="2682"/>
    <n v="0.64239520958083829"/>
    <n v="2022"/>
  </r>
  <r>
    <x v="208"/>
    <x v="2"/>
    <x v="3"/>
    <x v="3"/>
    <n v="6194"/>
    <n v="11834"/>
    <n v="5"/>
    <n v="-5640"/>
    <n v="-0.91055860510171138"/>
    <n v="2022"/>
  </r>
  <r>
    <x v="106"/>
    <x v="0"/>
    <x v="3"/>
    <x v="1"/>
    <n v="2576"/>
    <n v="4812"/>
    <n v="10"/>
    <n v="-2236"/>
    <n v="-0.86801242236024845"/>
    <n v="2023"/>
  </r>
  <r>
    <x v="521"/>
    <x v="0"/>
    <x v="0"/>
    <x v="0"/>
    <n v="7365"/>
    <n v="5243"/>
    <n v="10"/>
    <n v="2122"/>
    <n v="0.28811948404616428"/>
    <n v="2023"/>
  </r>
  <r>
    <x v="821"/>
    <x v="3"/>
    <x v="1"/>
    <x v="1"/>
    <n v="6143"/>
    <n v="6582"/>
    <n v="10"/>
    <n v="-439"/>
    <n v="-7.1463454338271198E-2"/>
    <n v="2022"/>
  </r>
  <r>
    <x v="743"/>
    <x v="0"/>
    <x v="1"/>
    <x v="2"/>
    <n v="9024"/>
    <n v="546"/>
    <n v="5"/>
    <n v="8478"/>
    <n v="0.9394946808510638"/>
    <n v="2023"/>
  </r>
  <r>
    <x v="374"/>
    <x v="2"/>
    <x v="1"/>
    <x v="3"/>
    <n v="12060"/>
    <n v="3519"/>
    <n v="20"/>
    <n v="8541"/>
    <n v="0.70820895522388061"/>
    <n v="2022"/>
  </r>
  <r>
    <x v="810"/>
    <x v="3"/>
    <x v="3"/>
    <x v="3"/>
    <n v="5749"/>
    <n v="9283"/>
    <n v="0"/>
    <n v="-3534"/>
    <n v="-0.61471560271351544"/>
    <n v="2024"/>
  </r>
  <r>
    <x v="38"/>
    <x v="3"/>
    <x v="0"/>
    <x v="2"/>
    <n v="1816"/>
    <n v="936"/>
    <n v="20"/>
    <n v="880"/>
    <n v="0.48458149779735682"/>
    <n v="2022"/>
  </r>
  <r>
    <x v="878"/>
    <x v="0"/>
    <x v="3"/>
    <x v="2"/>
    <n v="1696"/>
    <n v="4075"/>
    <n v="5"/>
    <n v="-2379"/>
    <n v="-1.4027122641509433"/>
    <n v="2022"/>
  </r>
  <r>
    <x v="838"/>
    <x v="2"/>
    <x v="1"/>
    <x v="2"/>
    <n v="3670"/>
    <n v="2721"/>
    <n v="0"/>
    <n v="949"/>
    <n v="0.25858310626702996"/>
    <n v="2024"/>
  </r>
  <r>
    <x v="540"/>
    <x v="3"/>
    <x v="1"/>
    <x v="1"/>
    <n v="10121"/>
    <n v="9580"/>
    <n v="0"/>
    <n v="541"/>
    <n v="5.3453216085367058E-2"/>
    <n v="2023"/>
  </r>
  <r>
    <x v="233"/>
    <x v="2"/>
    <x v="0"/>
    <x v="3"/>
    <n v="855"/>
    <n v="4483"/>
    <n v="0"/>
    <n v="-3628"/>
    <n v="-4.2432748538011698"/>
    <n v="2024"/>
  </r>
  <r>
    <x v="282"/>
    <x v="2"/>
    <x v="3"/>
    <x v="2"/>
    <n v="12926"/>
    <n v="11651"/>
    <n v="15"/>
    <n v="1275"/>
    <n v="9.8638403218319667E-2"/>
    <n v="2024"/>
  </r>
  <r>
    <x v="44"/>
    <x v="2"/>
    <x v="2"/>
    <x v="1"/>
    <n v="10218"/>
    <n v="1012"/>
    <n v="5"/>
    <n v="9206"/>
    <n v="0.90095909179878642"/>
    <n v="2024"/>
  </r>
  <r>
    <x v="97"/>
    <x v="0"/>
    <x v="2"/>
    <x v="2"/>
    <n v="12589"/>
    <n v="6145"/>
    <n v="15"/>
    <n v="6444"/>
    <n v="0.51187544681865116"/>
    <n v="2023"/>
  </r>
  <r>
    <x v="879"/>
    <x v="1"/>
    <x v="1"/>
    <x v="0"/>
    <n v="13985"/>
    <n v="5623"/>
    <n v="0"/>
    <n v="8362"/>
    <n v="0.59792634966035041"/>
    <n v="2022"/>
  </r>
  <r>
    <x v="880"/>
    <x v="1"/>
    <x v="0"/>
    <x v="0"/>
    <n v="528"/>
    <n v="6332"/>
    <n v="15"/>
    <n v="-5804"/>
    <n v="-10.992424242424242"/>
    <n v="2024"/>
  </r>
  <r>
    <x v="753"/>
    <x v="3"/>
    <x v="3"/>
    <x v="3"/>
    <n v="13718"/>
    <n v="3944"/>
    <n v="15"/>
    <n v="9774"/>
    <n v="0.71249453273071872"/>
    <n v="2022"/>
  </r>
  <r>
    <x v="13"/>
    <x v="2"/>
    <x v="3"/>
    <x v="1"/>
    <n v="1513"/>
    <n v="8073"/>
    <n v="5"/>
    <n v="-6560"/>
    <n v="-4.3357567746199601"/>
    <n v="2024"/>
  </r>
  <r>
    <x v="739"/>
    <x v="0"/>
    <x v="1"/>
    <x v="0"/>
    <n v="11394"/>
    <n v="11078"/>
    <n v="10"/>
    <n v="316"/>
    <n v="2.773389503247323E-2"/>
    <n v="2024"/>
  </r>
  <r>
    <x v="4"/>
    <x v="2"/>
    <x v="1"/>
    <x v="0"/>
    <n v="9519"/>
    <n v="2408"/>
    <n v="15"/>
    <n v="7111"/>
    <n v="0.74703225128689987"/>
    <n v="2023"/>
  </r>
  <r>
    <x v="286"/>
    <x v="2"/>
    <x v="3"/>
    <x v="1"/>
    <n v="13138"/>
    <n v="3914"/>
    <n v="15"/>
    <n v="9224"/>
    <n v="0.70208555335667533"/>
    <n v="2023"/>
  </r>
  <r>
    <x v="652"/>
    <x v="0"/>
    <x v="3"/>
    <x v="2"/>
    <n v="2524"/>
    <n v="9734"/>
    <n v="0"/>
    <n v="-7210"/>
    <n v="-2.8565768621236134"/>
    <n v="2024"/>
  </r>
  <r>
    <x v="440"/>
    <x v="1"/>
    <x v="1"/>
    <x v="1"/>
    <n v="8990"/>
    <n v="10551"/>
    <n v="0"/>
    <n v="-1561"/>
    <n v="-0.17363737486095662"/>
    <n v="2023"/>
  </r>
  <r>
    <x v="631"/>
    <x v="2"/>
    <x v="3"/>
    <x v="2"/>
    <n v="6339"/>
    <n v="7257"/>
    <n v="0"/>
    <n v="-918"/>
    <n v="-0.14481779460482727"/>
    <n v="2022"/>
  </r>
  <r>
    <x v="868"/>
    <x v="2"/>
    <x v="2"/>
    <x v="0"/>
    <n v="10557"/>
    <n v="11978"/>
    <n v="20"/>
    <n v="-1421"/>
    <n v="-0.13460263332386094"/>
    <n v="2022"/>
  </r>
  <r>
    <x v="407"/>
    <x v="1"/>
    <x v="1"/>
    <x v="0"/>
    <n v="12708"/>
    <n v="5579"/>
    <n v="15"/>
    <n v="7129"/>
    <n v="0.56098520616934211"/>
    <n v="2024"/>
  </r>
  <r>
    <x v="549"/>
    <x v="0"/>
    <x v="3"/>
    <x v="0"/>
    <n v="14003"/>
    <n v="4632"/>
    <n v="0"/>
    <n v="9371"/>
    <n v="0.6692137399128758"/>
    <n v="2024"/>
  </r>
  <r>
    <x v="631"/>
    <x v="3"/>
    <x v="1"/>
    <x v="3"/>
    <n v="6291"/>
    <n v="4200"/>
    <n v="5"/>
    <n v="2091"/>
    <n v="0.33237958989031952"/>
    <n v="2022"/>
  </r>
  <r>
    <x v="474"/>
    <x v="1"/>
    <x v="0"/>
    <x v="3"/>
    <n v="10803"/>
    <n v="11097"/>
    <n v="20"/>
    <n v="-294"/>
    <n v="-2.7214662593723966E-2"/>
    <n v="2022"/>
  </r>
  <r>
    <x v="236"/>
    <x v="3"/>
    <x v="1"/>
    <x v="3"/>
    <n v="1254"/>
    <n v="8239"/>
    <n v="10"/>
    <n v="-6985"/>
    <n v="-5.5701754385964914"/>
    <n v="2023"/>
  </r>
  <r>
    <x v="132"/>
    <x v="3"/>
    <x v="1"/>
    <x v="1"/>
    <n v="9461"/>
    <n v="11526"/>
    <n v="15"/>
    <n v="-2065"/>
    <n v="-0.21826445407462214"/>
    <n v="2023"/>
  </r>
  <r>
    <x v="661"/>
    <x v="1"/>
    <x v="0"/>
    <x v="0"/>
    <n v="4235"/>
    <n v="7263"/>
    <n v="15"/>
    <n v="-3028"/>
    <n v="-0.71499409681227866"/>
    <n v="2024"/>
  </r>
  <r>
    <x v="615"/>
    <x v="2"/>
    <x v="2"/>
    <x v="0"/>
    <n v="1738"/>
    <n v="4868"/>
    <n v="5"/>
    <n v="-3130"/>
    <n v="-1.8009205983889529"/>
    <n v="2022"/>
  </r>
  <r>
    <x v="14"/>
    <x v="3"/>
    <x v="3"/>
    <x v="1"/>
    <n v="13621"/>
    <n v="8138"/>
    <n v="10"/>
    <n v="5483"/>
    <n v="0.40254019528668966"/>
    <n v="2022"/>
  </r>
  <r>
    <x v="878"/>
    <x v="3"/>
    <x v="0"/>
    <x v="3"/>
    <n v="10905"/>
    <n v="11855"/>
    <n v="10"/>
    <n v="-950"/>
    <n v="-8.7116001834021087E-2"/>
    <n v="2022"/>
  </r>
  <r>
    <x v="881"/>
    <x v="0"/>
    <x v="1"/>
    <x v="1"/>
    <n v="2406"/>
    <n v="2145"/>
    <n v="20"/>
    <n v="261"/>
    <n v="0.10847880299251871"/>
    <n v="2023"/>
  </r>
  <r>
    <x v="882"/>
    <x v="2"/>
    <x v="3"/>
    <x v="3"/>
    <n v="7899"/>
    <n v="682"/>
    <n v="15"/>
    <n v="7217"/>
    <n v="0.91365995695657676"/>
    <n v="2023"/>
  </r>
  <r>
    <x v="715"/>
    <x v="3"/>
    <x v="0"/>
    <x v="0"/>
    <n v="8461"/>
    <n v="4412"/>
    <n v="0"/>
    <n v="4049"/>
    <n v="0.47854863491313082"/>
    <n v="2023"/>
  </r>
  <r>
    <x v="320"/>
    <x v="0"/>
    <x v="3"/>
    <x v="2"/>
    <n v="10256"/>
    <n v="7369"/>
    <n v="5"/>
    <n v="2887"/>
    <n v="0.28149375975039004"/>
    <n v="2023"/>
  </r>
  <r>
    <x v="409"/>
    <x v="2"/>
    <x v="3"/>
    <x v="3"/>
    <n v="9910"/>
    <n v="4110"/>
    <n v="5"/>
    <n v="5800"/>
    <n v="0.58526740665993948"/>
    <n v="2023"/>
  </r>
  <r>
    <x v="28"/>
    <x v="1"/>
    <x v="0"/>
    <x v="0"/>
    <n v="5101"/>
    <n v="10388"/>
    <n v="5"/>
    <n v="-5287"/>
    <n v="-1.0364634385414624"/>
    <n v="2023"/>
  </r>
  <r>
    <x v="133"/>
    <x v="1"/>
    <x v="3"/>
    <x v="0"/>
    <n v="10049"/>
    <n v="1809"/>
    <n v="5"/>
    <n v="8240"/>
    <n v="0.81998208776992731"/>
    <n v="2023"/>
  </r>
  <r>
    <x v="883"/>
    <x v="0"/>
    <x v="2"/>
    <x v="2"/>
    <n v="12531"/>
    <n v="7873"/>
    <n v="0"/>
    <n v="4658"/>
    <n v="0.3717181390152422"/>
    <n v="2024"/>
  </r>
  <r>
    <x v="492"/>
    <x v="1"/>
    <x v="0"/>
    <x v="0"/>
    <n v="1960"/>
    <n v="1878"/>
    <n v="0"/>
    <n v="82"/>
    <n v="4.1836734693877553E-2"/>
    <n v="2022"/>
  </r>
  <r>
    <x v="761"/>
    <x v="3"/>
    <x v="2"/>
    <x v="0"/>
    <n v="8169"/>
    <n v="1179"/>
    <n v="20"/>
    <n v="6990"/>
    <n v="0.8556738890929122"/>
    <n v="2023"/>
  </r>
  <r>
    <x v="467"/>
    <x v="2"/>
    <x v="1"/>
    <x v="3"/>
    <n v="12677"/>
    <n v="2462"/>
    <n v="15"/>
    <n v="10215"/>
    <n v="0.8057900134101128"/>
    <n v="2022"/>
  </r>
  <r>
    <x v="264"/>
    <x v="3"/>
    <x v="3"/>
    <x v="3"/>
    <n v="1916"/>
    <n v="10064"/>
    <n v="0"/>
    <n v="-8148"/>
    <n v="-4.252609603340292"/>
    <n v="2024"/>
  </r>
  <r>
    <x v="884"/>
    <x v="3"/>
    <x v="1"/>
    <x v="2"/>
    <n v="11545"/>
    <n v="10140"/>
    <n v="20"/>
    <n v="1405"/>
    <n v="0.12169770463404071"/>
    <n v="2023"/>
  </r>
  <r>
    <x v="477"/>
    <x v="1"/>
    <x v="1"/>
    <x v="2"/>
    <n v="8266"/>
    <n v="8014"/>
    <n v="10"/>
    <n v="252"/>
    <n v="3.0486329542705057E-2"/>
    <n v="2022"/>
  </r>
  <r>
    <x v="235"/>
    <x v="3"/>
    <x v="3"/>
    <x v="0"/>
    <n v="13960"/>
    <n v="1659"/>
    <n v="15"/>
    <n v="12301"/>
    <n v="0.88116045845272206"/>
    <n v="2024"/>
  </r>
  <r>
    <x v="555"/>
    <x v="1"/>
    <x v="0"/>
    <x v="3"/>
    <n v="13548"/>
    <n v="4731"/>
    <n v="0"/>
    <n v="8817"/>
    <n v="0.65079716563330381"/>
    <n v="2022"/>
  </r>
  <r>
    <x v="227"/>
    <x v="2"/>
    <x v="3"/>
    <x v="2"/>
    <n v="13620"/>
    <n v="8448"/>
    <n v="10"/>
    <n v="5172"/>
    <n v="0.37973568281938325"/>
    <n v="2024"/>
  </r>
  <r>
    <x v="885"/>
    <x v="2"/>
    <x v="1"/>
    <x v="2"/>
    <n v="1928"/>
    <n v="11461"/>
    <n v="20"/>
    <n v="-9533"/>
    <n v="-4.9445020746887964"/>
    <n v="2023"/>
  </r>
  <r>
    <x v="373"/>
    <x v="3"/>
    <x v="1"/>
    <x v="1"/>
    <n v="4878"/>
    <n v="4260"/>
    <n v="0"/>
    <n v="618"/>
    <n v="0.12669126691266913"/>
    <n v="2024"/>
  </r>
  <r>
    <x v="886"/>
    <x v="0"/>
    <x v="0"/>
    <x v="2"/>
    <n v="8029"/>
    <n v="4111"/>
    <n v="0"/>
    <n v="3918"/>
    <n v="0.48798106862622992"/>
    <n v="2024"/>
  </r>
  <r>
    <x v="143"/>
    <x v="1"/>
    <x v="3"/>
    <x v="0"/>
    <n v="4974"/>
    <n v="4542"/>
    <n v="10"/>
    <n v="432"/>
    <n v="8.6851628468033779E-2"/>
    <n v="2024"/>
  </r>
  <r>
    <x v="887"/>
    <x v="1"/>
    <x v="1"/>
    <x v="3"/>
    <n v="12985"/>
    <n v="4517"/>
    <n v="0"/>
    <n v="8468"/>
    <n v="0.6521370812475934"/>
    <n v="2022"/>
  </r>
  <r>
    <x v="66"/>
    <x v="3"/>
    <x v="2"/>
    <x v="2"/>
    <n v="11754"/>
    <n v="380"/>
    <n v="5"/>
    <n v="11374"/>
    <n v="0.96767058022800745"/>
    <n v="2022"/>
  </r>
  <r>
    <x v="765"/>
    <x v="1"/>
    <x v="1"/>
    <x v="1"/>
    <n v="3571"/>
    <n v="3032"/>
    <n v="0"/>
    <n v="539"/>
    <n v="0.15093811257350881"/>
    <n v="2023"/>
  </r>
  <r>
    <x v="814"/>
    <x v="1"/>
    <x v="1"/>
    <x v="3"/>
    <n v="1055"/>
    <n v="8133"/>
    <n v="15"/>
    <n v="-7078"/>
    <n v="-6.7090047393364927"/>
    <n v="2022"/>
  </r>
  <r>
    <x v="25"/>
    <x v="0"/>
    <x v="0"/>
    <x v="2"/>
    <n v="9047"/>
    <n v="3009"/>
    <n v="10"/>
    <n v="6038"/>
    <n v="0.667403559190892"/>
    <n v="2022"/>
  </r>
  <r>
    <x v="102"/>
    <x v="0"/>
    <x v="2"/>
    <x v="1"/>
    <n v="2063"/>
    <n v="2722"/>
    <n v="15"/>
    <n v="-659"/>
    <n v="-0.31943771206980126"/>
    <n v="2024"/>
  </r>
  <r>
    <x v="271"/>
    <x v="3"/>
    <x v="1"/>
    <x v="2"/>
    <n v="12192"/>
    <n v="3941"/>
    <n v="20"/>
    <n v="8251"/>
    <n v="0.67675524934383202"/>
    <n v="2023"/>
  </r>
  <r>
    <x v="670"/>
    <x v="0"/>
    <x v="1"/>
    <x v="3"/>
    <n v="1540"/>
    <n v="967"/>
    <n v="15"/>
    <n v="573"/>
    <n v="0.37207792207792206"/>
    <n v="2022"/>
  </r>
  <r>
    <x v="888"/>
    <x v="3"/>
    <x v="2"/>
    <x v="3"/>
    <n v="3186"/>
    <n v="2796"/>
    <n v="5"/>
    <n v="390"/>
    <n v="0.1224105461393597"/>
    <n v="2023"/>
  </r>
  <r>
    <x v="9"/>
    <x v="2"/>
    <x v="3"/>
    <x v="3"/>
    <n v="13166"/>
    <n v="3799"/>
    <n v="5"/>
    <n v="9367"/>
    <n v="0.71145374449339205"/>
    <n v="2024"/>
  </r>
  <r>
    <x v="424"/>
    <x v="3"/>
    <x v="3"/>
    <x v="0"/>
    <n v="13467"/>
    <n v="11990"/>
    <n v="15"/>
    <n v="1477"/>
    <n v="0.1096755030816069"/>
    <n v="2023"/>
  </r>
  <r>
    <x v="723"/>
    <x v="2"/>
    <x v="1"/>
    <x v="2"/>
    <n v="3053"/>
    <n v="9936"/>
    <n v="20"/>
    <n v="-6883"/>
    <n v="-2.2545037667867671"/>
    <n v="2024"/>
  </r>
  <r>
    <x v="312"/>
    <x v="3"/>
    <x v="1"/>
    <x v="0"/>
    <n v="2279"/>
    <n v="9837"/>
    <n v="0"/>
    <n v="-7558"/>
    <n v="-3.3163668275559455"/>
    <n v="2022"/>
  </r>
  <r>
    <x v="889"/>
    <x v="1"/>
    <x v="3"/>
    <x v="3"/>
    <n v="13686"/>
    <n v="8380"/>
    <n v="5"/>
    <n v="5306"/>
    <n v="0.38769545520970333"/>
    <n v="2022"/>
  </r>
  <r>
    <x v="109"/>
    <x v="0"/>
    <x v="0"/>
    <x v="1"/>
    <n v="575"/>
    <n v="7123"/>
    <n v="15"/>
    <n v="-6548"/>
    <n v="-11.387826086956522"/>
    <n v="2024"/>
  </r>
  <r>
    <x v="890"/>
    <x v="2"/>
    <x v="2"/>
    <x v="2"/>
    <n v="4826"/>
    <n v="1489"/>
    <n v="15"/>
    <n v="3337"/>
    <n v="0.69146290924160791"/>
    <n v="2023"/>
  </r>
  <r>
    <x v="303"/>
    <x v="3"/>
    <x v="2"/>
    <x v="0"/>
    <n v="6335"/>
    <n v="6904"/>
    <n v="15"/>
    <n v="-569"/>
    <n v="-8.9818468823993691E-2"/>
    <n v="2023"/>
  </r>
  <r>
    <x v="834"/>
    <x v="0"/>
    <x v="0"/>
    <x v="2"/>
    <n v="5557"/>
    <n v="8950"/>
    <n v="0"/>
    <n v="-3393"/>
    <n v="-0.61058124887529241"/>
    <n v="2024"/>
  </r>
  <r>
    <x v="891"/>
    <x v="3"/>
    <x v="0"/>
    <x v="1"/>
    <n v="12011"/>
    <n v="9704"/>
    <n v="10"/>
    <n v="2307"/>
    <n v="0.19207393222879027"/>
    <n v="2022"/>
  </r>
  <r>
    <x v="268"/>
    <x v="0"/>
    <x v="0"/>
    <x v="0"/>
    <n v="2849"/>
    <n v="9403"/>
    <n v="20"/>
    <n v="-6554"/>
    <n v="-2.3004563004563003"/>
    <n v="2024"/>
  </r>
  <r>
    <x v="695"/>
    <x v="0"/>
    <x v="0"/>
    <x v="3"/>
    <n v="3273"/>
    <n v="1325"/>
    <n v="10"/>
    <n v="1948"/>
    <n v="0.5951726245035136"/>
    <n v="2022"/>
  </r>
  <r>
    <x v="284"/>
    <x v="3"/>
    <x v="0"/>
    <x v="0"/>
    <n v="2762"/>
    <n v="8085"/>
    <n v="20"/>
    <n v="-5323"/>
    <n v="-1.9272266473569877"/>
    <n v="2023"/>
  </r>
  <r>
    <x v="865"/>
    <x v="2"/>
    <x v="0"/>
    <x v="2"/>
    <n v="3729"/>
    <n v="10903"/>
    <n v="20"/>
    <n v="-7174"/>
    <n v="-1.9238401716277822"/>
    <n v="2024"/>
  </r>
  <r>
    <x v="870"/>
    <x v="2"/>
    <x v="2"/>
    <x v="2"/>
    <n v="10808"/>
    <n v="371"/>
    <n v="15"/>
    <n v="10437"/>
    <n v="0.96567357512953367"/>
    <n v="2022"/>
  </r>
  <r>
    <x v="592"/>
    <x v="1"/>
    <x v="0"/>
    <x v="2"/>
    <n v="892"/>
    <n v="5846"/>
    <n v="5"/>
    <n v="-4954"/>
    <n v="-5.5538116591928253"/>
    <n v="2024"/>
  </r>
  <r>
    <x v="287"/>
    <x v="0"/>
    <x v="3"/>
    <x v="2"/>
    <n v="1608"/>
    <n v="2985"/>
    <n v="15"/>
    <n v="-1377"/>
    <n v="-0.85634328358208955"/>
    <n v="2024"/>
  </r>
  <r>
    <x v="701"/>
    <x v="1"/>
    <x v="0"/>
    <x v="3"/>
    <n v="4862"/>
    <n v="9685"/>
    <n v="0"/>
    <n v="-4823"/>
    <n v="-0.99197860962566842"/>
    <n v="2023"/>
  </r>
  <r>
    <x v="224"/>
    <x v="1"/>
    <x v="0"/>
    <x v="0"/>
    <n v="5688"/>
    <n v="7672"/>
    <n v="20"/>
    <n v="-1984"/>
    <n v="-0.34880450070323488"/>
    <n v="2023"/>
  </r>
  <r>
    <x v="136"/>
    <x v="3"/>
    <x v="2"/>
    <x v="3"/>
    <n v="9302"/>
    <n v="2148"/>
    <n v="5"/>
    <n v="7154"/>
    <n v="0.76908191786712532"/>
    <n v="2022"/>
  </r>
  <r>
    <x v="596"/>
    <x v="3"/>
    <x v="2"/>
    <x v="3"/>
    <n v="14158"/>
    <n v="10876"/>
    <n v="20"/>
    <n v="3282"/>
    <n v="0.23181240288176297"/>
    <n v="2024"/>
  </r>
  <r>
    <x v="3"/>
    <x v="3"/>
    <x v="0"/>
    <x v="3"/>
    <n v="13796"/>
    <n v="2322"/>
    <n v="20"/>
    <n v="11474"/>
    <n v="0.83169034502754424"/>
    <n v="2022"/>
  </r>
  <r>
    <x v="381"/>
    <x v="0"/>
    <x v="2"/>
    <x v="2"/>
    <n v="5557"/>
    <n v="6638"/>
    <n v="15"/>
    <n v="-1081"/>
    <n v="-0.19452942235018894"/>
    <n v="2022"/>
  </r>
  <r>
    <x v="213"/>
    <x v="3"/>
    <x v="1"/>
    <x v="2"/>
    <n v="11467"/>
    <n v="4041"/>
    <n v="5"/>
    <n v="7426"/>
    <n v="0.6475974535623964"/>
    <n v="2023"/>
  </r>
  <r>
    <x v="88"/>
    <x v="3"/>
    <x v="2"/>
    <x v="2"/>
    <n v="4498"/>
    <n v="1598"/>
    <n v="5"/>
    <n v="2900"/>
    <n v="0.6447309915518008"/>
    <n v="2024"/>
  </r>
  <r>
    <x v="892"/>
    <x v="0"/>
    <x v="2"/>
    <x v="0"/>
    <n v="9364"/>
    <n v="4402"/>
    <n v="20"/>
    <n v="4962"/>
    <n v="0.52990175138829565"/>
    <n v="2024"/>
  </r>
  <r>
    <x v="670"/>
    <x v="0"/>
    <x v="2"/>
    <x v="1"/>
    <n v="7066"/>
    <n v="1204"/>
    <n v="5"/>
    <n v="5862"/>
    <n v="0.82960656665723187"/>
    <n v="2022"/>
  </r>
  <r>
    <x v="48"/>
    <x v="2"/>
    <x v="2"/>
    <x v="2"/>
    <n v="4177"/>
    <n v="3326"/>
    <n v="5"/>
    <n v="851"/>
    <n v="0.20373473785013169"/>
    <n v="2024"/>
  </r>
  <r>
    <x v="606"/>
    <x v="3"/>
    <x v="3"/>
    <x v="0"/>
    <n v="6296"/>
    <n v="10520"/>
    <n v="15"/>
    <n v="-4224"/>
    <n v="-0.67090216010165182"/>
    <n v="2023"/>
  </r>
  <r>
    <x v="214"/>
    <x v="3"/>
    <x v="3"/>
    <x v="2"/>
    <n v="14950"/>
    <n v="7009"/>
    <n v="10"/>
    <n v="7941"/>
    <n v="0.53117056856187295"/>
    <n v="2022"/>
  </r>
  <r>
    <x v="864"/>
    <x v="3"/>
    <x v="3"/>
    <x v="2"/>
    <n v="6863"/>
    <n v="5011"/>
    <n v="0"/>
    <n v="1852"/>
    <n v="0.26985283403759291"/>
    <n v="2022"/>
  </r>
  <r>
    <x v="30"/>
    <x v="2"/>
    <x v="0"/>
    <x v="3"/>
    <n v="8623"/>
    <n v="8321"/>
    <n v="10"/>
    <n v="302"/>
    <n v="3.5022613939464223E-2"/>
    <n v="2023"/>
  </r>
  <r>
    <x v="339"/>
    <x v="3"/>
    <x v="0"/>
    <x v="3"/>
    <n v="8722"/>
    <n v="6269"/>
    <n v="5"/>
    <n v="2453"/>
    <n v="0.28124283421233665"/>
    <n v="2023"/>
  </r>
  <r>
    <x v="447"/>
    <x v="2"/>
    <x v="1"/>
    <x v="3"/>
    <n v="8190"/>
    <n v="2920"/>
    <n v="20"/>
    <n v="5270"/>
    <n v="0.64346764346764351"/>
    <n v="2022"/>
  </r>
  <r>
    <x v="144"/>
    <x v="1"/>
    <x v="3"/>
    <x v="0"/>
    <n v="14154"/>
    <n v="2946"/>
    <n v="0"/>
    <n v="11208"/>
    <n v="0.79186095803306489"/>
    <n v="2022"/>
  </r>
  <r>
    <x v="420"/>
    <x v="2"/>
    <x v="0"/>
    <x v="1"/>
    <n v="1900"/>
    <n v="5165"/>
    <n v="0"/>
    <n v="-3265"/>
    <n v="-1.7184210526315788"/>
    <n v="2022"/>
  </r>
  <r>
    <x v="580"/>
    <x v="1"/>
    <x v="2"/>
    <x v="1"/>
    <n v="13941"/>
    <n v="7645"/>
    <n v="20"/>
    <n v="6296"/>
    <n v="0.45161753102359947"/>
    <n v="2023"/>
  </r>
  <r>
    <x v="524"/>
    <x v="3"/>
    <x v="2"/>
    <x v="0"/>
    <n v="4571"/>
    <n v="2589"/>
    <n v="0"/>
    <n v="1982"/>
    <n v="0.43360315029534019"/>
    <n v="2023"/>
  </r>
  <r>
    <x v="364"/>
    <x v="1"/>
    <x v="3"/>
    <x v="2"/>
    <n v="9308"/>
    <n v="7670"/>
    <n v="20"/>
    <n v="1638"/>
    <n v="0.17597765363128492"/>
    <n v="2022"/>
  </r>
  <r>
    <x v="484"/>
    <x v="2"/>
    <x v="1"/>
    <x v="0"/>
    <n v="13326"/>
    <n v="4172"/>
    <n v="0"/>
    <n v="9154"/>
    <n v="0.68692781029566263"/>
    <n v="2023"/>
  </r>
  <r>
    <x v="893"/>
    <x v="0"/>
    <x v="1"/>
    <x v="2"/>
    <n v="3286"/>
    <n v="9977"/>
    <n v="10"/>
    <n v="-6691"/>
    <n v="-2.0362142422398053"/>
    <n v="2024"/>
  </r>
  <r>
    <x v="9"/>
    <x v="1"/>
    <x v="2"/>
    <x v="0"/>
    <n v="7669"/>
    <n v="11643"/>
    <n v="0"/>
    <n v="-3974"/>
    <n v="-0.51819011605163645"/>
    <n v="2024"/>
  </r>
  <r>
    <x v="117"/>
    <x v="1"/>
    <x v="1"/>
    <x v="0"/>
    <n v="1370"/>
    <n v="7990"/>
    <n v="15"/>
    <n v="-6620"/>
    <n v="-4.8321167883211675"/>
    <n v="2023"/>
  </r>
  <r>
    <x v="876"/>
    <x v="3"/>
    <x v="3"/>
    <x v="0"/>
    <n v="4696"/>
    <n v="1740"/>
    <n v="20"/>
    <n v="2956"/>
    <n v="0.62947189097103917"/>
    <n v="2022"/>
  </r>
  <r>
    <x v="885"/>
    <x v="2"/>
    <x v="2"/>
    <x v="1"/>
    <n v="12296"/>
    <n v="1065"/>
    <n v="0"/>
    <n v="11231"/>
    <n v="0.91338646714378657"/>
    <n v="2023"/>
  </r>
  <r>
    <x v="882"/>
    <x v="1"/>
    <x v="0"/>
    <x v="3"/>
    <n v="10104"/>
    <n v="10930"/>
    <n v="20"/>
    <n v="-826"/>
    <n v="-8.1749802058590657E-2"/>
    <n v="2023"/>
  </r>
  <r>
    <x v="894"/>
    <x v="1"/>
    <x v="0"/>
    <x v="0"/>
    <n v="3239"/>
    <n v="4392"/>
    <n v="15"/>
    <n v="-1153"/>
    <n v="-0.35597406606977461"/>
    <n v="2022"/>
  </r>
  <r>
    <x v="895"/>
    <x v="4"/>
    <x v="4"/>
    <x v="4"/>
    <m/>
    <m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1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1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3484BC0-69A7-4C0A-A11F-8B01EDBB8834}" name="PivotTable6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I6:J7" firstHeaderRow="0" firstDataRow="1" firstDataCol="0"/>
  <pivotFields count="12">
    <pivotField dataField="1" numFmtId="14" showAll="0"/>
    <pivotField showAll="0"/>
    <pivotField showAll="0"/>
    <pivotField showAll="0"/>
    <pivotField dataField="1" showAll="0"/>
    <pivotField showAll="0"/>
    <pivotField showAll="0"/>
    <pivotField showAll="0"/>
    <pivotField numFmtId="9" showAll="0"/>
    <pivotField showAll="0"/>
    <pivotField dragToRow="0" dragToCol="0" dragToPage="0" showAll="0" defaultSubtotal="0"/>
    <pivotField dragToRow="0" dragToCol="0" dragToPage="0" showAll="0" defaultSubtotal="0"/>
  </pivotFields>
  <rowItems count="1">
    <i/>
  </rowItems>
  <colFields count="1">
    <field x="-2"/>
  </colFields>
  <colItems count="2">
    <i>
      <x/>
    </i>
    <i i="1">
      <x v="1"/>
    </i>
  </colItems>
  <dataFields count="2">
    <dataField name="Sum of Revenue" fld="4" baseField="0" baseItem="0"/>
    <dataField name="Count of Order Date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AE7607C-145B-47A9-B86D-2337A7D7C003}" name="PivotTable4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>
  <location ref="I3:I4" firstHeaderRow="1" firstDataRow="1" firstDataCol="0"/>
  <pivotFields count="12">
    <pivotField numFmtId="14" showAll="0"/>
    <pivotField showAll="0"/>
    <pivotField showAll="0"/>
    <pivotField showAll="0"/>
    <pivotField dataField="1" showAll="0"/>
    <pivotField showAll="0"/>
    <pivotField showAll="0"/>
    <pivotField showAll="0"/>
    <pivotField numFmtId="9" showAll="0"/>
    <pivotField showAll="0"/>
    <pivotField dragToRow="0" dragToCol="0" dragToPage="0" showAll="0" defaultSubtotal="0"/>
    <pivotField dragToRow="0" dragToCol="0" dragToPage="0" showAll="0" defaultSubtotal="0"/>
  </pivotFields>
  <rowItems count="1">
    <i/>
  </rowItems>
  <colItems count="1">
    <i/>
  </colItems>
  <dataFields count="1">
    <dataField name="Sum of Revenue" fld="4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A8CAFEC-C36B-47CD-9526-DC1432EFA938}" name="PivotTable9" cacheId="0" dataOnRows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4" rowHeaderCaption="Year">
  <location ref="I14:BTX16" firstHeaderRow="1" firstDataRow="2" firstDataCol="1" rowPageCount="1" colPageCount="1"/>
  <pivotFields count="12">
    <pivotField numFmtId="14" showAll="0"/>
    <pivotField showAll="0"/>
    <pivotField showAll="0"/>
    <pivotField showAll="0"/>
    <pivotField dataField="1" showAll="0">
      <items count="1888">
        <item x="448"/>
        <item x="298"/>
        <item x="1800"/>
        <item x="1239"/>
        <item x="1357"/>
        <item x="170"/>
        <item x="362"/>
        <item x="1548"/>
        <item x="1850"/>
        <item x="1755"/>
        <item x="941"/>
        <item x="547"/>
        <item x="1492"/>
        <item x="1723"/>
        <item x="968"/>
        <item x="1780"/>
        <item x="1254"/>
        <item x="421"/>
        <item x="241"/>
        <item x="146"/>
        <item x="1268"/>
        <item x="70"/>
        <item x="106"/>
        <item x="97"/>
        <item x="85"/>
        <item x="1146"/>
        <item x="684"/>
        <item x="1076"/>
        <item x="1428"/>
        <item x="422"/>
        <item x="847"/>
        <item x="1178"/>
        <item x="1233"/>
        <item x="390"/>
        <item x="1496"/>
        <item x="640"/>
        <item x="617"/>
        <item x="759"/>
        <item x="220"/>
        <item x="1345"/>
        <item x="16"/>
        <item x="165"/>
        <item x="418"/>
        <item x="1625"/>
        <item x="824"/>
        <item x="962"/>
        <item x="1006"/>
        <item x="1774"/>
        <item x="44"/>
        <item x="1180"/>
        <item x="1038"/>
        <item x="1795"/>
        <item x="271"/>
        <item x="699"/>
        <item x="1243"/>
        <item x="1858"/>
        <item x="175"/>
        <item x="690"/>
        <item x="935"/>
        <item x="876"/>
        <item x="1270"/>
        <item x="751"/>
        <item x="716"/>
        <item x="1595"/>
        <item x="261"/>
        <item x="1651"/>
        <item x="76"/>
        <item x="1237"/>
        <item x="990"/>
        <item x="222"/>
        <item x="1263"/>
        <item x="245"/>
        <item x="1512"/>
        <item x="1578"/>
        <item x="560"/>
        <item x="274"/>
        <item x="1444"/>
        <item x="791"/>
        <item x="1839"/>
        <item x="79"/>
        <item x="1169"/>
        <item x="591"/>
        <item x="830"/>
        <item x="704"/>
        <item x="1748"/>
        <item x="1301"/>
        <item x="1643"/>
        <item x="1459"/>
        <item x="1075"/>
        <item x="299"/>
        <item x="491"/>
        <item x="15"/>
        <item x="1722"/>
        <item x="898"/>
        <item x="1540"/>
        <item x="1022"/>
        <item x="775"/>
        <item x="1673"/>
        <item x="662"/>
        <item x="969"/>
        <item x="1547"/>
        <item x="858"/>
        <item x="166"/>
        <item x="1341"/>
        <item x="388"/>
        <item x="317"/>
        <item x="1716"/>
        <item x="1503"/>
        <item x="372"/>
        <item x="493"/>
        <item x="1611"/>
        <item x="304"/>
        <item x="115"/>
        <item x="1368"/>
        <item x="1600"/>
        <item x="1629"/>
        <item x="236"/>
        <item x="1144"/>
        <item x="633"/>
        <item x="1315"/>
        <item x="1031"/>
        <item x="1318"/>
        <item x="813"/>
        <item x="303"/>
        <item x="696"/>
        <item x="1883"/>
        <item x="550"/>
        <item x="728"/>
        <item x="283"/>
        <item x="1619"/>
        <item x="52"/>
        <item x="73"/>
        <item x="873"/>
        <item x="1164"/>
        <item x="69"/>
        <item x="426"/>
        <item x="1744"/>
        <item x="1353"/>
        <item x="1015"/>
        <item x="1783"/>
        <item x="1228"/>
        <item x="900"/>
        <item x="525"/>
        <item x="33"/>
        <item x="99"/>
        <item x="796"/>
        <item x="536"/>
        <item x="518"/>
        <item x="1802"/>
        <item x="380"/>
        <item x="1186"/>
        <item x="248"/>
        <item x="1064"/>
        <item x="1843"/>
        <item x="1474"/>
        <item x="886"/>
        <item x="1221"/>
        <item x="1565"/>
        <item x="1346"/>
        <item x="1094"/>
        <item x="1727"/>
        <item x="1413"/>
        <item x="881"/>
        <item x="977"/>
        <item x="1859"/>
        <item x="1203"/>
        <item x="1520"/>
        <item x="463"/>
        <item x="1460"/>
        <item x="1032"/>
        <item x="735"/>
        <item x="255"/>
        <item x="628"/>
        <item x="1111"/>
        <item x="1792"/>
        <item x="559"/>
        <item x="1759"/>
        <item x="1232"/>
        <item x="138"/>
        <item x="563"/>
        <item x="1372"/>
        <item x="1814"/>
        <item x="346"/>
        <item x="1403"/>
        <item x="201"/>
        <item x="1481"/>
        <item x="1791"/>
        <item x="1411"/>
        <item x="670"/>
        <item x="1610"/>
        <item x="1440"/>
        <item x="66"/>
        <item x="720"/>
        <item x="553"/>
        <item x="1718"/>
        <item x="1877"/>
        <item x="785"/>
        <item x="243"/>
        <item x="1827"/>
        <item x="908"/>
        <item x="1833"/>
        <item x="1824"/>
        <item x="22"/>
        <item x="722"/>
        <item x="1598"/>
        <item x="194"/>
        <item x="1469"/>
        <item x="904"/>
        <item x="1396"/>
        <item x="1752"/>
        <item x="214"/>
        <item x="174"/>
        <item x="318"/>
        <item x="1070"/>
        <item x="81"/>
        <item x="1394"/>
        <item x="1590"/>
        <item x="1737"/>
        <item x="1841"/>
        <item x="1334"/>
        <item x="417"/>
        <item x="1103"/>
        <item x="1479"/>
        <item x="1454"/>
        <item x="192"/>
        <item x="1410"/>
        <item x="1484"/>
        <item x="260"/>
        <item x="1608"/>
        <item x="1434"/>
        <item x="314"/>
        <item x="355"/>
        <item x="853"/>
        <item x="111"/>
        <item x="65"/>
        <item x="877"/>
        <item x="1450"/>
        <item x="1705"/>
        <item x="1848"/>
        <item x="1730"/>
        <item x="905"/>
        <item x="1617"/>
        <item x="232"/>
        <item x="495"/>
        <item x="779"/>
        <item x="1438"/>
        <item x="1336"/>
        <item x="672"/>
        <item x="1452"/>
        <item x="888"/>
        <item x="855"/>
        <item x="551"/>
        <item x="1039"/>
        <item x="1114"/>
        <item x="503"/>
        <item x="1196"/>
        <item x="1817"/>
        <item x="391"/>
        <item x="444"/>
        <item x="1182"/>
        <item x="1150"/>
        <item x="278"/>
        <item x="1725"/>
        <item x="1290"/>
        <item x="1219"/>
        <item x="850"/>
        <item x="217"/>
        <item x="602"/>
        <item x="1400"/>
        <item x="367"/>
        <item x="1649"/>
        <item x="1040"/>
        <item x="1633"/>
        <item x="1448"/>
        <item x="965"/>
        <item x="875"/>
        <item x="1398"/>
        <item x="959"/>
        <item x="1624"/>
        <item x="1786"/>
        <item x="1447"/>
        <item x="1424"/>
        <item x="1473"/>
        <item x="82"/>
        <item x="35"/>
        <item x="233"/>
        <item x="414"/>
        <item x="1642"/>
        <item x="78"/>
        <item x="1552"/>
        <item x="1579"/>
        <item x="1083"/>
        <item x="1763"/>
        <item x="1426"/>
        <item x="38"/>
        <item x="1187"/>
        <item x="928"/>
        <item x="851"/>
        <item x="297"/>
        <item x="812"/>
        <item x="1366"/>
        <item x="985"/>
        <item x="635"/>
        <item x="403"/>
        <item x="335"/>
        <item x="1251"/>
        <item x="1295"/>
        <item x="74"/>
        <item x="377"/>
        <item x="135"/>
        <item x="1771"/>
        <item x="825"/>
        <item x="991"/>
        <item x="61"/>
        <item x="1194"/>
        <item x="1653"/>
        <item x="641"/>
        <item x="1476"/>
        <item x="919"/>
        <item x="912"/>
        <item x="1412"/>
        <item x="1058"/>
        <item x="571"/>
        <item x="1053"/>
        <item x="1172"/>
        <item x="173"/>
        <item x="521"/>
        <item x="1536"/>
        <item x="145"/>
        <item x="739"/>
        <item x="1501"/>
        <item x="1769"/>
        <item x="1847"/>
        <item x="313"/>
        <item x="577"/>
        <item x="1050"/>
        <item x="1090"/>
        <item x="917"/>
        <item x="11"/>
        <item x="350"/>
        <item x="647"/>
        <item x="395"/>
        <item x="555"/>
        <item x="1453"/>
        <item x="1212"/>
        <item x="456"/>
        <item x="552"/>
        <item x="523"/>
        <item x="1844"/>
        <item x="1112"/>
        <item x="1640"/>
        <item x="1158"/>
        <item x="67"/>
        <item x="159"/>
        <item x="212"/>
        <item x="1593"/>
        <item x="1138"/>
        <item x="724"/>
        <item x="1886"/>
        <item x="1581"/>
        <item x="930"/>
        <item x="883"/>
        <item x="1855"/>
        <item x="848"/>
        <item x="371"/>
        <item x="1099"/>
        <item x="1882"/>
        <item x="1157"/>
        <item x="613"/>
        <item x="543"/>
        <item x="837"/>
        <item x="1041"/>
        <item x="1282"/>
        <item x="1230"/>
        <item x="210"/>
        <item x="1127"/>
        <item x="387"/>
        <item x="439"/>
        <item x="1348"/>
        <item x="57"/>
        <item x="1082"/>
        <item x="487"/>
        <item x="102"/>
        <item x="615"/>
        <item x="1658"/>
        <item x="892"/>
        <item x="262"/>
        <item x="185"/>
        <item x="1215"/>
        <item x="1350"/>
        <item x="1713"/>
        <item x="64"/>
        <item x="1227"/>
        <item x="168"/>
        <item x="586"/>
        <item x="1700"/>
        <item x="711"/>
        <item x="483"/>
        <item x="1248"/>
        <item x="1241"/>
        <item x="687"/>
        <item x="1838"/>
        <item x="1441"/>
        <item x="300"/>
        <item x="83"/>
        <item x="221"/>
        <item x="1204"/>
        <item x="227"/>
        <item x="1756"/>
        <item x="1025"/>
        <item x="737"/>
        <item x="1522"/>
        <item x="730"/>
        <item x="654"/>
        <item x="473"/>
        <item x="1793"/>
        <item x="564"/>
        <item x="1236"/>
        <item x="40"/>
        <item x="164"/>
        <item x="50"/>
        <item x="295"/>
        <item x="1000"/>
        <item x="1710"/>
        <item x="149"/>
        <item x="1856"/>
        <item x="424"/>
        <item x="41"/>
        <item x="275"/>
        <item x="973"/>
        <item x="423"/>
        <item x="1170"/>
        <item x="1442"/>
        <item x="197"/>
        <item x="1772"/>
        <item x="273"/>
        <item x="678"/>
        <item x="1328"/>
        <item x="459"/>
        <item x="249"/>
        <item x="247"/>
        <item x="742"/>
        <item x="437"/>
        <item x="938"/>
        <item x="1162"/>
        <item x="882"/>
        <item x="1029"/>
        <item x="868"/>
        <item x="610"/>
        <item x="127"/>
        <item x="772"/>
        <item x="1155"/>
        <item x="1614"/>
        <item x="843"/>
        <item x="926"/>
        <item x="661"/>
        <item x="787"/>
        <item x="84"/>
        <item x="741"/>
        <item x="308"/>
        <item x="1152"/>
        <item x="925"/>
        <item x="1381"/>
        <item x="747"/>
        <item x="970"/>
        <item x="19"/>
        <item x="1240"/>
        <item x="1014"/>
        <item x="1393"/>
        <item x="822"/>
        <item x="753"/>
        <item x="1176"/>
        <item x="1399"/>
        <item x="738"/>
        <item x="460"/>
        <item x="183"/>
        <item x="574"/>
        <item x="1364"/>
        <item x="28"/>
        <item x="1333"/>
        <item x="1785"/>
        <item x="1869"/>
        <item x="587"/>
        <item x="1650"/>
        <item x="132"/>
        <item x="56"/>
        <item x="269"/>
        <item x="1257"/>
        <item x="334"/>
        <item x="512"/>
        <item x="1813"/>
        <item x="1714"/>
        <item x="1272"/>
        <item x="1753"/>
        <item x="120"/>
        <item x="128"/>
        <item x="1422"/>
        <item x="1458"/>
        <item x="639"/>
        <item x="502"/>
        <item x="1042"/>
        <item x="284"/>
        <item x="1122"/>
        <item x="406"/>
        <item x="755"/>
        <item x="1566"/>
        <item x="1095"/>
        <item x="1347"/>
        <item x="1612"/>
        <item x="1621"/>
        <item x="541"/>
        <item x="363"/>
        <item x="1117"/>
        <item x="1161"/>
        <item x="1689"/>
        <item x="1563"/>
        <item x="1085"/>
        <item x="1074"/>
        <item x="1078"/>
        <item x="1741"/>
        <item x="581"/>
        <item x="1107"/>
        <item x="845"/>
        <item x="1866"/>
        <item x="595"/>
        <item x="1738"/>
        <item x="754"/>
        <item x="650"/>
        <item x="763"/>
        <item x="1206"/>
        <item x="803"/>
        <item x="1404"/>
        <item x="1530"/>
        <item x="1879"/>
        <item x="797"/>
        <item x="5"/>
        <item x="1113"/>
        <item x="854"/>
        <item x="42"/>
        <item x="712"/>
        <item x="1384"/>
        <item x="734"/>
        <item x="709"/>
        <item x="9"/>
        <item x="446"/>
        <item x="694"/>
        <item x="1205"/>
        <item x="939"/>
        <item x="768"/>
        <item x="160"/>
        <item x="1531"/>
        <item x="589"/>
        <item x="601"/>
        <item x="1557"/>
        <item x="59"/>
        <item x="767"/>
        <item x="1784"/>
        <item x="1777"/>
        <item x="1511"/>
        <item x="154"/>
        <item x="1680"/>
        <item x="1495"/>
        <item x="119"/>
        <item x="949"/>
        <item x="223"/>
        <item x="575"/>
        <item x="1234"/>
        <item x="1223"/>
        <item x="585"/>
        <item x="1331"/>
        <item x="519"/>
        <item x="1851"/>
        <item x="795"/>
        <item x="1652"/>
        <item x="1017"/>
        <item x="1860"/>
        <item x="1253"/>
        <item x="116"/>
        <item x="788"/>
        <item x="1661"/>
        <item x="827"/>
        <item x="545"/>
        <item x="576"/>
        <item x="978"/>
        <item x="1667"/>
        <item x="689"/>
        <item x="1208"/>
        <item x="534"/>
        <item x="1277"/>
        <item x="1325"/>
        <item x="1835"/>
        <item x="1622"/>
        <item x="411"/>
        <item x="254"/>
        <item x="1320"/>
        <item x="511"/>
        <item x="258"/>
        <item x="39"/>
        <item x="605"/>
        <item x="407"/>
        <item x="1449"/>
        <item x="1731"/>
        <item x="1745"/>
        <item x="1281"/>
        <item x="326"/>
        <item x="1173"/>
        <item x="638"/>
        <item x="1580"/>
        <item x="660"/>
        <item x="230"/>
        <item x="150"/>
        <item x="21"/>
        <item x="1308"/>
        <item x="966"/>
        <item x="1822"/>
        <item x="287"/>
        <item x="1567"/>
        <item x="1690"/>
        <item x="427"/>
        <item x="101"/>
        <item x="1370"/>
        <item x="163"/>
        <item x="1645"/>
        <item x="1572"/>
        <item x="93"/>
        <item x="1577"/>
        <item x="1589"/>
        <item x="918"/>
        <item x="1330"/>
        <item x="46"/>
        <item x="1319"/>
        <item x="1773"/>
        <item x="528"/>
        <item x="264"/>
        <item x="1539"/>
        <item x="306"/>
        <item x="24"/>
        <item x="867"/>
        <item x="994"/>
        <item x="593"/>
        <item x="522"/>
        <item x="1354"/>
        <item x="464"/>
        <item x="1488"/>
        <item x="1322"/>
        <item x="1137"/>
        <item x="652"/>
        <item x="47"/>
        <item x="180"/>
        <item x="1109"/>
        <item x="1663"/>
        <item x="1736"/>
        <item x="1688"/>
        <item x="441"/>
        <item x="862"/>
        <item x="1761"/>
        <item x="934"/>
        <item x="1482"/>
        <item x="49"/>
        <item x="1092"/>
        <item x="386"/>
        <item x="618"/>
        <item x="433"/>
        <item x="1262"/>
        <item x="1654"/>
        <item x="761"/>
        <item x="204"/>
        <item x="952"/>
        <item x="1471"/>
        <item x="773"/>
        <item x="1537"/>
        <item x="907"/>
        <item x="890"/>
        <item x="1853"/>
        <item x="1072"/>
        <item x="1414"/>
        <item x="1388"/>
        <item x="190"/>
        <item x="470"/>
        <item x="749"/>
        <item x="322"/>
        <item x="1516"/>
        <item x="1439"/>
        <item x="1760"/>
        <item x="496"/>
        <item x="1004"/>
        <item x="857"/>
        <item x="1093"/>
        <item x="1861"/>
        <item x="229"/>
        <item x="1691"/>
        <item x="1327"/>
        <item x="301"/>
        <item x="292"/>
        <item x="1108"/>
        <item x="1498"/>
        <item x="1445"/>
        <item x="664"/>
        <item x="1086"/>
        <item x="1790"/>
        <item x="216"/>
        <item x="501"/>
        <item x="906"/>
        <item x="1128"/>
        <item x="646"/>
        <item x="488"/>
        <item x="621"/>
        <item x="804"/>
        <item x="479"/>
        <item x="218"/>
        <item x="960"/>
        <item x="1628"/>
        <item x="1198"/>
        <item x="1387"/>
        <item x="1279"/>
        <item x="516"/>
        <item x="1037"/>
        <item x="1489"/>
        <item x="225"/>
        <item x="361"/>
        <item x="454"/>
        <item x="865"/>
        <item x="1698"/>
        <item x="1121"/>
        <item x="345"/>
        <item x="1592"/>
        <item x="129"/>
        <item x="945"/>
        <item x="51"/>
        <item x="492"/>
        <item x="809"/>
        <item x="1461"/>
        <item x="835"/>
        <item x="997"/>
        <item x="756"/>
        <item x="199"/>
        <item x="1510"/>
        <item x="1513"/>
        <item x="578"/>
        <item x="920"/>
        <item x="1770"/>
        <item x="90"/>
        <item x="450"/>
        <item x="1726"/>
        <item x="169"/>
        <item x="1544"/>
        <item x="625"/>
        <item x="1392"/>
        <item x="1776"/>
        <item x="655"/>
        <item x="834"/>
        <item x="671"/>
        <item x="110"/>
        <item x="1389"/>
        <item x="811"/>
        <item x="596"/>
        <item x="485"/>
        <item x="1788"/>
        <item x="328"/>
        <item x="1003"/>
        <item x="1077"/>
        <item x="840"/>
        <item x="1104"/>
        <item x="1644"/>
        <item x="178"/>
        <item x="359"/>
        <item x="167"/>
        <item x="378"/>
        <item x="428"/>
        <item x="783"/>
        <item x="1283"/>
        <item x="1703"/>
        <item x="948"/>
        <item x="667"/>
        <item x="1743"/>
        <item x="1305"/>
        <item x="1810"/>
        <item x="1463"/>
        <item x="1870"/>
        <item x="6"/>
        <item x="489"/>
        <item x="944"/>
        <item x="202"/>
        <item x="874"/>
        <item x="1246"/>
        <item x="1852"/>
        <item x="438"/>
        <item x="17"/>
        <item x="896"/>
        <item x="1494"/>
        <item x="572"/>
        <item x="1034"/>
        <item x="394"/>
        <item x="649"/>
        <item x="375"/>
        <item x="1154"/>
        <item x="351"/>
        <item x="514"/>
        <item x="1704"/>
        <item x="1427"/>
        <item x="123"/>
        <item x="1431"/>
        <item x="1377"/>
        <item x="471"/>
        <item x="1177"/>
        <item x="153"/>
        <item x="1584"/>
        <item x="182"/>
        <item x="1337"/>
        <item x="1100"/>
        <item x="1500"/>
        <item x="983"/>
        <item x="252"/>
        <item x="1491"/>
        <item x="799"/>
        <item x="807"/>
        <item x="844"/>
        <item x="963"/>
        <item x="507"/>
        <item x="475"/>
        <item x="1672"/>
        <item x="12"/>
        <item x="1073"/>
        <item x="1443"/>
        <item x="364"/>
        <item x="1192"/>
        <item x="1733"/>
        <item x="195"/>
        <item x="455"/>
        <item x="758"/>
        <item x="1195"/>
        <item x="94"/>
        <item x="25"/>
        <item x="1626"/>
        <item x="200"/>
        <item x="947"/>
        <item x="1179"/>
        <item x="924"/>
        <item x="693"/>
        <item x="431"/>
        <item x="817"/>
        <item x="1872"/>
        <item x="752"/>
        <item x="1142"/>
        <item x="1751"/>
        <item x="929"/>
        <item x="1570"/>
        <item x="517"/>
        <item x="400"/>
        <item x="626"/>
        <item x="198"/>
        <item x="566"/>
        <item x="708"/>
        <item x="529"/>
        <item x="109"/>
        <item x="373"/>
        <item x="537"/>
        <item x="235"/>
        <item x="569"/>
        <item x="887"/>
        <item x="951"/>
        <item x="1538"/>
        <item x="718"/>
        <item x="1101"/>
        <item x="1096"/>
        <item x="1868"/>
        <item x="842"/>
        <item x="702"/>
        <item x="1321"/>
        <item x="30"/>
        <item x="955"/>
        <item x="653"/>
        <item x="324"/>
        <item x="1490"/>
        <item x="1163"/>
        <item x="515"/>
        <item x="911"/>
        <item x="1493"/>
        <item x="984"/>
        <item x="276"/>
        <item x="240"/>
        <item x="897"/>
        <item x="1395"/>
        <item x="1712"/>
        <item x="1342"/>
        <item x="203"/>
        <item x="142"/>
        <item x="1556"/>
        <item x="1602"/>
        <item x="1373"/>
        <item x="415"/>
        <item x="611"/>
        <item x="465"/>
        <item x="1002"/>
        <item x="727"/>
        <item x="1781"/>
        <item x="750"/>
        <item x="1026"/>
        <item x="494"/>
        <item x="885"/>
        <item x="1719"/>
        <item x="1573"/>
        <item x="1779"/>
        <item x="310"/>
        <item x="1255"/>
        <item x="683"/>
        <item x="570"/>
        <item x="1676"/>
        <item x="1631"/>
        <item x="673"/>
        <item x="914"/>
        <item x="34"/>
        <item x="1665"/>
        <item x="1787"/>
        <item x="1668"/>
        <item x="1694"/>
        <item x="1202"/>
        <item x="1175"/>
        <item x="1376"/>
        <item x="285"/>
        <item x="323"/>
        <item x="668"/>
        <item x="60"/>
        <item x="530"/>
        <item x="139"/>
        <item x="1385"/>
        <item x="311"/>
        <item x="1351"/>
        <item x="1664"/>
        <item x="1291"/>
        <item x="663"/>
        <item x="340"/>
        <item x="130"/>
        <item x="656"/>
        <item x="136"/>
        <item x="685"/>
        <item x="1757"/>
        <item x="189"/>
        <item x="402"/>
        <item x="594"/>
        <item x="0"/>
        <item x="332"/>
        <item x="55"/>
        <item x="1639"/>
        <item x="1338"/>
        <item x="1559"/>
        <item x="1019"/>
        <item x="89"/>
        <item x="409"/>
        <item x="1429"/>
        <item x="1190"/>
        <item x="895"/>
        <item x="1188"/>
        <item x="1217"/>
        <item x="675"/>
        <item x="124"/>
        <item x="1296"/>
        <item x="1497"/>
        <item x="556"/>
        <item x="96"/>
        <item x="623"/>
        <item x="1569"/>
        <item x="1535"/>
        <item x="1660"/>
        <item x="294"/>
        <item x="524"/>
        <item x="1181"/>
        <item x="476"/>
        <item x="234"/>
        <item x="162"/>
        <item x="1616"/>
        <item x="614"/>
        <item x="744"/>
        <item x="1545"/>
        <item x="381"/>
        <item x="26"/>
        <item x="148"/>
        <item x="927"/>
        <item x="1"/>
        <item x="879"/>
        <item x="29"/>
        <item x="404"/>
        <item x="789"/>
        <item x="1507"/>
        <item x="1250"/>
        <item x="1001"/>
        <item x="1818"/>
        <item x="1124"/>
        <item x="964"/>
        <item x="604"/>
        <item x="143"/>
        <item x="1069"/>
        <item x="584"/>
        <item x="1576"/>
        <item x="700"/>
        <item x="207"/>
        <item x="1486"/>
        <item x="88"/>
        <item x="1145"/>
        <item x="1834"/>
        <item x="1311"/>
        <item x="91"/>
        <item x="354"/>
        <item x="725"/>
        <item x="1765"/>
        <item x="658"/>
        <item x="940"/>
        <item x="1468"/>
        <item x="1131"/>
        <item x="1218"/>
        <item x="1825"/>
        <item x="266"/>
        <item x="705"/>
        <item x="539"/>
        <item x="1875"/>
        <item x="657"/>
        <item x="841"/>
        <item x="1201"/>
        <item x="231"/>
        <item x="1620"/>
        <item x="1183"/>
        <item x="1088"/>
        <item x="1091"/>
        <item x="1309"/>
        <item x="1829"/>
        <item x="1115"/>
        <item x="1685"/>
        <item x="1147"/>
        <item x="508"/>
        <item x="612"/>
        <item x="1509"/>
        <item x="846"/>
        <item x="1470"/>
        <item x="107"/>
        <item x="1697"/>
        <item x="979"/>
        <item x="676"/>
        <item x="1648"/>
        <item x="1679"/>
        <item x="347"/>
        <item x="1005"/>
        <item x="733"/>
        <item x="1599"/>
        <item x="1515"/>
        <item x="413"/>
        <item x="1383"/>
        <item x="98"/>
        <item x="616"/>
        <item x="1159"/>
        <item x="1819"/>
        <item x="1446"/>
        <item x="1681"/>
        <item x="1477"/>
        <item x="1269"/>
        <item x="259"/>
        <item x="1607"/>
        <item x="1407"/>
        <item x="986"/>
        <item x="786"/>
        <item x="953"/>
        <item x="72"/>
        <item x="131"/>
        <item x="92"/>
        <item x="1106"/>
        <item x="974"/>
        <item x="819"/>
        <item x="532"/>
        <item x="360"/>
        <item x="1165"/>
        <item x="118"/>
        <item x="619"/>
        <item x="622"/>
        <item x="1675"/>
        <item x="805"/>
        <item x="370"/>
        <item x="1873"/>
        <item x="838"/>
        <item x="1682"/>
        <item x="721"/>
        <item x="1671"/>
        <item x="228"/>
        <item x="1302"/>
        <item x="981"/>
        <item x="1276"/>
        <item x="698"/>
        <item x="385"/>
        <item x="1874"/>
        <item x="692"/>
        <item x="1119"/>
        <item x="1609"/>
        <item x="1044"/>
        <item x="209"/>
        <item x="1140"/>
        <item x="731"/>
        <item x="1141"/>
        <item x="766"/>
        <item x="379"/>
        <item x="23"/>
        <item x="777"/>
        <item x="1601"/>
        <item x="420"/>
        <item x="389"/>
        <item x="548"/>
        <item x="1287"/>
        <item x="1265"/>
        <item x="866"/>
        <item x="573"/>
        <item x="600"/>
        <item x="1055"/>
        <item x="215"/>
        <item x="357"/>
        <item x="478"/>
        <item x="500"/>
        <item x="535"/>
        <item x="829"/>
        <item x="1259"/>
        <item x="1514"/>
        <item x="1417"/>
        <item x="1806"/>
        <item x="852"/>
        <item x="1023"/>
        <item x="1360"/>
        <item x="1551"/>
        <item x="480"/>
        <item x="302"/>
        <item x="1789"/>
        <item x="392"/>
        <item x="1184"/>
        <item x="1840"/>
        <item x="1527"/>
        <item x="1686"/>
        <item x="810"/>
        <item x="353"/>
        <item x="691"/>
        <item x="975"/>
        <item x="558"/>
        <item x="630"/>
        <item x="606"/>
        <item x="419"/>
        <item x="238"/>
        <item x="1211"/>
        <item x="396"/>
        <item x="1560"/>
        <item x="337"/>
        <item x="1286"/>
        <item x="1068"/>
        <item x="818"/>
        <item x="1519"/>
        <item x="1079"/>
        <item x="1080"/>
        <item x="1687"/>
        <item x="861"/>
        <item x="1655"/>
        <item x="706"/>
        <item x="263"/>
        <item x="1313"/>
        <item x="181"/>
        <item x="554"/>
        <item x="1229"/>
        <item x="71"/>
        <item x="669"/>
        <item x="405"/>
        <item x="1641"/>
        <item x="1483"/>
        <item x="1862"/>
        <item x="1880"/>
        <item x="1359"/>
        <item x="122"/>
        <item x="126"/>
        <item x="1867"/>
        <item x="1437"/>
        <item x="1613"/>
        <item x="993"/>
        <item x="1242"/>
        <item x="821"/>
        <item x="1768"/>
        <item x="10"/>
        <item x="1059"/>
        <item x="86"/>
        <item x="329"/>
        <item x="666"/>
        <item x="836"/>
        <item x="565"/>
        <item x="1812"/>
        <item x="603"/>
        <item x="859"/>
        <item x="1709"/>
        <item x="368"/>
        <item x="1030"/>
        <item x="1363"/>
        <item x="1804"/>
        <item x="1134"/>
        <item x="1054"/>
        <item x="333"/>
        <item x="290"/>
        <item x="286"/>
        <item x="325"/>
        <item x="1561"/>
        <item x="1264"/>
        <item x="256"/>
        <item x="636"/>
        <item x="627"/>
        <item x="358"/>
        <item x="644"/>
        <item x="1747"/>
        <item x="1260"/>
        <item x="434"/>
        <item x="280"/>
        <item x="771"/>
        <item x="1174"/>
        <item x="642"/>
        <item x="1245"/>
        <item x="579"/>
        <item x="1365"/>
        <item x="923"/>
        <item x="826"/>
        <item x="1534"/>
        <item x="1575"/>
        <item x="557"/>
        <item x="134"/>
        <item x="648"/>
        <item x="1110"/>
        <item x="196"/>
        <item x="839"/>
        <item x="1564"/>
        <item x="62"/>
        <item x="1740"/>
        <item x="1416"/>
        <item x="1052"/>
        <item x="321"/>
        <item x="1071"/>
        <item x="141"/>
        <item x="943"/>
        <item x="179"/>
        <item x="931"/>
        <item x="793"/>
        <item x="105"/>
        <item x="1021"/>
        <item x="726"/>
        <item x="1821"/>
        <item x="513"/>
        <item x="458"/>
        <item x="915"/>
        <item x="1256"/>
        <item x="1656"/>
        <item x="996"/>
        <item x="1549"/>
        <item x="1662"/>
        <item x="1742"/>
        <item x="435"/>
        <item x="869"/>
        <item x="376"/>
        <item x="336"/>
        <item x="592"/>
        <item x="54"/>
        <item x="1659"/>
        <item x="1386"/>
        <item x="158"/>
        <item x="452"/>
        <item x="950"/>
        <item x="1051"/>
        <item x="1371"/>
        <item x="1129"/>
        <item x="250"/>
        <item x="1885"/>
        <item x="1596"/>
        <item x="1306"/>
        <item x="484"/>
        <item x="1794"/>
        <item x="588"/>
        <item x="1553"/>
        <item x="1528"/>
        <item x="352"/>
        <item x="1292"/>
        <item x="1618"/>
        <item x="1024"/>
        <item x="1415"/>
        <item x="1634"/>
        <item x="520"/>
        <item x="1299"/>
        <item x="1797"/>
        <item x="208"/>
        <item x="1623"/>
        <item x="1754"/>
        <item x="832"/>
        <item x="1555"/>
        <item x="1472"/>
        <item x="1820"/>
        <item x="1168"/>
        <item x="1362"/>
        <item x="902"/>
        <item x="1451"/>
        <item x="1657"/>
        <item x="1739"/>
        <item x="1532"/>
        <item x="1715"/>
        <item x="246"/>
        <item x="1355"/>
        <item x="184"/>
        <item x="1408"/>
        <item x="538"/>
        <item x="1036"/>
        <item x="1707"/>
        <item x="1116"/>
        <item x="453"/>
        <item x="1065"/>
        <item x="1390"/>
        <item x="760"/>
        <item x="1807"/>
        <item x="1637"/>
        <item x="894"/>
        <item x="1695"/>
        <item x="1081"/>
        <item x="1674"/>
        <item x="1550"/>
        <item x="1571"/>
        <item x="1084"/>
        <item x="872"/>
        <item x="191"/>
        <item x="856"/>
        <item x="1008"/>
        <item x="374"/>
        <item x="1332"/>
        <item x="1734"/>
        <item x="686"/>
        <item x="1502"/>
        <item x="1615"/>
        <item x="967"/>
        <item x="913"/>
        <item x="53"/>
        <item x="580"/>
        <item x="27"/>
        <item x="1143"/>
        <item x="1200"/>
        <item x="1298"/>
        <item x="1521"/>
        <item x="688"/>
        <item x="366"/>
        <item x="1811"/>
        <item x="1464"/>
        <item x="1857"/>
        <item x="3"/>
        <item x="1542"/>
        <item x="1238"/>
        <item x="1693"/>
        <item x="272"/>
        <item x="1209"/>
        <item x="1166"/>
        <item x="1125"/>
        <item x="440"/>
        <item x="746"/>
        <item x="682"/>
        <item x="1271"/>
        <item x="922"/>
        <item x="1087"/>
        <item x="1816"/>
        <item x="1419"/>
        <item x="20"/>
        <item x="1630"/>
        <item x="634"/>
        <item x="1505"/>
        <item x="320"/>
        <item x="764"/>
        <item x="1326"/>
        <item x="48"/>
        <item x="1574"/>
        <item x="100"/>
        <item x="870"/>
        <item x="327"/>
        <item x="816"/>
        <item x="188"/>
        <item x="849"/>
        <item x="1465"/>
        <item x="307"/>
        <item x="1594"/>
        <item x="1018"/>
        <item x="1105"/>
        <item x="961"/>
        <item x="1149"/>
        <item x="1606"/>
        <item x="1369"/>
        <item x="1677"/>
        <item x="695"/>
        <item x="1717"/>
        <item x="901"/>
        <item x="884"/>
        <item x="1098"/>
        <item x="147"/>
        <item x="31"/>
        <item x="1391"/>
        <item x="1432"/>
        <item x="1049"/>
        <item x="549"/>
        <item x="774"/>
        <item x="1436"/>
        <item x="814"/>
        <item x="1329"/>
        <item x="1636"/>
        <item x="540"/>
        <item x="1097"/>
        <item x="1013"/>
        <item x="36"/>
        <item x="481"/>
        <item x="1171"/>
        <item x="1720"/>
        <item x="505"/>
        <item x="466"/>
        <item x="186"/>
        <item x="412"/>
        <item x="1764"/>
        <item x="315"/>
        <item x="237"/>
        <item x="1135"/>
        <item x="1749"/>
        <item x="1803"/>
        <item x="1214"/>
        <item x="1702"/>
        <item x="937"/>
        <item x="338"/>
        <item x="1151"/>
        <item x="609"/>
        <item x="800"/>
        <item x="1466"/>
        <item x="1067"/>
        <item x="1220"/>
        <item x="1406"/>
        <item x="504"/>
        <item x="1102"/>
        <item x="1632"/>
        <item x="1011"/>
        <item x="1865"/>
        <item x="193"/>
        <item x="1267"/>
        <item x="187"/>
        <item x="1767"/>
        <item x="268"/>
        <item x="482"/>
        <item x="878"/>
        <item x="1828"/>
        <item x="114"/>
        <item x="740"/>
        <item x="903"/>
        <item x="121"/>
        <item x="1766"/>
        <item x="1340"/>
        <item x="296"/>
        <item x="1499"/>
        <item x="1312"/>
        <item x="457"/>
        <item x="309"/>
        <item x="461"/>
        <item x="430"/>
        <item x="497"/>
        <item x="288"/>
        <item x="828"/>
        <item x="542"/>
        <item x="510"/>
        <item x="281"/>
        <item x="590"/>
        <item x="1696"/>
        <item x="462"/>
        <item x="468"/>
        <item x="467"/>
        <item x="1558"/>
        <item x="1199"/>
        <item x="1126"/>
        <item x="1418"/>
        <item x="1837"/>
        <item x="665"/>
        <item x="999"/>
        <item x="339"/>
        <item x="608"/>
        <item x="429"/>
        <item x="597"/>
        <item x="239"/>
        <item x="156"/>
        <item x="680"/>
        <item x="1273"/>
        <item x="992"/>
        <item x="2"/>
        <item x="820"/>
        <item x="112"/>
        <item x="629"/>
        <item x="152"/>
        <item x="932"/>
        <item x="1523"/>
        <item x="1278"/>
        <item x="451"/>
        <item x="1285"/>
        <item x="95"/>
        <item x="1375"/>
        <item x="1724"/>
        <item x="1339"/>
        <item x="1546"/>
        <item x="157"/>
        <item x="770"/>
        <item x="643"/>
        <item x="1854"/>
        <item x="871"/>
        <item x="757"/>
        <item x="257"/>
        <item x="1304"/>
        <item x="933"/>
        <item x="177"/>
        <item x="1213"/>
        <item x="1028"/>
        <item x="1504"/>
        <item x="1297"/>
        <item x="316"/>
        <item x="1266"/>
        <item x="546"/>
        <item x="792"/>
        <item x="1455"/>
        <item x="1361"/>
        <item x="486"/>
        <item x="1518"/>
        <item x="211"/>
        <item x="1249"/>
        <item x="499"/>
        <item x="219"/>
        <item x="980"/>
        <item x="645"/>
        <item x="1244"/>
        <item x="449"/>
        <item x="1701"/>
        <item x="1352"/>
        <item x="1842"/>
        <item x="1056"/>
        <item x="1562"/>
        <item x="1226"/>
        <item x="778"/>
        <item x="265"/>
        <item x="13"/>
        <item x="1884"/>
        <item x="1457"/>
        <item x="1425"/>
        <item x="1063"/>
        <item x="213"/>
        <item x="637"/>
        <item x="988"/>
        <item x="562"/>
        <item x="567"/>
        <item x="1508"/>
        <item x="864"/>
        <item x="1062"/>
        <item x="1343"/>
        <item x="1148"/>
        <item x="1118"/>
        <item x="620"/>
        <item x="1591"/>
        <item x="1647"/>
        <item x="544"/>
        <item x="1089"/>
        <item x="863"/>
        <item x="1711"/>
        <item x="77"/>
        <item x="651"/>
        <item x="921"/>
        <item x="282"/>
        <item x="729"/>
        <item x="1132"/>
        <item x="701"/>
        <item x="171"/>
        <item x="1823"/>
        <item x="1303"/>
        <item x="976"/>
        <item x="384"/>
        <item x="1582"/>
        <item x="1310"/>
        <item x="206"/>
        <item x="1798"/>
        <item x="1275"/>
        <item x="18"/>
        <item x="998"/>
        <item x="677"/>
        <item x="674"/>
        <item x="802"/>
        <item x="717"/>
        <item x="416"/>
        <item x="1666"/>
        <item x="1222"/>
        <item x="1009"/>
        <item x="1826"/>
        <item x="172"/>
        <item x="1433"/>
        <item x="1231"/>
        <item x="1808"/>
        <item x="1335"/>
        <item x="679"/>
        <item x="1374"/>
        <item x="714"/>
        <item x="1397"/>
        <item x="599"/>
        <item x="1048"/>
        <item x="1706"/>
        <item x="784"/>
        <item x="776"/>
        <item x="509"/>
        <item x="1193"/>
        <item x="1603"/>
        <item x="971"/>
        <item x="1604"/>
        <item x="1586"/>
        <item x="527"/>
        <item x="736"/>
        <item x="561"/>
        <item x="987"/>
        <item x="349"/>
        <item x="108"/>
        <item x="37"/>
        <item x="891"/>
        <item x="1382"/>
        <item x="1409"/>
        <item x="1708"/>
        <item x="224"/>
        <item x="1224"/>
        <item x="1605"/>
        <item x="1699"/>
        <item x="341"/>
        <item x="1796"/>
        <item x="1323"/>
        <item x="1678"/>
        <item x="63"/>
        <item x="1047"/>
        <item x="1043"/>
        <item x="1467"/>
        <item x="1185"/>
        <item x="526"/>
        <item x="242"/>
        <item x="1836"/>
        <item x="161"/>
        <item x="681"/>
        <item x="293"/>
        <item x="1683"/>
        <item x="715"/>
        <item x="1293"/>
        <item x="1421"/>
        <item x="1435"/>
        <item x="1012"/>
        <item x="1646"/>
        <item x="1216"/>
        <item x="472"/>
        <item x="398"/>
        <item x="972"/>
        <item x="1805"/>
        <item x="45"/>
        <item x="1288"/>
        <item x="244"/>
        <item x="1845"/>
        <item x="1585"/>
        <item x="305"/>
        <item x="137"/>
        <item x="343"/>
        <item x="498"/>
        <item x="833"/>
        <item x="43"/>
        <item x="1588"/>
        <item x="1057"/>
        <item x="1635"/>
        <item x="319"/>
        <item x="1027"/>
        <item x="393"/>
        <item x="1133"/>
        <item x="1225"/>
        <item x="1587"/>
        <item x="401"/>
        <item x="1881"/>
        <item x="1670"/>
        <item x="624"/>
        <item x="125"/>
        <item x="14"/>
        <item x="954"/>
        <item x="176"/>
        <item x="1379"/>
        <item x="1284"/>
        <item x="277"/>
        <item x="794"/>
        <item x="1367"/>
        <item x="1033"/>
        <item x="1344"/>
        <item x="1846"/>
        <item x="68"/>
        <item x="1010"/>
        <item x="1750"/>
        <item x="104"/>
        <item x="432"/>
        <item x="1762"/>
        <item x="790"/>
        <item x="1380"/>
        <item x="1543"/>
        <item x="1831"/>
        <item x="1189"/>
        <item x="710"/>
        <item x="1758"/>
        <item x="1485"/>
        <item x="1294"/>
        <item x="583"/>
        <item x="1568"/>
        <item x="1526"/>
        <item x="1045"/>
        <item x="1832"/>
        <item x="1815"/>
        <item x="1778"/>
        <item x="582"/>
        <item x="151"/>
        <item x="1020"/>
        <item x="531"/>
        <item x="408"/>
        <item x="936"/>
        <item x="1849"/>
        <item x="506"/>
        <item x="1583"/>
        <item x="1402"/>
        <item x="1669"/>
        <item x="1529"/>
        <item x="1801"/>
        <item x="477"/>
        <item x="659"/>
        <item x="632"/>
        <item x="32"/>
        <item x="1728"/>
        <item x="956"/>
        <item x="1007"/>
        <item x="1430"/>
        <item x="1864"/>
        <item x="1289"/>
        <item x="1191"/>
        <item x="443"/>
        <item x="312"/>
        <item x="267"/>
        <item x="369"/>
        <item x="831"/>
        <item x="732"/>
        <item x="909"/>
        <item x="1420"/>
        <item x="356"/>
        <item x="1120"/>
        <item x="782"/>
        <item x="1525"/>
        <item x="762"/>
        <item x="80"/>
        <item x="1156"/>
        <item x="889"/>
        <item x="1746"/>
        <item x="957"/>
        <item x="1207"/>
        <item x="703"/>
        <item x="144"/>
        <item x="1506"/>
        <item x="1356"/>
        <item x="723"/>
        <item x="342"/>
        <item x="1878"/>
        <item x="893"/>
        <item x="1830"/>
        <item x="253"/>
        <item x="425"/>
        <item x="1799"/>
        <item x="490"/>
        <item x="916"/>
        <item x="205"/>
        <item x="1487"/>
        <item x="4"/>
        <item x="1809"/>
        <item x="808"/>
        <item x="474"/>
        <item x="607"/>
        <item x="860"/>
        <item x="399"/>
        <item x="397"/>
        <item x="1300"/>
        <item x="436"/>
        <item x="469"/>
        <item x="58"/>
        <item x="713"/>
        <item x="1139"/>
        <item x="815"/>
        <item x="155"/>
        <item x="1314"/>
        <item x="1876"/>
        <item x="1863"/>
        <item x="1046"/>
        <item x="1638"/>
        <item x="1462"/>
        <item x="880"/>
        <item x="806"/>
        <item x="1775"/>
        <item x="365"/>
        <item x="289"/>
        <item x="1316"/>
        <item x="982"/>
        <item x="1035"/>
        <item x="1258"/>
        <item x="344"/>
        <item x="1317"/>
        <item x="1167"/>
        <item x="330"/>
        <item x="1197"/>
        <item x="1782"/>
        <item x="697"/>
        <item x="1016"/>
        <item x="995"/>
        <item x="719"/>
        <item x="445"/>
        <item x="765"/>
        <item x="75"/>
        <item x="348"/>
        <item x="1627"/>
        <item x="745"/>
        <item x="989"/>
        <item x="1060"/>
        <item x="1136"/>
        <item x="533"/>
        <item x="1475"/>
        <item x="1478"/>
        <item x="1123"/>
        <item x="598"/>
        <item x="1456"/>
        <item x="1597"/>
        <item x="1692"/>
        <item x="279"/>
        <item x="743"/>
        <item x="568"/>
        <item x="1274"/>
        <item x="1210"/>
        <item x="707"/>
        <item x="781"/>
        <item x="1554"/>
        <item x="226"/>
        <item x="383"/>
        <item x="331"/>
        <item x="410"/>
        <item x="1252"/>
        <item x="133"/>
        <item x="1405"/>
        <item x="1729"/>
        <item x="1307"/>
        <item x="1130"/>
        <item x="270"/>
        <item x="7"/>
        <item x="442"/>
        <item x="769"/>
        <item x="1066"/>
        <item x="1153"/>
        <item x="140"/>
        <item x="748"/>
        <item x="1524"/>
        <item x="1160"/>
        <item x="1517"/>
        <item x="1349"/>
        <item x="1280"/>
        <item x="1732"/>
        <item x="382"/>
        <item x="780"/>
        <item x="899"/>
        <item x="103"/>
        <item x="1401"/>
        <item x="910"/>
        <item x="8"/>
        <item x="1684"/>
        <item x="1247"/>
        <item x="113"/>
        <item x="117"/>
        <item x="942"/>
        <item x="1358"/>
        <item x="1423"/>
        <item x="1533"/>
        <item x="1235"/>
        <item x="1324"/>
        <item x="1480"/>
        <item x="823"/>
        <item x="1261"/>
        <item x="1721"/>
        <item x="798"/>
        <item x="631"/>
        <item x="1061"/>
        <item x="251"/>
        <item x="291"/>
        <item x="801"/>
        <item x="447"/>
        <item x="1871"/>
        <item x="1378"/>
        <item x="958"/>
        <item x="87"/>
        <item x="946"/>
        <item x="1735"/>
        <item x="1541"/>
        <item t="default"/>
      </items>
    </pivotField>
    <pivotField showAll="0"/>
    <pivotField showAll="0"/>
    <pivotField axis="axisCol" showAll="0">
      <items count="1887">
        <item x="1748"/>
        <item x="1434"/>
        <item x="773"/>
        <item x="940"/>
        <item x="1020"/>
        <item x="16"/>
        <item x="1779"/>
        <item x="85"/>
        <item x="700"/>
        <item x="305"/>
        <item x="1325"/>
        <item x="1158"/>
        <item x="1617"/>
        <item x="346"/>
        <item x="1600"/>
        <item x="686"/>
        <item x="257"/>
        <item x="386"/>
        <item x="262"/>
        <item x="832"/>
        <item x="1755"/>
        <item x="758"/>
        <item x="1173"/>
        <item x="176"/>
        <item x="1829"/>
        <item x="858"/>
        <item x="33"/>
        <item x="247"/>
        <item x="1424"/>
        <item x="234"/>
        <item x="177"/>
        <item x="1225"/>
        <item x="1770"/>
        <item x="1248"/>
        <item x="1349"/>
        <item x="1221"/>
        <item x="792"/>
        <item x="548"/>
        <item x="1597"/>
        <item x="74"/>
        <item x="1416"/>
        <item x="570"/>
        <item x="984"/>
        <item x="1318"/>
        <item x="1303"/>
        <item x="1042"/>
        <item x="1380"/>
        <item x="903"/>
        <item x="614"/>
        <item x="946"/>
        <item x="336"/>
        <item x="878"/>
        <item x="1186"/>
        <item x="1440"/>
        <item x="1112"/>
        <item x="860"/>
        <item x="721"/>
        <item x="1089"/>
        <item x="1601"/>
        <item x="416"/>
        <item x="1386"/>
        <item x="1824"/>
        <item x="1261"/>
        <item x="1171"/>
        <item x="1188"/>
        <item x="82"/>
        <item x="656"/>
        <item x="83"/>
        <item x="601"/>
        <item x="725"/>
        <item x="216"/>
        <item x="1609"/>
        <item x="1709"/>
        <item x="519"/>
        <item x="150"/>
        <item x="1356"/>
        <item x="245"/>
        <item x="630"/>
        <item x="1450"/>
        <item x="166"/>
        <item x="73"/>
        <item x="1605"/>
        <item x="1352"/>
        <item x="1845"/>
        <item x="97"/>
        <item x="1442"/>
        <item x="172"/>
        <item x="1713"/>
        <item x="250"/>
        <item x="1085"/>
        <item x="106"/>
        <item x="420"/>
        <item x="1043"/>
        <item x="643"/>
        <item x="616"/>
        <item x="1302"/>
        <item x="1404"/>
        <item x="1801"/>
        <item x="486"/>
        <item x="797"/>
        <item x="1854"/>
        <item x="1431"/>
        <item x="459"/>
        <item x="1330"/>
        <item x="1257"/>
        <item x="111"/>
        <item x="1111"/>
        <item x="1463"/>
        <item x="1234"/>
        <item x="1569"/>
        <item x="1836"/>
        <item x="1730"/>
        <item x="752"/>
        <item x="320"/>
        <item x="102"/>
        <item x="285"/>
        <item x="739"/>
        <item x="1499"/>
        <item x="1767"/>
        <item x="494"/>
        <item x="1809"/>
        <item x="931"/>
        <item x="1280"/>
        <item x="1163"/>
        <item x="1120"/>
        <item x="235"/>
        <item x="423"/>
        <item x="1844"/>
        <item x="805"/>
        <item x="1144"/>
        <item x="165"/>
        <item x="81"/>
        <item x="1388"/>
        <item x="885"/>
        <item x="214"/>
        <item x="975"/>
        <item x="1428"/>
        <item x="40"/>
        <item x="642"/>
        <item x="766"/>
        <item x="1196"/>
        <item x="549"/>
        <item x="1200"/>
        <item x="456"/>
        <item x="1880"/>
        <item x="580"/>
        <item x="1180"/>
        <item x="1882"/>
        <item x="249"/>
        <item x="146"/>
        <item x="798"/>
        <item x="853"/>
        <item x="890"/>
        <item x="893"/>
        <item x="385"/>
        <item x="1797"/>
        <item x="1851"/>
        <item x="754"/>
        <item x="1847"/>
        <item x="59"/>
        <item x="968"/>
        <item x="1462"/>
        <item x="44"/>
        <item x="1094"/>
        <item x="11"/>
        <item x="1527"/>
        <item x="284"/>
        <item x="361"/>
        <item x="436"/>
        <item x="713"/>
        <item x="1008"/>
        <item x="128"/>
        <item x="78"/>
        <item x="974"/>
        <item x="472"/>
        <item x="1156"/>
        <item x="1573"/>
        <item x="1509"/>
        <item x="856"/>
        <item x="132"/>
        <item x="665"/>
        <item x="218"/>
        <item x="762"/>
        <item x="1444"/>
        <item x="815"/>
        <item x="375"/>
        <item x="1331"/>
        <item x="1390"/>
        <item x="979"/>
        <item x="76"/>
        <item x="151"/>
        <item x="438"/>
        <item x="1776"/>
        <item x="1746"/>
        <item x="1304"/>
        <item x="850"/>
        <item x="1484"/>
        <item x="1213"/>
        <item x="229"/>
        <item x="1637"/>
        <item x="64"/>
        <item x="1490"/>
        <item x="1075"/>
        <item x="260"/>
        <item x="673"/>
        <item x="542"/>
        <item x="526"/>
        <item x="1028"/>
        <item x="1724"/>
        <item x="777"/>
        <item x="1044"/>
        <item x="490"/>
        <item x="1781"/>
        <item x="594"/>
        <item x="1418"/>
        <item x="65"/>
        <item x="28"/>
        <item x="296"/>
        <item x="557"/>
        <item x="1004"/>
        <item x="1169"/>
        <item x="1504"/>
        <item x="667"/>
        <item x="316"/>
        <item x="9"/>
        <item x="1568"/>
        <item x="1092"/>
        <item x="169"/>
        <item x="401"/>
        <item x="1146"/>
        <item x="1437"/>
        <item x="1344"/>
        <item x="1853"/>
        <item x="1217"/>
        <item x="1195"/>
        <item x="206"/>
        <item x="1818"/>
        <item x="826"/>
        <item x="944"/>
        <item x="1178"/>
        <item x="689"/>
        <item x="1059"/>
        <item x="710"/>
        <item x="1653"/>
        <item x="358"/>
        <item x="1479"/>
        <item x="1368"/>
        <item x="1152"/>
        <item x="1553"/>
        <item x="192"/>
        <item x="272"/>
        <item x="1642"/>
        <item x="1481"/>
        <item x="487"/>
        <item x="1405"/>
        <item x="1856"/>
        <item x="1109"/>
        <item x="1110"/>
        <item x="1658"/>
        <item x="1082"/>
        <item x="415"/>
        <item x="1858"/>
        <item x="1274"/>
        <item x="1482"/>
        <item x="194"/>
        <item x="1387"/>
        <item x="1065"/>
        <item x="695"/>
        <item x="814"/>
        <item x="1645"/>
        <item x="939"/>
        <item x="880"/>
        <item x="355"/>
        <item x="1321"/>
        <item x="225"/>
        <item x="1451"/>
        <item x="15"/>
        <item x="24"/>
        <item x="160"/>
        <item x="1125"/>
        <item x="67"/>
        <item x="115"/>
        <item x="1584"/>
        <item x="275"/>
        <item x="982"/>
        <item x="61"/>
        <item x="1759"/>
        <item x="1114"/>
        <item x="1226"/>
        <item x="934"/>
        <item x="1265"/>
        <item x="627"/>
        <item x="1208"/>
        <item x="351"/>
        <item x="1524"/>
        <item x="879"/>
        <item x="42"/>
        <item x="1602"/>
        <item x="400"/>
        <item x="227"/>
        <item x="654"/>
        <item x="784"/>
        <item x="719"/>
        <item x="851"/>
        <item x="709"/>
        <item x="905"/>
        <item x="520"/>
        <item x="515"/>
        <item x="6"/>
        <item x="558"/>
        <item x="446"/>
        <item x="666"/>
        <item x="1562"/>
        <item x="897"/>
        <item x="1290"/>
        <item x="1681"/>
        <item x="652"/>
        <item x="1576"/>
        <item x="919"/>
        <item x="1537"/>
        <item x="854"/>
        <item x="1247"/>
        <item x="1052"/>
        <item x="676"/>
        <item x="648"/>
        <item x="932"/>
        <item x="757"/>
        <item x="1635"/>
        <item x="692"/>
        <item x="1336"/>
        <item x="1881"/>
        <item x="286"/>
        <item x="913"/>
        <item x="38"/>
        <item x="310"/>
        <item x="892"/>
        <item x="1750"/>
        <item x="390"/>
        <item x="1322"/>
        <item x="1069"/>
        <item x="421"/>
        <item x="1141"/>
        <item x="1223"/>
        <item x="1557"/>
        <item x="60"/>
        <item x="517"/>
        <item x="293"/>
        <item x="900"/>
        <item x="876"/>
        <item x="760"/>
        <item x="304"/>
        <item x="589"/>
        <item x="1443"/>
        <item x="376"/>
        <item x="1791"/>
        <item x="49"/>
        <item x="770"/>
        <item x="506"/>
        <item x="641"/>
        <item x="697"/>
        <item x="705"/>
        <item x="427"/>
        <item x="1384"/>
        <item x="1787"/>
        <item x="514"/>
        <item x="222"/>
        <item x="51"/>
        <item x="1620"/>
        <item x="1516"/>
        <item x="1070"/>
        <item x="1536"/>
        <item x="460"/>
        <item x="1392"/>
        <item x="197"/>
        <item x="1395"/>
        <item x="1849"/>
        <item x="137"/>
        <item x="547"/>
        <item x="312"/>
        <item x="953"/>
        <item x="1198"/>
        <item x="175"/>
        <item x="1526"/>
        <item x="1622"/>
        <item x="811"/>
        <item x="917"/>
        <item x="470"/>
        <item x="1875"/>
        <item x="130"/>
        <item x="22"/>
        <item x="492"/>
        <item x="949"/>
        <item x="510"/>
        <item x="659"/>
        <item x="1669"/>
        <item x="1533"/>
        <item x="882"/>
        <item x="819"/>
        <item x="1587"/>
        <item x="972"/>
        <item x="916"/>
        <item x="891"/>
        <item x="1703"/>
        <item x="1812"/>
        <item x="516"/>
        <item x="69"/>
        <item x="1074"/>
        <item x="1010"/>
        <item x="363"/>
        <item x="574"/>
        <item x="1588"/>
        <item x="1470"/>
        <item x="870"/>
        <item x="1310"/>
        <item x="422"/>
        <item x="1744"/>
        <item x="1036"/>
        <item x="1459"/>
        <item x="655"/>
        <item x="1811"/>
        <item x="47"/>
        <item x="167"/>
        <item x="1232"/>
        <item x="1375"/>
        <item x="223"/>
        <item x="1364"/>
        <item x="1684"/>
        <item x="279"/>
        <item x="1492"/>
        <item x="559"/>
        <item x="149"/>
        <item x="538"/>
        <item x="231"/>
        <item x="967"/>
        <item x="1737"/>
        <item x="1656"/>
        <item x="1142"/>
        <item x="124"/>
        <item x="1618"/>
        <item x="116"/>
        <item x="70"/>
        <item x="731"/>
        <item x="1233"/>
        <item x="923"/>
        <item x="849"/>
        <item x="701"/>
        <item x="1723"/>
        <item x="324"/>
        <item x="1164"/>
        <item x="576"/>
        <item x="1650"/>
        <item x="1695"/>
        <item x="1718"/>
        <item x="1611"/>
        <item x="1285"/>
        <item x="211"/>
        <item x="527"/>
        <item x="806"/>
        <item x="1207"/>
        <item x="170"/>
        <item x="843"/>
        <item x="419"/>
        <item x="750"/>
        <item x="605"/>
        <item x="957"/>
        <item x="1157"/>
        <item x="129"/>
        <item x="664"/>
        <item x="1631"/>
        <item x="164"/>
        <item x="1314"/>
        <item x="1660"/>
        <item x="742"/>
        <item x="901"/>
        <item x="1789"/>
        <item x="1398"/>
        <item x="935"/>
        <item x="991"/>
        <item x="1726"/>
        <item x="1093"/>
        <item x="430"/>
        <item x="1338"/>
        <item x="785"/>
        <item x="50"/>
        <item x="1273"/>
        <item x="1299"/>
        <item x="910"/>
        <item x="1230"/>
        <item x="924"/>
        <item x="837"/>
        <item x="1782"/>
        <item x="717"/>
        <item x="1580"/>
        <item x="562"/>
        <item x="1688"/>
        <item x="675"/>
        <item x="1414"/>
        <item x="950"/>
        <item x="585"/>
        <item x="254"/>
        <item x="670"/>
        <item x="1263"/>
        <item x="669"/>
        <item x="1258"/>
        <item x="299"/>
        <item x="110"/>
        <item x="644"/>
        <item x="1810"/>
        <item x="1179"/>
        <item x="586"/>
        <item x="57"/>
        <item x="1245"/>
        <item x="1465"/>
        <item x="1859"/>
        <item x="1313"/>
        <item x="1485"/>
        <item x="46"/>
        <item x="1254"/>
        <item x="203"/>
        <item x="191"/>
        <item x="307"/>
        <item x="212"/>
        <item x="1083"/>
        <item x="1643"/>
        <item x="281"/>
        <item x="1454"/>
        <item x="1634"/>
        <item x="809"/>
        <item x="625"/>
        <item x="66"/>
        <item x="1616"/>
        <item x="577"/>
        <item x="1493"/>
        <item x="600"/>
        <item x="1153"/>
        <item x="1204"/>
        <item x="90"/>
        <item x="1072"/>
        <item x="1090"/>
        <item x="1076"/>
        <item x="123"/>
        <item x="354"/>
        <item x="663"/>
        <item x="118"/>
        <item x="1159"/>
        <item x="618"/>
        <item x="1421"/>
        <item x="301"/>
        <item x="748"/>
        <item x="528"/>
        <item x="1371"/>
        <item x="502"/>
        <item x="1354"/>
        <item x="1117"/>
        <item x="1519"/>
        <item x="848"/>
        <item x="1802"/>
        <item x="712"/>
        <item x="1100"/>
        <item x="1625"/>
        <item x="522"/>
        <item x="258"/>
        <item x="135"/>
        <item x="839"/>
        <item x="1134"/>
        <item x="1251"/>
        <item x="1738"/>
        <item x="499"/>
        <item x="1236"/>
        <item x="1460"/>
        <item x="198"/>
        <item x="1804"/>
        <item x="1385"/>
        <item x="1402"/>
        <item x="535"/>
        <item x="319"/>
        <item x="94"/>
        <item x="1857"/>
        <item x="1545"/>
        <item x="448"/>
        <item x="389"/>
        <item x="263"/>
        <item x="863"/>
        <item x="649"/>
        <item x="54"/>
        <item x="276"/>
        <item x="1520"/>
        <item x="1714"/>
        <item x="1719"/>
        <item x="1039"/>
        <item x="859"/>
        <item x="371"/>
        <item x="1407"/>
        <item x="1596"/>
        <item x="911"/>
        <item x="1441"/>
        <item x="1636"/>
        <item x="35"/>
        <item x="1184"/>
        <item x="1747"/>
        <item x="1572"/>
        <item x="126"/>
        <item x="1077"/>
        <item x="1567"/>
        <item x="1558"/>
        <item x="771"/>
        <item x="185"/>
        <item x="1885"/>
        <item x="219"/>
        <item x="1721"/>
        <item x="794"/>
        <item x="1244"/>
        <item x="1342"/>
        <item x="1863"/>
        <item x="1729"/>
        <item x="1432"/>
        <item x="1295"/>
        <item x="353"/>
        <item x="1768"/>
        <item x="1419"/>
        <item x="315"/>
        <item x="521"/>
        <item x="1332"/>
        <item x="394"/>
        <item x="723"/>
        <item x="1529"/>
        <item x="224"/>
        <item x="1447"/>
        <item x="1167"/>
        <item x="609"/>
        <item x="1652"/>
        <item x="945"/>
        <item x="1814"/>
        <item x="1710"/>
        <item x="182"/>
        <item x="251"/>
        <item x="637"/>
        <item x="1803"/>
        <item x="1215"/>
        <item x="475"/>
        <item x="855"/>
        <item x="1035"/>
        <item x="619"/>
        <item x="1666"/>
        <item x="970"/>
        <item x="147"/>
        <item x="1360"/>
        <item x="1249"/>
        <item x="554"/>
        <item x="1235"/>
        <item x="243"/>
        <item x="1176"/>
        <item x="359"/>
        <item x="1769"/>
        <item x="242"/>
        <item x="1422"/>
        <item x="544"/>
        <item x="551"/>
        <item x="1210"/>
        <item x="107"/>
        <item x="444"/>
        <item x="995"/>
        <item x="217"/>
        <item x="796"/>
        <item x="651"/>
        <item x="161"/>
        <item x="1124"/>
        <item x="328"/>
        <item x="1500"/>
        <item x="1838"/>
        <item x="672"/>
        <item x="142"/>
        <item x="1357"/>
        <item x="1096"/>
        <item x="441"/>
        <item x="518"/>
        <item x="1115"/>
        <item x="1040"/>
        <item x="1170"/>
        <item x="1288"/>
        <item x="857"/>
        <item x="1145"/>
        <item x="1717"/>
        <item x="89"/>
        <item x="325"/>
        <item x="180"/>
        <item x="844"/>
        <item x="1095"/>
        <item x="122"/>
        <item x="1435"/>
        <item x="1784"/>
        <item x="493"/>
        <item x="821"/>
        <item x="611"/>
        <item x="265"/>
        <item x="79"/>
        <item x="454"/>
        <item x="943"/>
        <item x="736"/>
        <item x="36"/>
        <item x="722"/>
        <item x="1151"/>
        <item x="1260"/>
        <item x="1401"/>
        <item x="1034"/>
        <item x="1731"/>
        <item x="273"/>
        <item x="1187"/>
        <item x="1391"/>
        <item x="1808"/>
        <item x="1192"/>
        <item x="1540"/>
        <item x="233"/>
        <item x="1525"/>
        <item x="139"/>
        <item x="1098"/>
        <item x="1638"/>
        <item x="671"/>
        <item x="1502"/>
        <item x="1275"/>
        <item x="908"/>
        <item x="1340"/>
        <item x="1078"/>
        <item x="183"/>
        <item x="612"/>
        <item x="1534"/>
        <item x="186"/>
        <item x="1632"/>
        <item x="1706"/>
        <item x="1461"/>
        <item x="621"/>
        <item x="144"/>
        <item x="238"/>
        <item x="1430"/>
        <item x="425"/>
        <item x="996"/>
        <item x="30"/>
        <item x="650"/>
        <item x="302"/>
        <item x="617"/>
        <item x="25"/>
        <item x="1262"/>
        <item x="788"/>
        <item x="378"/>
        <item x="465"/>
        <item x="1664"/>
        <item x="632"/>
        <item x="1382"/>
        <item x="569"/>
        <item x="1449"/>
        <item x="1715"/>
        <item x="1821"/>
        <item x="1551"/>
        <item x="1227"/>
        <item x="256"/>
        <item x="1469"/>
        <item x="99"/>
        <item x="366"/>
        <item x="384"/>
        <item x="1480"/>
        <item x="865"/>
        <item x="610"/>
        <item x="119"/>
        <item x="1673"/>
        <item x="1522"/>
        <item x="1135"/>
        <item x="563"/>
        <item x="729"/>
        <item x="1269"/>
        <item x="1775"/>
        <item x="370"/>
        <item x="1772"/>
        <item x="1229"/>
        <item x="604"/>
        <item x="187"/>
        <item x="592"/>
        <item x="1826"/>
        <item x="184"/>
        <item x="787"/>
        <item x="240"/>
        <item x="1021"/>
        <item x="895"/>
        <item x="300"/>
        <item x="277"/>
        <item x="1871"/>
        <item x="1108"/>
        <item x="1197"/>
        <item x="1798"/>
        <item x="496"/>
        <item x="1270"/>
        <item x="680"/>
        <item x="852"/>
        <item x="1628"/>
        <item x="457"/>
        <item x="52"/>
        <item x="564"/>
        <item x="105"/>
        <item x="887"/>
        <item x="1841"/>
        <item x="1675"/>
        <item x="1033"/>
        <item x="1281"/>
        <item x="842"/>
        <item x="1697"/>
        <item x="326"/>
        <item x="168"/>
        <item x="440"/>
        <item x="1832"/>
        <item x="391"/>
        <item x="2"/>
        <item x="1183"/>
        <item x="387"/>
        <item x="1439"/>
        <item x="96"/>
        <item x="1066"/>
        <item x="120"/>
        <item x="836"/>
        <item x="593"/>
        <item x="1626"/>
        <item x="1835"/>
        <item x="1790"/>
        <item x="753"/>
        <item x="308"/>
        <item x="1452"/>
        <item x="393"/>
        <item x="1740"/>
        <item x="1320"/>
        <item x="1840"/>
        <item x="571"/>
        <item x="1830"/>
        <item x="658"/>
        <item x="1104"/>
        <item x="479"/>
        <item x="155"/>
        <item x="283"/>
        <item x="789"/>
        <item x="1041"/>
        <item x="755"/>
        <item x="696"/>
        <item x="990"/>
        <item x="196"/>
        <item x="533"/>
        <item x="1741"/>
        <item x="1137"/>
        <item x="72"/>
        <item x="1765"/>
        <item x="936"/>
        <item x="127"/>
        <item x="143"/>
        <item x="735"/>
        <item x="1742"/>
        <item x="1237"/>
        <item x="738"/>
        <item x="287"/>
        <item x="1868"/>
        <item x="288"/>
        <item x="335"/>
        <item x="1333"/>
        <item x="1438"/>
        <item x="411"/>
        <item x="1788"/>
        <item x="1589"/>
        <item x="635"/>
        <item x="1711"/>
        <item x="437"/>
        <item x="1317"/>
        <item x="543"/>
        <item x="550"/>
        <item x="1410"/>
        <item x="462"/>
        <item x="1704"/>
        <item x="1654"/>
        <item x="270"/>
        <item x="964"/>
        <item x="718"/>
        <item x="199"/>
        <item x="747"/>
        <item x="1025"/>
        <item x="433"/>
        <item x="1476"/>
        <item x="971"/>
        <item x="189"/>
        <item x="763"/>
        <item x="1477"/>
        <item x="715"/>
        <item x="1241"/>
        <item x="248"/>
        <item x="1102"/>
        <item x="1413"/>
        <item x="131"/>
        <item x="1425"/>
        <item x="620"/>
        <item x="501"/>
        <item x="329"/>
        <item x="1307"/>
        <item x="1406"/>
        <item x="1640"/>
        <item x="1566"/>
        <item x="1582"/>
        <item x="1680"/>
        <item x="740"/>
        <item x="1629"/>
        <item x="1530"/>
        <item x="1494"/>
        <item x="1696"/>
        <item x="1296"/>
        <item x="1054"/>
        <item x="1716"/>
        <item x="1702"/>
        <item x="1214"/>
        <item x="1565"/>
        <item x="274"/>
        <item x="1495"/>
        <item x="230"/>
        <item x="1792"/>
        <item x="884"/>
        <item x="1190"/>
        <item x="743"/>
        <item x="289"/>
        <item x="769"/>
        <item x="1023"/>
        <item x="1107"/>
        <item x="1327"/>
        <item x="933"/>
        <item x="1128"/>
        <item x="1736"/>
        <item x="1326"/>
        <item x="1825"/>
        <item x="291"/>
        <item x="1627"/>
        <item x="553"/>
        <item x="1113"/>
        <item x="1655"/>
        <item x="330"/>
        <item x="1773"/>
        <item x="687"/>
        <item x="84"/>
        <item x="1843"/>
        <item x="1050"/>
        <item x="584"/>
        <item x="1409"/>
        <item x="512"/>
        <item x="347"/>
        <item x="92"/>
        <item x="491"/>
        <item x="765"/>
        <item x="1649"/>
        <item x="1429"/>
        <item x="623"/>
        <item x="100"/>
        <item x="820"/>
        <item x="484"/>
        <item x="1166"/>
        <item x="350"/>
        <item x="412"/>
        <item x="668"/>
        <item x="835"/>
        <item x="309"/>
        <item x="338"/>
        <item x="464"/>
        <item x="1878"/>
        <item x="1433"/>
        <item x="756"/>
        <item x="540"/>
        <item x="867"/>
        <item x="1224"/>
        <item x="1592"/>
        <item x="95"/>
        <item x="1018"/>
        <item x="362"/>
        <item x="572"/>
        <item x="1291"/>
        <item x="1701"/>
        <item x="871"/>
        <item x="1651"/>
        <item x="886"/>
        <item x="334"/>
        <item x="482"/>
        <item x="1348"/>
        <item x="162"/>
        <item x="108"/>
        <item x="1168"/>
        <item x="88"/>
        <item x="136"/>
        <item x="902"/>
        <item x="1457"/>
        <item x="556"/>
        <item x="1870"/>
        <item x="827"/>
        <item x="480"/>
        <item x="631"/>
        <item x="1644"/>
        <item x="1367"/>
        <item x="583"/>
        <item x="1024"/>
        <item x="395"/>
        <item x="595"/>
        <item x="1852"/>
        <item x="645"/>
        <item x="1578"/>
        <item x="418"/>
        <item x="1685"/>
        <item x="1877"/>
        <item x="1256"/>
        <item x="1665"/>
        <item x="200"/>
        <item x="1541"/>
        <item x="679"/>
        <item x="831"/>
        <item x="159"/>
        <item x="1343"/>
        <item x="237"/>
        <item x="922"/>
        <item x="1026"/>
        <item x="1570"/>
        <item x="1807"/>
        <item x="13"/>
        <item x="1555"/>
        <item x="1612"/>
        <item x="864"/>
        <item x="1315"/>
        <item x="1783"/>
        <item x="298"/>
        <item x="824"/>
        <item x="561"/>
        <item x="1259"/>
        <item x="500"/>
        <item x="432"/>
        <item x="1181"/>
        <item x="91"/>
        <item x="868"/>
        <item x="1068"/>
        <item x="236"/>
        <item x="1676"/>
        <item x="104"/>
        <item x="1517"/>
        <item x="1503"/>
        <item x="396"/>
        <item x="306"/>
        <item x="153"/>
        <item x="1647"/>
        <item x="962"/>
        <item x="1131"/>
        <item x="1850"/>
        <item x="688"/>
        <item x="1212"/>
        <item x="341"/>
        <item x="1311"/>
        <item x="1607"/>
        <item x="93"/>
        <item x="481"/>
        <item x="1691"/>
        <item x="1073"/>
        <item x="524"/>
        <item x="468"/>
        <item x="1374"/>
        <item x="478"/>
        <item x="1324"/>
        <item x="1872"/>
        <item x="39"/>
        <item x="629"/>
        <item x="1613"/>
        <item x="27"/>
        <item x="48"/>
        <item x="98"/>
        <item x="1766"/>
        <item x="134"/>
        <item x="513"/>
        <item x="539"/>
        <item x="977"/>
        <item x="1507"/>
        <item x="1667"/>
        <item x="1687"/>
        <item x="1690"/>
        <item x="349"/>
        <item x="1396"/>
        <item x="269"/>
        <item x="1193"/>
        <item x="1148"/>
        <item x="1591"/>
        <item x="140"/>
        <item x="587"/>
        <item x="1116"/>
        <item x="1780"/>
        <item x="1282"/>
        <item x="573"/>
        <item x="205"/>
        <item x="1473"/>
        <item x="294"/>
        <item x="202"/>
        <item x="29"/>
        <item x="677"/>
        <item x="1220"/>
        <item x="1614"/>
        <item x="204"/>
        <item x="1554"/>
        <item x="813"/>
        <item x="1542"/>
        <item x="1412"/>
        <item x="1149"/>
        <item x="1538"/>
        <item x="101"/>
        <item x="1816"/>
        <item x="1051"/>
        <item x="314"/>
        <item x="1753"/>
        <item x="20"/>
        <item x="1865"/>
        <item x="1000"/>
        <item x="1403"/>
        <item x="1883"/>
        <item x="1031"/>
        <item x="1271"/>
        <item x="1079"/>
        <item x="154"/>
        <item x="552"/>
        <item x="706"/>
        <item x="989"/>
        <item x="220"/>
        <item x="1297"/>
        <item x="1663"/>
        <item x="847"/>
        <item x="1308"/>
        <item x="994"/>
        <item x="537"/>
        <item x="846"/>
        <item x="575"/>
        <item x="323"/>
        <item x="704"/>
        <item x="3"/>
        <item x="379"/>
        <item x="228"/>
        <item x="1341"/>
        <item x="1546"/>
        <item x="1172"/>
        <item x="1672"/>
        <item x="1067"/>
        <item x="529"/>
        <item x="1445"/>
        <item x="928"/>
        <item x="1097"/>
        <item x="41"/>
        <item x="560"/>
        <item x="463"/>
        <item x="1427"/>
        <item x="56"/>
        <item x="1861"/>
        <item x="1633"/>
        <item x="377"/>
        <item x="985"/>
        <item x="313"/>
        <item x="1604"/>
        <item x="948"/>
        <item x="634"/>
        <item x="969"/>
        <item x="790"/>
        <item x="976"/>
        <item x="1848"/>
        <item x="1123"/>
        <item x="413"/>
        <item x="703"/>
        <item x="1727"/>
        <item x="246"/>
        <item x="388"/>
        <item x="409"/>
        <item x="956"/>
        <item x="791"/>
        <item x="1091"/>
        <item x="1466"/>
        <item x="930"/>
        <item x="690"/>
        <item x="929"/>
        <item x="1646"/>
        <item x="1139"/>
        <item x="1182"/>
        <item x="1603"/>
        <item x="1216"/>
        <item x="830"/>
        <item x="711"/>
        <item x="734"/>
        <item x="1366"/>
        <item x="599"/>
        <item x="138"/>
        <item x="707"/>
        <item x="5"/>
        <item x="1276"/>
        <item x="87"/>
        <item x="1019"/>
        <item x="477"/>
        <item x="1346"/>
        <item x="958"/>
        <item x="171"/>
        <item x="1564"/>
        <item x="173"/>
        <item x="215"/>
        <item x="1007"/>
        <item x="800"/>
        <item x="278"/>
        <item x="1372"/>
        <item x="19"/>
        <item x="926"/>
        <item x="938"/>
        <item x="1475"/>
        <item x="1155"/>
        <item x="691"/>
        <item x="640"/>
        <item x="1583"/>
        <item x="450"/>
        <item x="772"/>
        <item x="952"/>
        <item x="352"/>
        <item x="209"/>
        <item x="404"/>
        <item x="360"/>
        <item x="714"/>
        <item x="1487"/>
        <item x="1623"/>
        <item x="21"/>
        <item x="1358"/>
        <item x="1165"/>
        <item x="829"/>
        <item x="1831"/>
        <item x="1162"/>
        <item x="1086"/>
        <item x="1764"/>
        <item x="698"/>
        <item x="1127"/>
        <item x="699"/>
        <item x="751"/>
        <item x="1231"/>
        <item x="428"/>
        <item x="405"/>
        <item x="1353"/>
        <item x="1815"/>
        <item x="201"/>
        <item x="1455"/>
        <item x="455"/>
        <item x="678"/>
        <item x="55"/>
        <item x="1219"/>
        <item x="1306"/>
        <item x="443"/>
        <item x="1105"/>
        <item x="907"/>
        <item x="1563"/>
        <item x="1057"/>
        <item x="368"/>
        <item x="295"/>
        <item x="1379"/>
        <item x="684"/>
        <item x="345"/>
        <item x="252"/>
        <item x="1250"/>
        <item x="435"/>
        <item x="530"/>
        <item x="1501"/>
        <item x="1594"/>
        <item x="568"/>
        <item x="1699"/>
        <item x="507"/>
        <item x="505"/>
        <item x="761"/>
        <item x="861"/>
        <item x="1189"/>
        <item x="1577"/>
        <item x="86"/>
        <item x="1757"/>
        <item x="578"/>
        <item x="1511"/>
        <item x="1305"/>
        <item x="1585"/>
        <item x="259"/>
        <item x="1624"/>
        <item x="1339"/>
        <item x="1436"/>
        <item x="232"/>
        <item x="1312"/>
        <item x="1486"/>
        <item x="511"/>
        <item x="280"/>
        <item x="1255"/>
        <item x="1615"/>
        <item x="1743"/>
        <item x="988"/>
        <item x="7"/>
        <item x="495"/>
        <item x="875"/>
        <item x="1118"/>
        <item x="997"/>
        <item x="449"/>
        <item x="965"/>
        <item x="1820"/>
        <item x="877"/>
        <item x="912"/>
        <item x="749"/>
        <item x="1498"/>
        <item x="1012"/>
        <item x="1126"/>
        <item x="103"/>
        <item x="674"/>
        <item x="1242"/>
        <item x="579"/>
        <item x="333"/>
        <item x="1483"/>
        <item x="925"/>
        <item x="178"/>
        <item x="133"/>
        <item x="963"/>
        <item x="1619"/>
        <item x="582"/>
        <item x="71"/>
        <item x="1574"/>
        <item x="1556"/>
        <item x="1278"/>
        <item x="793"/>
        <item x="75"/>
        <item x="1707"/>
        <item x="1678"/>
        <item x="1071"/>
        <item x="1365"/>
        <item x="14"/>
        <item x="603"/>
        <item x="581"/>
        <item x="998"/>
        <item x="1030"/>
        <item x="1641"/>
        <item x="546"/>
        <item x="152"/>
        <item x="1489"/>
        <item x="1378"/>
        <item x="1292"/>
        <item x="1866"/>
        <item x="1552"/>
        <item x="1381"/>
        <item x="1133"/>
        <item x="1218"/>
        <item x="613"/>
        <item x="1175"/>
        <item x="339"/>
        <item x="1119"/>
        <item x="986"/>
        <item x="1488"/>
        <item x="732"/>
        <item x="523"/>
        <item x="1319"/>
        <item x="483"/>
        <item x="1756"/>
        <item x="906"/>
        <item x="431"/>
        <item x="834"/>
        <item x="606"/>
        <item x="534"/>
        <item x="1289"/>
        <item x="181"/>
        <item x="1101"/>
        <item x="1016"/>
        <item x="1458"/>
        <item x="602"/>
        <item x="872"/>
        <item x="1735"/>
        <item x="1828"/>
        <item x="918"/>
        <item x="488"/>
        <item x="1733"/>
        <item x="1559"/>
        <item x="1194"/>
        <item x="17"/>
        <item x="469"/>
        <item x="451"/>
        <item x="920"/>
        <item x="193"/>
        <item x="1873"/>
        <item x="1243"/>
        <item x="685"/>
        <item x="207"/>
        <item x="1350"/>
        <item x="1846"/>
        <item x="733"/>
        <item x="1264"/>
        <item x="828"/>
        <item x="825"/>
        <item x="1037"/>
        <item x="1150"/>
        <item x="1362"/>
        <item x="1309"/>
        <item x="966"/>
        <item x="1363"/>
        <item x="555"/>
        <item x="726"/>
        <item x="1369"/>
        <item x="241"/>
        <item x="53"/>
        <item x="407"/>
        <item x="1813"/>
        <item x="356"/>
        <item x="624"/>
        <item x="1103"/>
        <item x="638"/>
        <item x="1506"/>
        <item x="1377"/>
        <item x="26"/>
        <item x="1047"/>
        <item x="782"/>
        <item x="1478"/>
        <item x="702"/>
        <item x="1001"/>
        <item x="1728"/>
        <item x="34"/>
        <item x="1081"/>
        <item x="80"/>
        <item x="1532"/>
        <item x="801"/>
        <item x="1497"/>
        <item x="888"/>
        <item x="1515"/>
        <item x="1593"/>
        <item x="1088"/>
        <item x="804"/>
        <item x="1389"/>
        <item x="1316"/>
        <item x="1659"/>
        <item x="1359"/>
        <item x="1046"/>
        <item x="1399"/>
        <item x="381"/>
        <item x="1211"/>
        <item x="775"/>
        <item x="1817"/>
        <item x="1705"/>
        <item x="955"/>
        <item x="410"/>
        <item x="1205"/>
        <item x="264"/>
        <item x="1867"/>
        <item x="992"/>
        <item x="1013"/>
        <item x="1448"/>
        <item x="117"/>
        <item x="12"/>
        <item x="282"/>
        <item x="1754"/>
        <item x="414"/>
        <item x="822"/>
        <item x="331"/>
        <item x="803"/>
        <item x="1777"/>
        <item x="365"/>
        <item x="728"/>
        <item x="474"/>
        <item x="1550"/>
        <item x="960"/>
        <item x="1056"/>
        <item x="816"/>
        <item x="1837"/>
        <item x="1549"/>
        <item x="1720"/>
        <item x="1347"/>
        <item x="1417"/>
        <item x="1508"/>
        <item x="1267"/>
        <item x="109"/>
        <item x="1468"/>
        <item x="23"/>
        <item x="942"/>
        <item x="1761"/>
        <item x="1686"/>
        <item x="10"/>
        <item x="536"/>
        <item x="1080"/>
        <item x="889"/>
        <item x="1253"/>
        <item x="694"/>
        <item x="628"/>
        <item x="565"/>
        <item x="525"/>
        <item x="498"/>
        <item x="764"/>
        <item x="1876"/>
        <item x="1199"/>
        <item x="1543"/>
        <item x="1595"/>
        <item x="1351"/>
        <item x="0"/>
        <item x="937"/>
        <item x="1606"/>
        <item x="471"/>
        <item x="873"/>
        <item x="980"/>
        <item x="745"/>
        <item x="1794"/>
        <item x="453"/>
        <item x="372"/>
        <item x="1032"/>
        <item x="646"/>
        <item x="1610"/>
        <item x="626"/>
        <item x="1087"/>
        <item x="311"/>
        <item x="429"/>
        <item x="1683"/>
        <item x="1523"/>
        <item x="1222"/>
        <item x="452"/>
        <item x="77"/>
        <item x="1053"/>
        <item x="1138"/>
        <item x="746"/>
        <item x="741"/>
        <item x="840"/>
        <item x="1778"/>
        <item x="367"/>
        <item x="1005"/>
        <item x="1006"/>
        <item x="768"/>
        <item x="898"/>
        <item x="1293"/>
        <item x="261"/>
        <item x="1763"/>
        <item x="1464"/>
        <item x="1174"/>
        <item x="337"/>
        <item x="1011"/>
        <item x="43"/>
        <item x="383"/>
        <item x="1561"/>
        <item x="591"/>
        <item x="545"/>
        <item x="1408"/>
        <item x="810"/>
        <item x="190"/>
        <item x="802"/>
        <item x="156"/>
        <item x="1300"/>
        <item x="1547"/>
        <item x="417"/>
        <item x="881"/>
        <item x="661"/>
        <item x="660"/>
        <item x="1147"/>
        <item x="1136"/>
        <item x="927"/>
        <item x="1328"/>
        <item x="1822"/>
        <item x="817"/>
        <item x="1027"/>
        <item x="1598"/>
        <item x="1423"/>
        <item x="408"/>
        <item x="267"/>
        <item x="1203"/>
        <item x="1799"/>
        <item x="862"/>
        <item x="1805"/>
        <item x="380"/>
        <item x="590"/>
        <item x="1860"/>
        <item x="112"/>
        <item x="941"/>
        <item x="58"/>
        <item x="1662"/>
        <item x="1084"/>
        <item x="467"/>
        <item x="823"/>
        <item x="1"/>
        <item x="807"/>
        <item x="981"/>
        <item x="461"/>
        <item x="343"/>
        <item x="508"/>
        <item x="983"/>
        <item x="615"/>
        <item x="239"/>
        <item x="1286"/>
        <item x="303"/>
        <item x="727"/>
        <item x="322"/>
        <item x="402"/>
        <item x="406"/>
        <item x="392"/>
        <item x="1177"/>
        <item x="588"/>
        <item x="1864"/>
        <item x="18"/>
        <item x="1510"/>
        <item x="1246"/>
        <item x="253"/>
        <item x="1751"/>
        <item x="374"/>
        <item x="466"/>
        <item x="1599"/>
        <item x="1122"/>
        <item x="1512"/>
        <item x="1571"/>
        <item x="1206"/>
        <item x="1393"/>
        <item x="973"/>
        <item x="1732"/>
        <item x="1708"/>
        <item x="68"/>
        <item x="1329"/>
        <item x="838"/>
        <item x="636"/>
        <item x="1411"/>
        <item x="458"/>
        <item x="1674"/>
        <item x="439"/>
        <item x="681"/>
        <item x="598"/>
        <item x="786"/>
        <item x="364"/>
        <item x="532"/>
        <item x="921"/>
        <item x="1029"/>
        <item x="1869"/>
        <item x="874"/>
        <item x="1491"/>
        <item x="318"/>
        <item x="1745"/>
        <item x="1009"/>
        <item x="1679"/>
        <item x="1055"/>
        <item x="596"/>
        <item x="1668"/>
        <item x="148"/>
        <item x="1590"/>
        <item x="993"/>
        <item x="1370"/>
        <item x="369"/>
        <item x="693"/>
        <item x="1535"/>
        <item x="188"/>
        <item x="914"/>
        <item x="812"/>
        <item x="485"/>
        <item x="297"/>
        <item x="899"/>
        <item x="399"/>
        <item x="1819"/>
        <item x="1383"/>
        <item x="1239"/>
        <item x="403"/>
        <item x="1839"/>
        <item x="1670"/>
        <item x="1752"/>
        <item x="327"/>
        <item x="1694"/>
        <item x="1060"/>
        <item x="1544"/>
        <item x="1323"/>
        <item x="1689"/>
        <item x="730"/>
        <item x="1795"/>
        <item x="434"/>
        <item x="622"/>
        <item x="1453"/>
        <item x="174"/>
        <item x="31"/>
        <item x="894"/>
        <item x="1833"/>
        <item x="1630"/>
        <item x="357"/>
        <item x="1785"/>
        <item x="909"/>
        <item x="62"/>
        <item x="1121"/>
        <item x="113"/>
        <item x="1786"/>
        <item x="869"/>
        <item x="947"/>
        <item x="317"/>
        <item x="1700"/>
        <item x="1518"/>
        <item x="1373"/>
        <item x="1575"/>
        <item x="1279"/>
        <item x="783"/>
        <item x="954"/>
        <item x="1471"/>
        <item x="1548"/>
        <item x="1106"/>
        <item x="145"/>
        <item x="1287"/>
        <item x="1774"/>
        <item x="1762"/>
        <item x="213"/>
        <item x="1334"/>
        <item x="1621"/>
        <item x="896"/>
        <item x="774"/>
        <item x="1693"/>
        <item x="1771"/>
        <item x="340"/>
        <item x="1202"/>
        <item x="1760"/>
        <item x="841"/>
        <item x="1337"/>
        <item x="1456"/>
        <item x="1397"/>
        <item x="158"/>
        <item x="208"/>
        <item x="226"/>
        <item x="342"/>
        <item x="647"/>
        <item x="1002"/>
        <item x="1191"/>
        <item x="1657"/>
        <item x="1539"/>
        <item x="1734"/>
        <item x="1879"/>
        <item x="1648"/>
        <item x="332"/>
        <item x="682"/>
        <item x="179"/>
        <item x="1793"/>
        <item x="1800"/>
        <item x="737"/>
        <item x="795"/>
        <item x="866"/>
        <item x="1277"/>
        <item x="1238"/>
        <item x="1842"/>
        <item x="1806"/>
        <item x="141"/>
        <item x="1201"/>
        <item x="1132"/>
        <item x="1140"/>
        <item x="1749"/>
        <item x="504"/>
        <item x="1608"/>
        <item x="4"/>
        <item x="1130"/>
        <item x="1639"/>
        <item x="373"/>
        <item x="1345"/>
        <item x="1586"/>
        <item x="744"/>
        <item x="639"/>
        <item x="1796"/>
        <item x="1420"/>
        <item x="1062"/>
        <item x="781"/>
        <item x="1058"/>
        <item x="657"/>
        <item x="210"/>
        <item x="1143"/>
        <item x="1038"/>
        <item x="1160"/>
        <item x="961"/>
        <item x="1283"/>
        <item x="497"/>
        <item x="1240"/>
        <item x="163"/>
        <item x="1185"/>
        <item x="1129"/>
        <item x="1099"/>
        <item x="1712"/>
        <item x="1531"/>
        <item x="818"/>
        <item x="266"/>
        <item x="1725"/>
        <item x="442"/>
        <item x="759"/>
        <item x="1823"/>
        <item x="121"/>
        <item x="1521"/>
        <item x="489"/>
        <item x="653"/>
        <item x="1426"/>
        <item x="662"/>
        <item x="114"/>
        <item x="779"/>
        <item x="398"/>
        <item x="1063"/>
        <item x="1855"/>
        <item x="1467"/>
        <item x="683"/>
        <item x="1513"/>
        <item x="426"/>
        <item x="1692"/>
        <item x="607"/>
        <item x="1161"/>
        <item x="32"/>
        <item x="1015"/>
        <item x="999"/>
        <item x="1474"/>
        <item x="1294"/>
        <item x="767"/>
        <item x="597"/>
        <item x="799"/>
        <item x="1698"/>
        <item x="157"/>
        <item x="1301"/>
        <item x="195"/>
        <item x="321"/>
        <item x="1003"/>
        <item x="37"/>
        <item x="1361"/>
        <item x="255"/>
        <item x="1017"/>
        <item x="959"/>
        <item x="608"/>
        <item x="883"/>
        <item x="1581"/>
        <item x="566"/>
        <item x="1298"/>
        <item x="1045"/>
        <item x="8"/>
        <item x="1268"/>
        <item x="1400"/>
        <item x="63"/>
        <item x="503"/>
        <item x="541"/>
        <item x="1154"/>
        <item x="1560"/>
        <item x="476"/>
        <item x="904"/>
        <item x="1682"/>
        <item x="509"/>
        <item x="1874"/>
        <item x="1884"/>
        <item x="1049"/>
        <item x="221"/>
        <item x="1528"/>
        <item x="1014"/>
        <item x="1228"/>
        <item x="808"/>
        <item x="1834"/>
        <item x="776"/>
        <item x="987"/>
        <item x="1862"/>
        <item x="708"/>
        <item x="1446"/>
        <item x="1514"/>
        <item x="244"/>
        <item x="567"/>
        <item x="1266"/>
        <item x="1064"/>
        <item x="125"/>
        <item x="1061"/>
        <item x="951"/>
        <item x="1722"/>
        <item x="845"/>
        <item x="716"/>
        <item x="1472"/>
        <item x="978"/>
        <item x="1048"/>
        <item x="424"/>
        <item x="1376"/>
        <item x="344"/>
        <item x="1496"/>
        <item x="1671"/>
        <item x="833"/>
        <item x="382"/>
        <item x="1209"/>
        <item x="268"/>
        <item x="1827"/>
        <item x="397"/>
        <item x="1355"/>
        <item x="1284"/>
        <item x="531"/>
        <item x="271"/>
        <item x="45"/>
        <item x="1661"/>
        <item x="1272"/>
        <item x="290"/>
        <item x="1252"/>
        <item x="1394"/>
        <item x="1579"/>
        <item x="1758"/>
        <item x="473"/>
        <item x="445"/>
        <item x="447"/>
        <item x="915"/>
        <item x="348"/>
        <item x="1739"/>
        <item x="724"/>
        <item x="778"/>
        <item x="1335"/>
        <item x="1677"/>
        <item x="292"/>
        <item x="1022"/>
        <item x="720"/>
        <item x="780"/>
        <item x="633"/>
        <item x="1505"/>
        <item x="1415"/>
        <item t="default"/>
      </items>
    </pivotField>
    <pivotField numFmtId="9" showAll="0"/>
    <pivotField axis="axisPage" showAll="0">
      <items count="4">
        <item x="1"/>
        <item x="2"/>
        <item x="0"/>
        <item t="default"/>
      </items>
    </pivotField>
    <pivotField dragToRow="0" dragToCol="0" dragToPage="0" showAll="0" defaultSubtotal="0"/>
    <pivotField dragToRow="0" dragToCol="0" dragToPage="0" showAll="0" defaultSubtotal="0"/>
  </pivotFields>
  <rowItems count="1">
    <i/>
  </rowItems>
  <colFields count="1">
    <field x="7"/>
  </colFields>
  <colItems count="1887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>
      <x v="92"/>
    </i>
    <i>
      <x v="93"/>
    </i>
    <i>
      <x v="94"/>
    </i>
    <i>
      <x v="95"/>
    </i>
    <i>
      <x v="96"/>
    </i>
    <i>
      <x v="97"/>
    </i>
    <i>
      <x v="98"/>
    </i>
    <i>
      <x v="99"/>
    </i>
    <i>
      <x v="100"/>
    </i>
    <i>
      <x v="101"/>
    </i>
    <i>
      <x v="102"/>
    </i>
    <i>
      <x v="103"/>
    </i>
    <i>
      <x v="104"/>
    </i>
    <i>
      <x v="105"/>
    </i>
    <i>
      <x v="106"/>
    </i>
    <i>
      <x v="107"/>
    </i>
    <i>
      <x v="108"/>
    </i>
    <i>
      <x v="109"/>
    </i>
    <i>
      <x v="110"/>
    </i>
    <i>
      <x v="111"/>
    </i>
    <i>
      <x v="112"/>
    </i>
    <i>
      <x v="113"/>
    </i>
    <i>
      <x v="114"/>
    </i>
    <i>
      <x v="115"/>
    </i>
    <i>
      <x v="116"/>
    </i>
    <i>
      <x v="117"/>
    </i>
    <i>
      <x v="118"/>
    </i>
    <i>
      <x v="119"/>
    </i>
    <i>
      <x v="120"/>
    </i>
    <i>
      <x v="121"/>
    </i>
    <i>
      <x v="122"/>
    </i>
    <i>
      <x v="123"/>
    </i>
    <i>
      <x v="124"/>
    </i>
    <i>
      <x v="125"/>
    </i>
    <i>
      <x v="126"/>
    </i>
    <i>
      <x v="127"/>
    </i>
    <i>
      <x v="128"/>
    </i>
    <i>
      <x v="129"/>
    </i>
    <i>
      <x v="130"/>
    </i>
    <i>
      <x v="131"/>
    </i>
    <i>
      <x v="132"/>
    </i>
    <i>
      <x v="133"/>
    </i>
    <i>
      <x v="134"/>
    </i>
    <i>
      <x v="135"/>
    </i>
    <i>
      <x v="136"/>
    </i>
    <i>
      <x v="137"/>
    </i>
    <i>
      <x v="138"/>
    </i>
    <i>
      <x v="139"/>
    </i>
    <i>
      <x v="140"/>
    </i>
    <i>
      <x v="141"/>
    </i>
    <i>
      <x v="142"/>
    </i>
    <i>
      <x v="143"/>
    </i>
    <i>
      <x v="144"/>
    </i>
    <i>
      <x v="145"/>
    </i>
    <i>
      <x v="146"/>
    </i>
    <i>
      <x v="147"/>
    </i>
    <i>
      <x v="148"/>
    </i>
    <i>
      <x v="149"/>
    </i>
    <i>
      <x v="150"/>
    </i>
    <i>
      <x v="151"/>
    </i>
    <i>
      <x v="152"/>
    </i>
    <i>
      <x v="153"/>
    </i>
    <i>
      <x v="154"/>
    </i>
    <i>
      <x v="155"/>
    </i>
    <i>
      <x v="156"/>
    </i>
    <i>
      <x v="157"/>
    </i>
    <i>
      <x v="158"/>
    </i>
    <i>
      <x v="159"/>
    </i>
    <i>
      <x v="160"/>
    </i>
    <i>
      <x v="161"/>
    </i>
    <i>
      <x v="162"/>
    </i>
    <i>
      <x v="163"/>
    </i>
    <i>
      <x v="164"/>
    </i>
    <i>
      <x v="165"/>
    </i>
    <i>
      <x v="166"/>
    </i>
    <i>
      <x v="167"/>
    </i>
    <i>
      <x v="168"/>
    </i>
    <i>
      <x v="169"/>
    </i>
    <i>
      <x v="170"/>
    </i>
    <i>
      <x v="171"/>
    </i>
    <i>
      <x v="172"/>
    </i>
    <i>
      <x v="173"/>
    </i>
    <i>
      <x v="174"/>
    </i>
    <i>
      <x v="175"/>
    </i>
    <i>
      <x v="176"/>
    </i>
    <i>
      <x v="177"/>
    </i>
    <i>
      <x v="178"/>
    </i>
    <i>
      <x v="179"/>
    </i>
    <i>
      <x v="180"/>
    </i>
    <i>
      <x v="181"/>
    </i>
    <i>
      <x v="182"/>
    </i>
    <i>
      <x v="183"/>
    </i>
    <i>
      <x v="184"/>
    </i>
    <i>
      <x v="185"/>
    </i>
    <i>
      <x v="186"/>
    </i>
    <i>
      <x v="187"/>
    </i>
    <i>
      <x v="188"/>
    </i>
    <i>
      <x v="189"/>
    </i>
    <i>
      <x v="190"/>
    </i>
    <i>
      <x v="191"/>
    </i>
    <i>
      <x v="192"/>
    </i>
    <i>
      <x v="193"/>
    </i>
    <i>
      <x v="194"/>
    </i>
    <i>
      <x v="195"/>
    </i>
    <i>
      <x v="196"/>
    </i>
    <i>
      <x v="197"/>
    </i>
    <i>
      <x v="198"/>
    </i>
    <i>
      <x v="199"/>
    </i>
    <i>
      <x v="200"/>
    </i>
    <i>
      <x v="201"/>
    </i>
    <i>
      <x v="202"/>
    </i>
    <i>
      <x v="203"/>
    </i>
    <i>
      <x v="204"/>
    </i>
    <i>
      <x v="205"/>
    </i>
    <i>
      <x v="206"/>
    </i>
    <i>
      <x v="207"/>
    </i>
    <i>
      <x v="208"/>
    </i>
    <i>
      <x v="209"/>
    </i>
    <i>
      <x v="210"/>
    </i>
    <i>
      <x v="211"/>
    </i>
    <i>
      <x v="212"/>
    </i>
    <i>
      <x v="213"/>
    </i>
    <i>
      <x v="214"/>
    </i>
    <i>
      <x v="215"/>
    </i>
    <i>
      <x v="216"/>
    </i>
    <i>
      <x v="217"/>
    </i>
    <i>
      <x v="218"/>
    </i>
    <i>
      <x v="219"/>
    </i>
    <i>
      <x v="220"/>
    </i>
    <i>
      <x v="221"/>
    </i>
    <i>
      <x v="222"/>
    </i>
    <i>
      <x v="223"/>
    </i>
    <i>
      <x v="224"/>
    </i>
    <i>
      <x v="225"/>
    </i>
    <i>
      <x v="226"/>
    </i>
    <i>
      <x v="227"/>
    </i>
    <i>
      <x v="228"/>
    </i>
    <i>
      <x v="229"/>
    </i>
    <i>
      <x v="230"/>
    </i>
    <i>
      <x v="231"/>
    </i>
    <i>
      <x v="232"/>
    </i>
    <i>
      <x v="233"/>
    </i>
    <i>
      <x v="234"/>
    </i>
    <i>
      <x v="235"/>
    </i>
    <i>
      <x v="236"/>
    </i>
    <i>
      <x v="237"/>
    </i>
    <i>
      <x v="238"/>
    </i>
    <i>
      <x v="239"/>
    </i>
    <i>
      <x v="240"/>
    </i>
    <i>
      <x v="241"/>
    </i>
    <i>
      <x v="242"/>
    </i>
    <i>
      <x v="243"/>
    </i>
    <i>
      <x v="244"/>
    </i>
    <i>
      <x v="245"/>
    </i>
    <i>
      <x v="246"/>
    </i>
    <i>
      <x v="247"/>
    </i>
    <i>
      <x v="248"/>
    </i>
    <i>
      <x v="249"/>
    </i>
    <i>
      <x v="250"/>
    </i>
    <i>
      <x v="251"/>
    </i>
    <i>
      <x v="252"/>
    </i>
    <i>
      <x v="253"/>
    </i>
    <i>
      <x v="254"/>
    </i>
    <i>
      <x v="255"/>
    </i>
    <i>
      <x v="256"/>
    </i>
    <i>
      <x v="257"/>
    </i>
    <i>
      <x v="258"/>
    </i>
    <i>
      <x v="259"/>
    </i>
    <i>
      <x v="260"/>
    </i>
    <i>
      <x v="261"/>
    </i>
    <i>
      <x v="262"/>
    </i>
    <i>
      <x v="263"/>
    </i>
    <i>
      <x v="264"/>
    </i>
    <i>
      <x v="265"/>
    </i>
    <i>
      <x v="266"/>
    </i>
    <i>
      <x v="267"/>
    </i>
    <i>
      <x v="268"/>
    </i>
    <i>
      <x v="269"/>
    </i>
    <i>
      <x v="270"/>
    </i>
    <i>
      <x v="271"/>
    </i>
    <i>
      <x v="272"/>
    </i>
    <i>
      <x v="273"/>
    </i>
    <i>
      <x v="274"/>
    </i>
    <i>
      <x v="275"/>
    </i>
    <i>
      <x v="276"/>
    </i>
    <i>
      <x v="277"/>
    </i>
    <i>
      <x v="278"/>
    </i>
    <i>
      <x v="279"/>
    </i>
    <i>
      <x v="280"/>
    </i>
    <i>
      <x v="281"/>
    </i>
    <i>
      <x v="282"/>
    </i>
    <i>
      <x v="283"/>
    </i>
    <i>
      <x v="284"/>
    </i>
    <i>
      <x v="285"/>
    </i>
    <i>
      <x v="286"/>
    </i>
    <i>
      <x v="287"/>
    </i>
    <i>
      <x v="288"/>
    </i>
    <i>
      <x v="289"/>
    </i>
    <i>
      <x v="290"/>
    </i>
    <i>
      <x v="291"/>
    </i>
    <i>
      <x v="292"/>
    </i>
    <i>
      <x v="293"/>
    </i>
    <i>
      <x v="294"/>
    </i>
    <i>
      <x v="295"/>
    </i>
    <i>
      <x v="296"/>
    </i>
    <i>
      <x v="297"/>
    </i>
    <i>
      <x v="298"/>
    </i>
    <i>
      <x v="299"/>
    </i>
    <i>
      <x v="300"/>
    </i>
    <i>
      <x v="301"/>
    </i>
    <i>
      <x v="302"/>
    </i>
    <i>
      <x v="303"/>
    </i>
    <i>
      <x v="304"/>
    </i>
    <i>
      <x v="305"/>
    </i>
    <i>
      <x v="306"/>
    </i>
    <i>
      <x v="307"/>
    </i>
    <i>
      <x v="308"/>
    </i>
    <i>
      <x v="309"/>
    </i>
    <i>
      <x v="310"/>
    </i>
    <i>
      <x v="311"/>
    </i>
    <i>
      <x v="312"/>
    </i>
    <i>
      <x v="313"/>
    </i>
    <i>
      <x v="314"/>
    </i>
    <i>
      <x v="315"/>
    </i>
    <i>
      <x v="316"/>
    </i>
    <i>
      <x v="317"/>
    </i>
    <i>
      <x v="318"/>
    </i>
    <i>
      <x v="319"/>
    </i>
    <i>
      <x v="320"/>
    </i>
    <i>
      <x v="321"/>
    </i>
    <i>
      <x v="322"/>
    </i>
    <i>
      <x v="323"/>
    </i>
    <i>
      <x v="324"/>
    </i>
    <i>
      <x v="325"/>
    </i>
    <i>
      <x v="326"/>
    </i>
    <i>
      <x v="327"/>
    </i>
    <i>
      <x v="328"/>
    </i>
    <i>
      <x v="329"/>
    </i>
    <i>
      <x v="330"/>
    </i>
    <i>
      <x v="331"/>
    </i>
    <i>
      <x v="332"/>
    </i>
    <i>
      <x v="333"/>
    </i>
    <i>
      <x v="334"/>
    </i>
    <i>
      <x v="335"/>
    </i>
    <i>
      <x v="336"/>
    </i>
    <i>
      <x v="337"/>
    </i>
    <i>
      <x v="338"/>
    </i>
    <i>
      <x v="339"/>
    </i>
    <i>
      <x v="340"/>
    </i>
    <i>
      <x v="341"/>
    </i>
    <i>
      <x v="342"/>
    </i>
    <i>
      <x v="343"/>
    </i>
    <i>
      <x v="344"/>
    </i>
    <i>
      <x v="345"/>
    </i>
    <i>
      <x v="346"/>
    </i>
    <i>
      <x v="347"/>
    </i>
    <i>
      <x v="348"/>
    </i>
    <i>
      <x v="349"/>
    </i>
    <i>
      <x v="350"/>
    </i>
    <i>
      <x v="351"/>
    </i>
    <i>
      <x v="352"/>
    </i>
    <i>
      <x v="353"/>
    </i>
    <i>
      <x v="354"/>
    </i>
    <i>
      <x v="355"/>
    </i>
    <i>
      <x v="356"/>
    </i>
    <i>
      <x v="357"/>
    </i>
    <i>
      <x v="358"/>
    </i>
    <i>
      <x v="359"/>
    </i>
    <i>
      <x v="360"/>
    </i>
    <i>
      <x v="361"/>
    </i>
    <i>
      <x v="362"/>
    </i>
    <i>
      <x v="363"/>
    </i>
    <i>
      <x v="364"/>
    </i>
    <i>
      <x v="365"/>
    </i>
    <i>
      <x v="366"/>
    </i>
    <i>
      <x v="367"/>
    </i>
    <i>
      <x v="368"/>
    </i>
    <i>
      <x v="369"/>
    </i>
    <i>
      <x v="370"/>
    </i>
    <i>
      <x v="371"/>
    </i>
    <i>
      <x v="372"/>
    </i>
    <i>
      <x v="373"/>
    </i>
    <i>
      <x v="374"/>
    </i>
    <i>
      <x v="375"/>
    </i>
    <i>
      <x v="376"/>
    </i>
    <i>
      <x v="377"/>
    </i>
    <i>
      <x v="378"/>
    </i>
    <i>
      <x v="379"/>
    </i>
    <i>
      <x v="380"/>
    </i>
    <i>
      <x v="381"/>
    </i>
    <i>
      <x v="382"/>
    </i>
    <i>
      <x v="383"/>
    </i>
    <i>
      <x v="384"/>
    </i>
    <i>
      <x v="385"/>
    </i>
    <i>
      <x v="386"/>
    </i>
    <i>
      <x v="387"/>
    </i>
    <i>
      <x v="388"/>
    </i>
    <i>
      <x v="389"/>
    </i>
    <i>
      <x v="390"/>
    </i>
    <i>
      <x v="391"/>
    </i>
    <i>
      <x v="392"/>
    </i>
    <i>
      <x v="393"/>
    </i>
    <i>
      <x v="394"/>
    </i>
    <i>
      <x v="395"/>
    </i>
    <i>
      <x v="396"/>
    </i>
    <i>
      <x v="397"/>
    </i>
    <i>
      <x v="398"/>
    </i>
    <i>
      <x v="399"/>
    </i>
    <i>
      <x v="400"/>
    </i>
    <i>
      <x v="401"/>
    </i>
    <i>
      <x v="402"/>
    </i>
    <i>
      <x v="403"/>
    </i>
    <i>
      <x v="404"/>
    </i>
    <i>
      <x v="405"/>
    </i>
    <i>
      <x v="406"/>
    </i>
    <i>
      <x v="407"/>
    </i>
    <i>
      <x v="408"/>
    </i>
    <i>
      <x v="409"/>
    </i>
    <i>
      <x v="410"/>
    </i>
    <i>
      <x v="411"/>
    </i>
    <i>
      <x v="412"/>
    </i>
    <i>
      <x v="413"/>
    </i>
    <i>
      <x v="414"/>
    </i>
    <i>
      <x v="415"/>
    </i>
    <i>
      <x v="416"/>
    </i>
    <i>
      <x v="417"/>
    </i>
    <i>
      <x v="418"/>
    </i>
    <i>
      <x v="419"/>
    </i>
    <i>
      <x v="420"/>
    </i>
    <i>
      <x v="421"/>
    </i>
    <i>
      <x v="422"/>
    </i>
    <i>
      <x v="423"/>
    </i>
    <i>
      <x v="424"/>
    </i>
    <i>
      <x v="425"/>
    </i>
    <i>
      <x v="426"/>
    </i>
    <i>
      <x v="427"/>
    </i>
    <i>
      <x v="428"/>
    </i>
    <i>
      <x v="429"/>
    </i>
    <i>
      <x v="430"/>
    </i>
    <i>
      <x v="431"/>
    </i>
    <i>
      <x v="432"/>
    </i>
    <i>
      <x v="433"/>
    </i>
    <i>
      <x v="434"/>
    </i>
    <i>
      <x v="435"/>
    </i>
    <i>
      <x v="436"/>
    </i>
    <i>
      <x v="437"/>
    </i>
    <i>
      <x v="438"/>
    </i>
    <i>
      <x v="439"/>
    </i>
    <i>
      <x v="440"/>
    </i>
    <i>
      <x v="441"/>
    </i>
    <i>
      <x v="442"/>
    </i>
    <i>
      <x v="443"/>
    </i>
    <i>
      <x v="444"/>
    </i>
    <i>
      <x v="445"/>
    </i>
    <i>
      <x v="446"/>
    </i>
    <i>
      <x v="447"/>
    </i>
    <i>
      <x v="448"/>
    </i>
    <i>
      <x v="449"/>
    </i>
    <i>
      <x v="450"/>
    </i>
    <i>
      <x v="451"/>
    </i>
    <i>
      <x v="452"/>
    </i>
    <i>
      <x v="453"/>
    </i>
    <i>
      <x v="454"/>
    </i>
    <i>
      <x v="455"/>
    </i>
    <i>
      <x v="456"/>
    </i>
    <i>
      <x v="457"/>
    </i>
    <i>
      <x v="458"/>
    </i>
    <i>
      <x v="459"/>
    </i>
    <i>
      <x v="460"/>
    </i>
    <i>
      <x v="461"/>
    </i>
    <i>
      <x v="462"/>
    </i>
    <i>
      <x v="463"/>
    </i>
    <i>
      <x v="464"/>
    </i>
    <i>
      <x v="465"/>
    </i>
    <i>
      <x v="466"/>
    </i>
    <i>
      <x v="467"/>
    </i>
    <i>
      <x v="468"/>
    </i>
    <i>
      <x v="469"/>
    </i>
    <i>
      <x v="470"/>
    </i>
    <i>
      <x v="471"/>
    </i>
    <i>
      <x v="472"/>
    </i>
    <i>
      <x v="473"/>
    </i>
    <i>
      <x v="474"/>
    </i>
    <i>
      <x v="475"/>
    </i>
    <i>
      <x v="476"/>
    </i>
    <i>
      <x v="477"/>
    </i>
    <i>
      <x v="478"/>
    </i>
    <i>
      <x v="479"/>
    </i>
    <i>
      <x v="480"/>
    </i>
    <i>
      <x v="481"/>
    </i>
    <i>
      <x v="482"/>
    </i>
    <i>
      <x v="483"/>
    </i>
    <i>
      <x v="484"/>
    </i>
    <i>
      <x v="485"/>
    </i>
    <i>
      <x v="486"/>
    </i>
    <i>
      <x v="487"/>
    </i>
    <i>
      <x v="488"/>
    </i>
    <i>
      <x v="489"/>
    </i>
    <i>
      <x v="490"/>
    </i>
    <i>
      <x v="491"/>
    </i>
    <i>
      <x v="492"/>
    </i>
    <i>
      <x v="493"/>
    </i>
    <i>
      <x v="494"/>
    </i>
    <i>
      <x v="495"/>
    </i>
    <i>
      <x v="496"/>
    </i>
    <i>
      <x v="497"/>
    </i>
    <i>
      <x v="498"/>
    </i>
    <i>
      <x v="499"/>
    </i>
    <i>
      <x v="500"/>
    </i>
    <i>
      <x v="501"/>
    </i>
    <i>
      <x v="502"/>
    </i>
    <i>
      <x v="503"/>
    </i>
    <i>
      <x v="504"/>
    </i>
    <i>
      <x v="505"/>
    </i>
    <i>
      <x v="506"/>
    </i>
    <i>
      <x v="507"/>
    </i>
    <i>
      <x v="508"/>
    </i>
    <i>
      <x v="509"/>
    </i>
    <i>
      <x v="510"/>
    </i>
    <i>
      <x v="511"/>
    </i>
    <i>
      <x v="512"/>
    </i>
    <i>
      <x v="513"/>
    </i>
    <i>
      <x v="514"/>
    </i>
    <i>
      <x v="515"/>
    </i>
    <i>
      <x v="516"/>
    </i>
    <i>
      <x v="517"/>
    </i>
    <i>
      <x v="518"/>
    </i>
    <i>
      <x v="519"/>
    </i>
    <i>
      <x v="520"/>
    </i>
    <i>
      <x v="521"/>
    </i>
    <i>
      <x v="522"/>
    </i>
    <i>
      <x v="523"/>
    </i>
    <i>
      <x v="524"/>
    </i>
    <i>
      <x v="525"/>
    </i>
    <i>
      <x v="526"/>
    </i>
    <i>
      <x v="527"/>
    </i>
    <i>
      <x v="528"/>
    </i>
    <i>
      <x v="529"/>
    </i>
    <i>
      <x v="530"/>
    </i>
    <i>
      <x v="531"/>
    </i>
    <i>
      <x v="532"/>
    </i>
    <i>
      <x v="533"/>
    </i>
    <i>
      <x v="534"/>
    </i>
    <i>
      <x v="535"/>
    </i>
    <i>
      <x v="536"/>
    </i>
    <i>
      <x v="537"/>
    </i>
    <i>
      <x v="538"/>
    </i>
    <i>
      <x v="539"/>
    </i>
    <i>
      <x v="540"/>
    </i>
    <i>
      <x v="541"/>
    </i>
    <i>
      <x v="542"/>
    </i>
    <i>
      <x v="543"/>
    </i>
    <i>
      <x v="544"/>
    </i>
    <i>
      <x v="545"/>
    </i>
    <i>
      <x v="546"/>
    </i>
    <i>
      <x v="547"/>
    </i>
    <i>
      <x v="548"/>
    </i>
    <i>
      <x v="549"/>
    </i>
    <i>
      <x v="550"/>
    </i>
    <i>
      <x v="551"/>
    </i>
    <i>
      <x v="552"/>
    </i>
    <i>
      <x v="553"/>
    </i>
    <i>
      <x v="554"/>
    </i>
    <i>
      <x v="555"/>
    </i>
    <i>
      <x v="556"/>
    </i>
    <i>
      <x v="557"/>
    </i>
    <i>
      <x v="558"/>
    </i>
    <i>
      <x v="559"/>
    </i>
    <i>
      <x v="560"/>
    </i>
    <i>
      <x v="561"/>
    </i>
    <i>
      <x v="562"/>
    </i>
    <i>
      <x v="563"/>
    </i>
    <i>
      <x v="564"/>
    </i>
    <i>
      <x v="565"/>
    </i>
    <i>
      <x v="566"/>
    </i>
    <i>
      <x v="567"/>
    </i>
    <i>
      <x v="568"/>
    </i>
    <i>
      <x v="569"/>
    </i>
    <i>
      <x v="570"/>
    </i>
    <i>
      <x v="571"/>
    </i>
    <i>
      <x v="572"/>
    </i>
    <i>
      <x v="573"/>
    </i>
    <i>
      <x v="574"/>
    </i>
    <i>
      <x v="575"/>
    </i>
    <i>
      <x v="576"/>
    </i>
    <i>
      <x v="577"/>
    </i>
    <i>
      <x v="578"/>
    </i>
    <i>
      <x v="579"/>
    </i>
    <i>
      <x v="580"/>
    </i>
    <i>
      <x v="581"/>
    </i>
    <i>
      <x v="582"/>
    </i>
    <i>
      <x v="583"/>
    </i>
    <i>
      <x v="584"/>
    </i>
    <i>
      <x v="585"/>
    </i>
    <i>
      <x v="586"/>
    </i>
    <i>
      <x v="587"/>
    </i>
    <i>
      <x v="588"/>
    </i>
    <i>
      <x v="589"/>
    </i>
    <i>
      <x v="590"/>
    </i>
    <i>
      <x v="591"/>
    </i>
    <i>
      <x v="592"/>
    </i>
    <i>
      <x v="593"/>
    </i>
    <i>
      <x v="594"/>
    </i>
    <i>
      <x v="595"/>
    </i>
    <i>
      <x v="596"/>
    </i>
    <i>
      <x v="597"/>
    </i>
    <i>
      <x v="598"/>
    </i>
    <i>
      <x v="599"/>
    </i>
    <i>
      <x v="600"/>
    </i>
    <i>
      <x v="601"/>
    </i>
    <i>
      <x v="602"/>
    </i>
    <i>
      <x v="603"/>
    </i>
    <i>
      <x v="604"/>
    </i>
    <i>
      <x v="605"/>
    </i>
    <i>
      <x v="606"/>
    </i>
    <i>
      <x v="607"/>
    </i>
    <i>
      <x v="608"/>
    </i>
    <i>
      <x v="609"/>
    </i>
    <i>
      <x v="610"/>
    </i>
    <i>
      <x v="611"/>
    </i>
    <i>
      <x v="612"/>
    </i>
    <i>
      <x v="613"/>
    </i>
    <i>
      <x v="614"/>
    </i>
    <i>
      <x v="615"/>
    </i>
    <i>
      <x v="616"/>
    </i>
    <i>
      <x v="617"/>
    </i>
    <i>
      <x v="618"/>
    </i>
    <i>
      <x v="619"/>
    </i>
    <i>
      <x v="620"/>
    </i>
    <i>
      <x v="621"/>
    </i>
    <i>
      <x v="622"/>
    </i>
    <i>
      <x v="623"/>
    </i>
    <i>
      <x v="624"/>
    </i>
    <i>
      <x v="625"/>
    </i>
    <i>
      <x v="626"/>
    </i>
    <i>
      <x v="627"/>
    </i>
    <i>
      <x v="628"/>
    </i>
    <i>
      <x v="629"/>
    </i>
    <i>
      <x v="630"/>
    </i>
    <i>
      <x v="631"/>
    </i>
    <i>
      <x v="632"/>
    </i>
    <i>
      <x v="633"/>
    </i>
    <i>
      <x v="634"/>
    </i>
    <i>
      <x v="635"/>
    </i>
    <i>
      <x v="636"/>
    </i>
    <i>
      <x v="637"/>
    </i>
    <i>
      <x v="638"/>
    </i>
    <i>
      <x v="639"/>
    </i>
    <i>
      <x v="640"/>
    </i>
    <i>
      <x v="641"/>
    </i>
    <i>
      <x v="642"/>
    </i>
    <i>
      <x v="643"/>
    </i>
    <i>
      <x v="644"/>
    </i>
    <i>
      <x v="645"/>
    </i>
    <i>
      <x v="646"/>
    </i>
    <i>
      <x v="647"/>
    </i>
    <i>
      <x v="648"/>
    </i>
    <i>
      <x v="649"/>
    </i>
    <i>
      <x v="650"/>
    </i>
    <i>
      <x v="651"/>
    </i>
    <i>
      <x v="652"/>
    </i>
    <i>
      <x v="653"/>
    </i>
    <i>
      <x v="654"/>
    </i>
    <i>
      <x v="655"/>
    </i>
    <i>
      <x v="656"/>
    </i>
    <i>
      <x v="657"/>
    </i>
    <i>
      <x v="658"/>
    </i>
    <i>
      <x v="659"/>
    </i>
    <i>
      <x v="660"/>
    </i>
    <i>
      <x v="661"/>
    </i>
    <i>
      <x v="662"/>
    </i>
    <i>
      <x v="663"/>
    </i>
    <i>
      <x v="664"/>
    </i>
    <i>
      <x v="665"/>
    </i>
    <i>
      <x v="666"/>
    </i>
    <i>
      <x v="667"/>
    </i>
    <i>
      <x v="668"/>
    </i>
    <i>
      <x v="669"/>
    </i>
    <i>
      <x v="670"/>
    </i>
    <i>
      <x v="671"/>
    </i>
    <i>
      <x v="672"/>
    </i>
    <i>
      <x v="673"/>
    </i>
    <i>
      <x v="674"/>
    </i>
    <i>
      <x v="675"/>
    </i>
    <i>
      <x v="676"/>
    </i>
    <i>
      <x v="677"/>
    </i>
    <i>
      <x v="678"/>
    </i>
    <i>
      <x v="679"/>
    </i>
    <i>
      <x v="680"/>
    </i>
    <i>
      <x v="681"/>
    </i>
    <i>
      <x v="682"/>
    </i>
    <i>
      <x v="683"/>
    </i>
    <i>
      <x v="684"/>
    </i>
    <i>
      <x v="685"/>
    </i>
    <i>
      <x v="686"/>
    </i>
    <i>
      <x v="687"/>
    </i>
    <i>
      <x v="688"/>
    </i>
    <i>
      <x v="689"/>
    </i>
    <i>
      <x v="690"/>
    </i>
    <i>
      <x v="691"/>
    </i>
    <i>
      <x v="692"/>
    </i>
    <i>
      <x v="693"/>
    </i>
    <i>
      <x v="694"/>
    </i>
    <i>
      <x v="695"/>
    </i>
    <i>
      <x v="696"/>
    </i>
    <i>
      <x v="697"/>
    </i>
    <i>
      <x v="698"/>
    </i>
    <i>
      <x v="699"/>
    </i>
    <i>
      <x v="700"/>
    </i>
    <i>
      <x v="701"/>
    </i>
    <i>
      <x v="702"/>
    </i>
    <i>
      <x v="703"/>
    </i>
    <i>
      <x v="704"/>
    </i>
    <i>
      <x v="705"/>
    </i>
    <i>
      <x v="706"/>
    </i>
    <i>
      <x v="707"/>
    </i>
    <i>
      <x v="708"/>
    </i>
    <i>
      <x v="709"/>
    </i>
    <i>
      <x v="710"/>
    </i>
    <i>
      <x v="711"/>
    </i>
    <i>
      <x v="712"/>
    </i>
    <i>
      <x v="713"/>
    </i>
    <i>
      <x v="714"/>
    </i>
    <i>
      <x v="715"/>
    </i>
    <i>
      <x v="716"/>
    </i>
    <i>
      <x v="717"/>
    </i>
    <i>
      <x v="718"/>
    </i>
    <i>
      <x v="719"/>
    </i>
    <i>
      <x v="720"/>
    </i>
    <i>
      <x v="721"/>
    </i>
    <i>
      <x v="722"/>
    </i>
    <i>
      <x v="723"/>
    </i>
    <i>
      <x v="724"/>
    </i>
    <i>
      <x v="725"/>
    </i>
    <i>
      <x v="726"/>
    </i>
    <i>
      <x v="727"/>
    </i>
    <i>
      <x v="728"/>
    </i>
    <i>
      <x v="729"/>
    </i>
    <i>
      <x v="730"/>
    </i>
    <i>
      <x v="731"/>
    </i>
    <i>
      <x v="732"/>
    </i>
    <i>
      <x v="733"/>
    </i>
    <i>
      <x v="734"/>
    </i>
    <i>
      <x v="735"/>
    </i>
    <i>
      <x v="736"/>
    </i>
    <i>
      <x v="737"/>
    </i>
    <i>
      <x v="738"/>
    </i>
    <i>
      <x v="739"/>
    </i>
    <i>
      <x v="740"/>
    </i>
    <i>
      <x v="741"/>
    </i>
    <i>
      <x v="742"/>
    </i>
    <i>
      <x v="743"/>
    </i>
    <i>
      <x v="744"/>
    </i>
    <i>
      <x v="745"/>
    </i>
    <i>
      <x v="746"/>
    </i>
    <i>
      <x v="747"/>
    </i>
    <i>
      <x v="748"/>
    </i>
    <i>
      <x v="749"/>
    </i>
    <i>
      <x v="750"/>
    </i>
    <i>
      <x v="751"/>
    </i>
    <i>
      <x v="752"/>
    </i>
    <i>
      <x v="753"/>
    </i>
    <i>
      <x v="754"/>
    </i>
    <i>
      <x v="755"/>
    </i>
    <i>
      <x v="756"/>
    </i>
    <i>
      <x v="757"/>
    </i>
    <i>
      <x v="758"/>
    </i>
    <i>
      <x v="759"/>
    </i>
    <i>
      <x v="760"/>
    </i>
    <i>
      <x v="761"/>
    </i>
    <i>
      <x v="762"/>
    </i>
    <i>
      <x v="763"/>
    </i>
    <i>
      <x v="764"/>
    </i>
    <i>
      <x v="765"/>
    </i>
    <i>
      <x v="766"/>
    </i>
    <i>
      <x v="767"/>
    </i>
    <i>
      <x v="768"/>
    </i>
    <i>
      <x v="769"/>
    </i>
    <i>
      <x v="770"/>
    </i>
    <i>
      <x v="771"/>
    </i>
    <i>
      <x v="772"/>
    </i>
    <i>
      <x v="773"/>
    </i>
    <i>
      <x v="774"/>
    </i>
    <i>
      <x v="775"/>
    </i>
    <i>
      <x v="776"/>
    </i>
    <i>
      <x v="777"/>
    </i>
    <i>
      <x v="778"/>
    </i>
    <i>
      <x v="779"/>
    </i>
    <i>
      <x v="780"/>
    </i>
    <i>
      <x v="781"/>
    </i>
    <i>
      <x v="782"/>
    </i>
    <i>
      <x v="783"/>
    </i>
    <i>
      <x v="784"/>
    </i>
    <i>
      <x v="785"/>
    </i>
    <i>
      <x v="786"/>
    </i>
    <i>
      <x v="787"/>
    </i>
    <i>
      <x v="788"/>
    </i>
    <i>
      <x v="789"/>
    </i>
    <i>
      <x v="790"/>
    </i>
    <i>
      <x v="791"/>
    </i>
    <i>
      <x v="792"/>
    </i>
    <i>
      <x v="793"/>
    </i>
    <i>
      <x v="794"/>
    </i>
    <i>
      <x v="795"/>
    </i>
    <i>
      <x v="796"/>
    </i>
    <i>
      <x v="797"/>
    </i>
    <i>
      <x v="798"/>
    </i>
    <i>
      <x v="799"/>
    </i>
    <i>
      <x v="800"/>
    </i>
    <i>
      <x v="801"/>
    </i>
    <i>
      <x v="802"/>
    </i>
    <i>
      <x v="803"/>
    </i>
    <i>
      <x v="804"/>
    </i>
    <i>
      <x v="805"/>
    </i>
    <i>
      <x v="806"/>
    </i>
    <i>
      <x v="807"/>
    </i>
    <i>
      <x v="808"/>
    </i>
    <i>
      <x v="809"/>
    </i>
    <i>
      <x v="810"/>
    </i>
    <i>
      <x v="811"/>
    </i>
    <i>
      <x v="812"/>
    </i>
    <i>
      <x v="813"/>
    </i>
    <i>
      <x v="814"/>
    </i>
    <i>
      <x v="815"/>
    </i>
    <i>
      <x v="816"/>
    </i>
    <i>
      <x v="817"/>
    </i>
    <i>
      <x v="818"/>
    </i>
    <i>
      <x v="819"/>
    </i>
    <i>
      <x v="820"/>
    </i>
    <i>
      <x v="821"/>
    </i>
    <i>
      <x v="822"/>
    </i>
    <i>
      <x v="823"/>
    </i>
    <i>
      <x v="824"/>
    </i>
    <i>
      <x v="825"/>
    </i>
    <i>
      <x v="826"/>
    </i>
    <i>
      <x v="827"/>
    </i>
    <i>
      <x v="828"/>
    </i>
    <i>
      <x v="829"/>
    </i>
    <i>
      <x v="830"/>
    </i>
    <i>
      <x v="831"/>
    </i>
    <i>
      <x v="832"/>
    </i>
    <i>
      <x v="833"/>
    </i>
    <i>
      <x v="834"/>
    </i>
    <i>
      <x v="835"/>
    </i>
    <i>
      <x v="836"/>
    </i>
    <i>
      <x v="837"/>
    </i>
    <i>
      <x v="838"/>
    </i>
    <i>
      <x v="839"/>
    </i>
    <i>
      <x v="840"/>
    </i>
    <i>
      <x v="841"/>
    </i>
    <i>
      <x v="842"/>
    </i>
    <i>
      <x v="843"/>
    </i>
    <i>
      <x v="844"/>
    </i>
    <i>
      <x v="845"/>
    </i>
    <i>
      <x v="846"/>
    </i>
    <i>
      <x v="847"/>
    </i>
    <i>
      <x v="848"/>
    </i>
    <i>
      <x v="849"/>
    </i>
    <i>
      <x v="850"/>
    </i>
    <i>
      <x v="851"/>
    </i>
    <i>
      <x v="852"/>
    </i>
    <i>
      <x v="853"/>
    </i>
    <i>
      <x v="854"/>
    </i>
    <i>
      <x v="855"/>
    </i>
    <i>
      <x v="856"/>
    </i>
    <i>
      <x v="857"/>
    </i>
    <i>
      <x v="858"/>
    </i>
    <i>
      <x v="859"/>
    </i>
    <i>
      <x v="860"/>
    </i>
    <i>
      <x v="861"/>
    </i>
    <i>
      <x v="862"/>
    </i>
    <i>
      <x v="863"/>
    </i>
    <i>
      <x v="864"/>
    </i>
    <i>
      <x v="865"/>
    </i>
    <i>
      <x v="866"/>
    </i>
    <i>
      <x v="867"/>
    </i>
    <i>
      <x v="868"/>
    </i>
    <i>
      <x v="869"/>
    </i>
    <i>
      <x v="870"/>
    </i>
    <i>
      <x v="871"/>
    </i>
    <i>
      <x v="872"/>
    </i>
    <i>
      <x v="873"/>
    </i>
    <i>
      <x v="874"/>
    </i>
    <i>
      <x v="875"/>
    </i>
    <i>
      <x v="876"/>
    </i>
    <i>
      <x v="877"/>
    </i>
    <i>
      <x v="878"/>
    </i>
    <i>
      <x v="879"/>
    </i>
    <i>
      <x v="880"/>
    </i>
    <i>
      <x v="881"/>
    </i>
    <i>
      <x v="882"/>
    </i>
    <i>
      <x v="883"/>
    </i>
    <i>
      <x v="884"/>
    </i>
    <i>
      <x v="885"/>
    </i>
    <i>
      <x v="886"/>
    </i>
    <i>
      <x v="887"/>
    </i>
    <i>
      <x v="888"/>
    </i>
    <i>
      <x v="889"/>
    </i>
    <i>
      <x v="890"/>
    </i>
    <i>
      <x v="891"/>
    </i>
    <i>
      <x v="892"/>
    </i>
    <i>
      <x v="893"/>
    </i>
    <i>
      <x v="894"/>
    </i>
    <i>
      <x v="895"/>
    </i>
    <i>
      <x v="896"/>
    </i>
    <i>
      <x v="897"/>
    </i>
    <i>
      <x v="898"/>
    </i>
    <i>
      <x v="899"/>
    </i>
    <i>
      <x v="900"/>
    </i>
    <i>
      <x v="901"/>
    </i>
    <i>
      <x v="902"/>
    </i>
    <i>
      <x v="903"/>
    </i>
    <i>
      <x v="904"/>
    </i>
    <i>
      <x v="905"/>
    </i>
    <i>
      <x v="906"/>
    </i>
    <i>
      <x v="907"/>
    </i>
    <i>
      <x v="908"/>
    </i>
    <i>
      <x v="909"/>
    </i>
    <i>
      <x v="910"/>
    </i>
    <i>
      <x v="911"/>
    </i>
    <i>
      <x v="912"/>
    </i>
    <i>
      <x v="913"/>
    </i>
    <i>
      <x v="914"/>
    </i>
    <i>
      <x v="915"/>
    </i>
    <i>
      <x v="916"/>
    </i>
    <i>
      <x v="917"/>
    </i>
    <i>
      <x v="918"/>
    </i>
    <i>
      <x v="919"/>
    </i>
    <i>
      <x v="920"/>
    </i>
    <i>
      <x v="921"/>
    </i>
    <i>
      <x v="922"/>
    </i>
    <i>
      <x v="923"/>
    </i>
    <i>
      <x v="924"/>
    </i>
    <i>
      <x v="925"/>
    </i>
    <i>
      <x v="926"/>
    </i>
    <i>
      <x v="927"/>
    </i>
    <i>
      <x v="928"/>
    </i>
    <i>
      <x v="929"/>
    </i>
    <i>
      <x v="930"/>
    </i>
    <i>
      <x v="931"/>
    </i>
    <i>
      <x v="932"/>
    </i>
    <i>
      <x v="933"/>
    </i>
    <i>
      <x v="934"/>
    </i>
    <i>
      <x v="935"/>
    </i>
    <i>
      <x v="936"/>
    </i>
    <i>
      <x v="937"/>
    </i>
    <i>
      <x v="938"/>
    </i>
    <i>
      <x v="939"/>
    </i>
    <i>
      <x v="940"/>
    </i>
    <i>
      <x v="941"/>
    </i>
    <i>
      <x v="942"/>
    </i>
    <i>
      <x v="943"/>
    </i>
    <i>
      <x v="944"/>
    </i>
    <i>
      <x v="945"/>
    </i>
    <i>
      <x v="946"/>
    </i>
    <i>
      <x v="947"/>
    </i>
    <i>
      <x v="948"/>
    </i>
    <i>
      <x v="949"/>
    </i>
    <i>
      <x v="950"/>
    </i>
    <i>
      <x v="951"/>
    </i>
    <i>
      <x v="952"/>
    </i>
    <i>
      <x v="953"/>
    </i>
    <i>
      <x v="954"/>
    </i>
    <i>
      <x v="955"/>
    </i>
    <i>
      <x v="956"/>
    </i>
    <i>
      <x v="957"/>
    </i>
    <i>
      <x v="958"/>
    </i>
    <i>
      <x v="959"/>
    </i>
    <i>
      <x v="960"/>
    </i>
    <i>
      <x v="961"/>
    </i>
    <i>
      <x v="962"/>
    </i>
    <i>
      <x v="963"/>
    </i>
    <i>
      <x v="964"/>
    </i>
    <i>
      <x v="965"/>
    </i>
    <i>
      <x v="966"/>
    </i>
    <i>
      <x v="967"/>
    </i>
    <i>
      <x v="968"/>
    </i>
    <i>
      <x v="969"/>
    </i>
    <i>
      <x v="970"/>
    </i>
    <i>
      <x v="971"/>
    </i>
    <i>
      <x v="972"/>
    </i>
    <i>
      <x v="973"/>
    </i>
    <i>
      <x v="974"/>
    </i>
    <i>
      <x v="975"/>
    </i>
    <i>
      <x v="976"/>
    </i>
    <i>
      <x v="977"/>
    </i>
    <i>
      <x v="978"/>
    </i>
    <i>
      <x v="979"/>
    </i>
    <i>
      <x v="980"/>
    </i>
    <i>
      <x v="981"/>
    </i>
    <i>
      <x v="982"/>
    </i>
    <i>
      <x v="983"/>
    </i>
    <i>
      <x v="984"/>
    </i>
    <i>
      <x v="985"/>
    </i>
    <i>
      <x v="986"/>
    </i>
    <i>
      <x v="987"/>
    </i>
    <i>
      <x v="988"/>
    </i>
    <i>
      <x v="989"/>
    </i>
    <i>
      <x v="990"/>
    </i>
    <i>
      <x v="991"/>
    </i>
    <i>
      <x v="992"/>
    </i>
    <i>
      <x v="993"/>
    </i>
    <i>
      <x v="994"/>
    </i>
    <i>
      <x v="995"/>
    </i>
    <i>
      <x v="996"/>
    </i>
    <i>
      <x v="997"/>
    </i>
    <i>
      <x v="998"/>
    </i>
    <i>
      <x v="999"/>
    </i>
    <i>
      <x v="1000"/>
    </i>
    <i>
      <x v="1001"/>
    </i>
    <i>
      <x v="1002"/>
    </i>
    <i>
      <x v="1003"/>
    </i>
    <i>
      <x v="1004"/>
    </i>
    <i>
      <x v="1005"/>
    </i>
    <i>
      <x v="1006"/>
    </i>
    <i>
      <x v="1007"/>
    </i>
    <i>
      <x v="1008"/>
    </i>
    <i>
      <x v="1009"/>
    </i>
    <i>
      <x v="1010"/>
    </i>
    <i>
      <x v="1011"/>
    </i>
    <i>
      <x v="1012"/>
    </i>
    <i>
      <x v="1013"/>
    </i>
    <i>
      <x v="1014"/>
    </i>
    <i>
      <x v="1015"/>
    </i>
    <i>
      <x v="1016"/>
    </i>
    <i>
      <x v="1017"/>
    </i>
    <i>
      <x v="1018"/>
    </i>
    <i>
      <x v="1019"/>
    </i>
    <i>
      <x v="1020"/>
    </i>
    <i>
      <x v="1021"/>
    </i>
    <i>
      <x v="1022"/>
    </i>
    <i>
      <x v="1023"/>
    </i>
    <i>
      <x v="1024"/>
    </i>
    <i>
      <x v="1025"/>
    </i>
    <i>
      <x v="1026"/>
    </i>
    <i>
      <x v="1027"/>
    </i>
    <i>
      <x v="1028"/>
    </i>
    <i>
      <x v="1029"/>
    </i>
    <i>
      <x v="1030"/>
    </i>
    <i>
      <x v="1031"/>
    </i>
    <i>
      <x v="1032"/>
    </i>
    <i>
      <x v="1033"/>
    </i>
    <i>
      <x v="1034"/>
    </i>
    <i>
      <x v="1035"/>
    </i>
    <i>
      <x v="1036"/>
    </i>
    <i>
      <x v="1037"/>
    </i>
    <i>
      <x v="1038"/>
    </i>
    <i>
      <x v="1039"/>
    </i>
    <i>
      <x v="1040"/>
    </i>
    <i>
      <x v="1041"/>
    </i>
    <i>
      <x v="1042"/>
    </i>
    <i>
      <x v="1043"/>
    </i>
    <i>
      <x v="1044"/>
    </i>
    <i>
      <x v="1045"/>
    </i>
    <i>
      <x v="1046"/>
    </i>
    <i>
      <x v="1047"/>
    </i>
    <i>
      <x v="1048"/>
    </i>
    <i>
      <x v="1049"/>
    </i>
    <i>
      <x v="1050"/>
    </i>
    <i>
      <x v="1051"/>
    </i>
    <i>
      <x v="1052"/>
    </i>
    <i>
      <x v="1053"/>
    </i>
    <i>
      <x v="1054"/>
    </i>
    <i>
      <x v="1055"/>
    </i>
    <i>
      <x v="1056"/>
    </i>
    <i>
      <x v="1057"/>
    </i>
    <i>
      <x v="1058"/>
    </i>
    <i>
      <x v="1059"/>
    </i>
    <i>
      <x v="1060"/>
    </i>
    <i>
      <x v="1061"/>
    </i>
    <i>
      <x v="1062"/>
    </i>
    <i>
      <x v="1063"/>
    </i>
    <i>
      <x v="1064"/>
    </i>
    <i>
      <x v="1065"/>
    </i>
    <i>
      <x v="1066"/>
    </i>
    <i>
      <x v="1067"/>
    </i>
    <i>
      <x v="1068"/>
    </i>
    <i>
      <x v="1069"/>
    </i>
    <i>
      <x v="1070"/>
    </i>
    <i>
      <x v="1071"/>
    </i>
    <i>
      <x v="1072"/>
    </i>
    <i>
      <x v="1073"/>
    </i>
    <i>
      <x v="1074"/>
    </i>
    <i>
      <x v="1075"/>
    </i>
    <i>
      <x v="1076"/>
    </i>
    <i>
      <x v="1077"/>
    </i>
    <i>
      <x v="1078"/>
    </i>
    <i>
      <x v="1079"/>
    </i>
    <i>
      <x v="1080"/>
    </i>
    <i>
      <x v="1081"/>
    </i>
    <i>
      <x v="1082"/>
    </i>
    <i>
      <x v="1083"/>
    </i>
    <i>
      <x v="1084"/>
    </i>
    <i>
      <x v="1085"/>
    </i>
    <i>
      <x v="1086"/>
    </i>
    <i>
      <x v="1087"/>
    </i>
    <i>
      <x v="1088"/>
    </i>
    <i>
      <x v="1089"/>
    </i>
    <i>
      <x v="1090"/>
    </i>
    <i>
      <x v="1091"/>
    </i>
    <i>
      <x v="1092"/>
    </i>
    <i>
      <x v="1093"/>
    </i>
    <i>
      <x v="1094"/>
    </i>
    <i>
      <x v="1095"/>
    </i>
    <i>
      <x v="1096"/>
    </i>
    <i>
      <x v="1097"/>
    </i>
    <i>
      <x v="1098"/>
    </i>
    <i>
      <x v="1099"/>
    </i>
    <i>
      <x v="1100"/>
    </i>
    <i>
      <x v="1101"/>
    </i>
    <i>
      <x v="1102"/>
    </i>
    <i>
      <x v="1103"/>
    </i>
    <i>
      <x v="1104"/>
    </i>
    <i>
      <x v="1105"/>
    </i>
    <i>
      <x v="1106"/>
    </i>
    <i>
      <x v="1107"/>
    </i>
    <i>
      <x v="1108"/>
    </i>
    <i>
      <x v="1109"/>
    </i>
    <i>
      <x v="1110"/>
    </i>
    <i>
      <x v="1111"/>
    </i>
    <i>
      <x v="1112"/>
    </i>
    <i>
      <x v="1113"/>
    </i>
    <i>
      <x v="1114"/>
    </i>
    <i>
      <x v="1115"/>
    </i>
    <i>
      <x v="1116"/>
    </i>
    <i>
      <x v="1117"/>
    </i>
    <i>
      <x v="1118"/>
    </i>
    <i>
      <x v="1119"/>
    </i>
    <i>
      <x v="1120"/>
    </i>
    <i>
      <x v="1121"/>
    </i>
    <i>
      <x v="1122"/>
    </i>
    <i>
      <x v="1123"/>
    </i>
    <i>
      <x v="1124"/>
    </i>
    <i>
      <x v="1125"/>
    </i>
    <i>
      <x v="1126"/>
    </i>
    <i>
      <x v="1127"/>
    </i>
    <i>
      <x v="1128"/>
    </i>
    <i>
      <x v="1129"/>
    </i>
    <i>
      <x v="1130"/>
    </i>
    <i>
      <x v="1131"/>
    </i>
    <i>
      <x v="1132"/>
    </i>
    <i>
      <x v="1133"/>
    </i>
    <i>
      <x v="1134"/>
    </i>
    <i>
      <x v="1135"/>
    </i>
    <i>
      <x v="1136"/>
    </i>
    <i>
      <x v="1137"/>
    </i>
    <i>
      <x v="1138"/>
    </i>
    <i>
      <x v="1139"/>
    </i>
    <i>
      <x v="1140"/>
    </i>
    <i>
      <x v="1141"/>
    </i>
    <i>
      <x v="1142"/>
    </i>
    <i>
      <x v="1143"/>
    </i>
    <i>
      <x v="1144"/>
    </i>
    <i>
      <x v="1145"/>
    </i>
    <i>
      <x v="1146"/>
    </i>
    <i>
      <x v="1147"/>
    </i>
    <i>
      <x v="1148"/>
    </i>
    <i>
      <x v="1149"/>
    </i>
    <i>
      <x v="1150"/>
    </i>
    <i>
      <x v="1151"/>
    </i>
    <i>
      <x v="1152"/>
    </i>
    <i>
      <x v="1153"/>
    </i>
    <i>
      <x v="1154"/>
    </i>
    <i>
      <x v="1155"/>
    </i>
    <i>
      <x v="1156"/>
    </i>
    <i>
      <x v="1157"/>
    </i>
    <i>
      <x v="1158"/>
    </i>
    <i>
      <x v="1159"/>
    </i>
    <i>
      <x v="1160"/>
    </i>
    <i>
      <x v="1161"/>
    </i>
    <i>
      <x v="1162"/>
    </i>
    <i>
      <x v="1163"/>
    </i>
    <i>
      <x v="1164"/>
    </i>
    <i>
      <x v="1165"/>
    </i>
    <i>
      <x v="1166"/>
    </i>
    <i>
      <x v="1167"/>
    </i>
    <i>
      <x v="1168"/>
    </i>
    <i>
      <x v="1169"/>
    </i>
    <i>
      <x v="1170"/>
    </i>
    <i>
      <x v="1171"/>
    </i>
    <i>
      <x v="1172"/>
    </i>
    <i>
      <x v="1173"/>
    </i>
    <i>
      <x v="1174"/>
    </i>
    <i>
      <x v="1175"/>
    </i>
    <i>
      <x v="1176"/>
    </i>
    <i>
      <x v="1177"/>
    </i>
    <i>
      <x v="1178"/>
    </i>
    <i>
      <x v="1179"/>
    </i>
    <i>
      <x v="1180"/>
    </i>
    <i>
      <x v="1181"/>
    </i>
    <i>
      <x v="1182"/>
    </i>
    <i>
      <x v="1183"/>
    </i>
    <i>
      <x v="1184"/>
    </i>
    <i>
      <x v="1185"/>
    </i>
    <i>
      <x v="1186"/>
    </i>
    <i>
      <x v="1187"/>
    </i>
    <i>
      <x v="1188"/>
    </i>
    <i>
      <x v="1189"/>
    </i>
    <i>
      <x v="1190"/>
    </i>
    <i>
      <x v="1191"/>
    </i>
    <i>
      <x v="1192"/>
    </i>
    <i>
      <x v="1193"/>
    </i>
    <i>
      <x v="1194"/>
    </i>
    <i>
      <x v="1195"/>
    </i>
    <i>
      <x v="1196"/>
    </i>
    <i>
      <x v="1197"/>
    </i>
    <i>
      <x v="1198"/>
    </i>
    <i>
      <x v="1199"/>
    </i>
    <i>
      <x v="1200"/>
    </i>
    <i>
      <x v="1201"/>
    </i>
    <i>
      <x v="1202"/>
    </i>
    <i>
      <x v="1203"/>
    </i>
    <i>
      <x v="1204"/>
    </i>
    <i>
      <x v="1205"/>
    </i>
    <i>
      <x v="1206"/>
    </i>
    <i>
      <x v="1207"/>
    </i>
    <i>
      <x v="1208"/>
    </i>
    <i>
      <x v="1209"/>
    </i>
    <i>
      <x v="1210"/>
    </i>
    <i>
      <x v="1211"/>
    </i>
    <i>
      <x v="1212"/>
    </i>
    <i>
      <x v="1213"/>
    </i>
    <i>
      <x v="1214"/>
    </i>
    <i>
      <x v="1215"/>
    </i>
    <i>
      <x v="1216"/>
    </i>
    <i>
      <x v="1217"/>
    </i>
    <i>
      <x v="1218"/>
    </i>
    <i>
      <x v="1219"/>
    </i>
    <i>
      <x v="1220"/>
    </i>
    <i>
      <x v="1221"/>
    </i>
    <i>
      <x v="1222"/>
    </i>
    <i>
      <x v="1223"/>
    </i>
    <i>
      <x v="1224"/>
    </i>
    <i>
      <x v="1225"/>
    </i>
    <i>
      <x v="1226"/>
    </i>
    <i>
      <x v="1227"/>
    </i>
    <i>
      <x v="1228"/>
    </i>
    <i>
      <x v="1229"/>
    </i>
    <i>
      <x v="1230"/>
    </i>
    <i>
      <x v="1231"/>
    </i>
    <i>
      <x v="1232"/>
    </i>
    <i>
      <x v="1233"/>
    </i>
    <i>
      <x v="1234"/>
    </i>
    <i>
      <x v="1235"/>
    </i>
    <i>
      <x v="1236"/>
    </i>
    <i>
      <x v="1237"/>
    </i>
    <i>
      <x v="1238"/>
    </i>
    <i>
      <x v="1239"/>
    </i>
    <i>
      <x v="1240"/>
    </i>
    <i>
      <x v="1241"/>
    </i>
    <i>
      <x v="1242"/>
    </i>
    <i>
      <x v="1243"/>
    </i>
    <i>
      <x v="1244"/>
    </i>
    <i>
      <x v="1245"/>
    </i>
    <i>
      <x v="1246"/>
    </i>
    <i>
      <x v="1247"/>
    </i>
    <i>
      <x v="1248"/>
    </i>
    <i>
      <x v="1249"/>
    </i>
    <i>
      <x v="1250"/>
    </i>
    <i>
      <x v="1251"/>
    </i>
    <i>
      <x v="1252"/>
    </i>
    <i>
      <x v="1253"/>
    </i>
    <i>
      <x v="1254"/>
    </i>
    <i>
      <x v="1255"/>
    </i>
    <i>
      <x v="1256"/>
    </i>
    <i>
      <x v="1257"/>
    </i>
    <i>
      <x v="1258"/>
    </i>
    <i>
      <x v="1259"/>
    </i>
    <i>
      <x v="1260"/>
    </i>
    <i>
      <x v="1261"/>
    </i>
    <i>
      <x v="1262"/>
    </i>
    <i>
      <x v="1263"/>
    </i>
    <i>
      <x v="1264"/>
    </i>
    <i>
      <x v="1265"/>
    </i>
    <i>
      <x v="1266"/>
    </i>
    <i>
      <x v="1267"/>
    </i>
    <i>
      <x v="1268"/>
    </i>
    <i>
      <x v="1269"/>
    </i>
    <i>
      <x v="1270"/>
    </i>
    <i>
      <x v="1271"/>
    </i>
    <i>
      <x v="1272"/>
    </i>
    <i>
      <x v="1273"/>
    </i>
    <i>
      <x v="1274"/>
    </i>
    <i>
      <x v="1275"/>
    </i>
    <i>
      <x v="1276"/>
    </i>
    <i>
      <x v="1277"/>
    </i>
    <i>
      <x v="1278"/>
    </i>
    <i>
      <x v="1279"/>
    </i>
    <i>
      <x v="1280"/>
    </i>
    <i>
      <x v="1281"/>
    </i>
    <i>
      <x v="1282"/>
    </i>
    <i>
      <x v="1283"/>
    </i>
    <i>
      <x v="1284"/>
    </i>
    <i>
      <x v="1285"/>
    </i>
    <i>
      <x v="1286"/>
    </i>
    <i>
      <x v="1287"/>
    </i>
    <i>
      <x v="1288"/>
    </i>
    <i>
      <x v="1289"/>
    </i>
    <i>
      <x v="1290"/>
    </i>
    <i>
      <x v="1291"/>
    </i>
    <i>
      <x v="1292"/>
    </i>
    <i>
      <x v="1293"/>
    </i>
    <i>
      <x v="1294"/>
    </i>
    <i>
      <x v="1295"/>
    </i>
    <i>
      <x v="1296"/>
    </i>
    <i>
      <x v="1297"/>
    </i>
    <i>
      <x v="1298"/>
    </i>
    <i>
      <x v="1299"/>
    </i>
    <i>
      <x v="1300"/>
    </i>
    <i>
      <x v="1301"/>
    </i>
    <i>
      <x v="1302"/>
    </i>
    <i>
      <x v="1303"/>
    </i>
    <i>
      <x v="1304"/>
    </i>
    <i>
      <x v="1305"/>
    </i>
    <i>
      <x v="1306"/>
    </i>
    <i>
      <x v="1307"/>
    </i>
    <i>
      <x v="1308"/>
    </i>
    <i>
      <x v="1309"/>
    </i>
    <i>
      <x v="1310"/>
    </i>
    <i>
      <x v="1311"/>
    </i>
    <i>
      <x v="1312"/>
    </i>
    <i>
      <x v="1313"/>
    </i>
    <i>
      <x v="1314"/>
    </i>
    <i>
      <x v="1315"/>
    </i>
    <i>
      <x v="1316"/>
    </i>
    <i>
      <x v="1317"/>
    </i>
    <i>
      <x v="1318"/>
    </i>
    <i>
      <x v="1319"/>
    </i>
    <i>
      <x v="1320"/>
    </i>
    <i>
      <x v="1321"/>
    </i>
    <i>
      <x v="1322"/>
    </i>
    <i>
      <x v="1323"/>
    </i>
    <i>
      <x v="1324"/>
    </i>
    <i>
      <x v="1325"/>
    </i>
    <i>
      <x v="1326"/>
    </i>
    <i>
      <x v="1327"/>
    </i>
    <i>
      <x v="1328"/>
    </i>
    <i>
      <x v="1329"/>
    </i>
    <i>
      <x v="1330"/>
    </i>
    <i>
      <x v="1331"/>
    </i>
    <i>
      <x v="1332"/>
    </i>
    <i>
      <x v="1333"/>
    </i>
    <i>
      <x v="1334"/>
    </i>
    <i>
      <x v="1335"/>
    </i>
    <i>
      <x v="1336"/>
    </i>
    <i>
      <x v="1337"/>
    </i>
    <i>
      <x v="1338"/>
    </i>
    <i>
      <x v="1339"/>
    </i>
    <i>
      <x v="1340"/>
    </i>
    <i>
      <x v="1341"/>
    </i>
    <i>
      <x v="1342"/>
    </i>
    <i>
      <x v="1343"/>
    </i>
    <i>
      <x v="1344"/>
    </i>
    <i>
      <x v="1345"/>
    </i>
    <i>
      <x v="1346"/>
    </i>
    <i>
      <x v="1347"/>
    </i>
    <i>
      <x v="1348"/>
    </i>
    <i>
      <x v="1349"/>
    </i>
    <i>
      <x v="1350"/>
    </i>
    <i>
      <x v="1351"/>
    </i>
    <i>
      <x v="1352"/>
    </i>
    <i>
      <x v="1353"/>
    </i>
    <i>
      <x v="1354"/>
    </i>
    <i>
      <x v="1355"/>
    </i>
    <i>
      <x v="1356"/>
    </i>
    <i>
      <x v="1357"/>
    </i>
    <i>
      <x v="1358"/>
    </i>
    <i>
      <x v="1359"/>
    </i>
    <i>
      <x v="1360"/>
    </i>
    <i>
      <x v="1361"/>
    </i>
    <i>
      <x v="1362"/>
    </i>
    <i>
      <x v="1363"/>
    </i>
    <i>
      <x v="1364"/>
    </i>
    <i>
      <x v="1365"/>
    </i>
    <i>
      <x v="1366"/>
    </i>
    <i>
      <x v="1367"/>
    </i>
    <i>
      <x v="1368"/>
    </i>
    <i>
      <x v="1369"/>
    </i>
    <i>
      <x v="1370"/>
    </i>
    <i>
      <x v="1371"/>
    </i>
    <i>
      <x v="1372"/>
    </i>
    <i>
      <x v="1373"/>
    </i>
    <i>
      <x v="1374"/>
    </i>
    <i>
      <x v="1375"/>
    </i>
    <i>
      <x v="1376"/>
    </i>
    <i>
      <x v="1377"/>
    </i>
    <i>
      <x v="1378"/>
    </i>
    <i>
      <x v="1379"/>
    </i>
    <i>
      <x v="1380"/>
    </i>
    <i>
      <x v="1381"/>
    </i>
    <i>
      <x v="1382"/>
    </i>
    <i>
      <x v="1383"/>
    </i>
    <i>
      <x v="1384"/>
    </i>
    <i>
      <x v="1385"/>
    </i>
    <i>
      <x v="1386"/>
    </i>
    <i>
      <x v="1387"/>
    </i>
    <i>
      <x v="1388"/>
    </i>
    <i>
      <x v="1389"/>
    </i>
    <i>
      <x v="1390"/>
    </i>
    <i>
      <x v="1391"/>
    </i>
    <i>
      <x v="1392"/>
    </i>
    <i>
      <x v="1393"/>
    </i>
    <i>
      <x v="1394"/>
    </i>
    <i>
      <x v="1395"/>
    </i>
    <i>
      <x v="1396"/>
    </i>
    <i>
      <x v="1397"/>
    </i>
    <i>
      <x v="1398"/>
    </i>
    <i>
      <x v="1399"/>
    </i>
    <i>
      <x v="1400"/>
    </i>
    <i>
      <x v="1401"/>
    </i>
    <i>
      <x v="1402"/>
    </i>
    <i>
      <x v="1403"/>
    </i>
    <i>
      <x v="1404"/>
    </i>
    <i>
      <x v="1405"/>
    </i>
    <i>
      <x v="1406"/>
    </i>
    <i>
      <x v="1407"/>
    </i>
    <i>
      <x v="1408"/>
    </i>
    <i>
      <x v="1409"/>
    </i>
    <i>
      <x v="1410"/>
    </i>
    <i>
      <x v="1411"/>
    </i>
    <i>
      <x v="1412"/>
    </i>
    <i>
      <x v="1413"/>
    </i>
    <i>
      <x v="1414"/>
    </i>
    <i>
      <x v="1415"/>
    </i>
    <i>
      <x v="1416"/>
    </i>
    <i>
      <x v="1417"/>
    </i>
    <i>
      <x v="1418"/>
    </i>
    <i>
      <x v="1419"/>
    </i>
    <i>
      <x v="1420"/>
    </i>
    <i>
      <x v="1421"/>
    </i>
    <i>
      <x v="1422"/>
    </i>
    <i>
      <x v="1423"/>
    </i>
    <i>
      <x v="1424"/>
    </i>
    <i>
      <x v="1425"/>
    </i>
    <i>
      <x v="1426"/>
    </i>
    <i>
      <x v="1427"/>
    </i>
    <i>
      <x v="1428"/>
    </i>
    <i>
      <x v="1429"/>
    </i>
    <i>
      <x v="1430"/>
    </i>
    <i>
      <x v="1431"/>
    </i>
    <i>
      <x v="1432"/>
    </i>
    <i>
      <x v="1433"/>
    </i>
    <i>
      <x v="1434"/>
    </i>
    <i>
      <x v="1435"/>
    </i>
    <i>
      <x v="1436"/>
    </i>
    <i>
      <x v="1437"/>
    </i>
    <i>
      <x v="1438"/>
    </i>
    <i>
      <x v="1439"/>
    </i>
    <i>
      <x v="1440"/>
    </i>
    <i>
      <x v="1441"/>
    </i>
    <i>
      <x v="1442"/>
    </i>
    <i>
      <x v="1443"/>
    </i>
    <i>
      <x v="1444"/>
    </i>
    <i>
      <x v="1445"/>
    </i>
    <i>
      <x v="1446"/>
    </i>
    <i>
      <x v="1447"/>
    </i>
    <i>
      <x v="1448"/>
    </i>
    <i>
      <x v="1449"/>
    </i>
    <i>
      <x v="1450"/>
    </i>
    <i>
      <x v="1451"/>
    </i>
    <i>
      <x v="1452"/>
    </i>
    <i>
      <x v="1453"/>
    </i>
    <i>
      <x v="1454"/>
    </i>
    <i>
      <x v="1455"/>
    </i>
    <i>
      <x v="1456"/>
    </i>
    <i>
      <x v="1457"/>
    </i>
    <i>
      <x v="1458"/>
    </i>
    <i>
      <x v="1459"/>
    </i>
    <i>
      <x v="1460"/>
    </i>
    <i>
      <x v="1461"/>
    </i>
    <i>
      <x v="1462"/>
    </i>
    <i>
      <x v="1463"/>
    </i>
    <i>
      <x v="1464"/>
    </i>
    <i>
      <x v="1465"/>
    </i>
    <i>
      <x v="1466"/>
    </i>
    <i>
      <x v="1467"/>
    </i>
    <i>
      <x v="1468"/>
    </i>
    <i>
      <x v="1469"/>
    </i>
    <i>
      <x v="1470"/>
    </i>
    <i>
      <x v="1471"/>
    </i>
    <i>
      <x v="1472"/>
    </i>
    <i>
      <x v="1473"/>
    </i>
    <i>
      <x v="1474"/>
    </i>
    <i>
      <x v="1475"/>
    </i>
    <i>
      <x v="1476"/>
    </i>
    <i>
      <x v="1477"/>
    </i>
    <i>
      <x v="1478"/>
    </i>
    <i>
      <x v="1479"/>
    </i>
    <i>
      <x v="1480"/>
    </i>
    <i>
      <x v="1481"/>
    </i>
    <i>
      <x v="1482"/>
    </i>
    <i>
      <x v="1483"/>
    </i>
    <i>
      <x v="1484"/>
    </i>
    <i>
      <x v="1485"/>
    </i>
    <i>
      <x v="1486"/>
    </i>
    <i>
      <x v="1487"/>
    </i>
    <i>
      <x v="1488"/>
    </i>
    <i>
      <x v="1489"/>
    </i>
    <i>
      <x v="1490"/>
    </i>
    <i>
      <x v="1491"/>
    </i>
    <i>
      <x v="1492"/>
    </i>
    <i>
      <x v="1493"/>
    </i>
    <i>
      <x v="1494"/>
    </i>
    <i>
      <x v="1495"/>
    </i>
    <i>
      <x v="1496"/>
    </i>
    <i>
      <x v="1497"/>
    </i>
    <i>
      <x v="1498"/>
    </i>
    <i>
      <x v="1499"/>
    </i>
    <i>
      <x v="1500"/>
    </i>
    <i>
      <x v="1501"/>
    </i>
    <i>
      <x v="1502"/>
    </i>
    <i>
      <x v="1503"/>
    </i>
    <i>
      <x v="1504"/>
    </i>
    <i>
      <x v="1505"/>
    </i>
    <i>
      <x v="1506"/>
    </i>
    <i>
      <x v="1507"/>
    </i>
    <i>
      <x v="1508"/>
    </i>
    <i>
      <x v="1509"/>
    </i>
    <i>
      <x v="1510"/>
    </i>
    <i>
      <x v="1511"/>
    </i>
    <i>
      <x v="1512"/>
    </i>
    <i>
      <x v="1513"/>
    </i>
    <i>
      <x v="1514"/>
    </i>
    <i>
      <x v="1515"/>
    </i>
    <i>
      <x v="1516"/>
    </i>
    <i>
      <x v="1517"/>
    </i>
    <i>
      <x v="1518"/>
    </i>
    <i>
      <x v="1519"/>
    </i>
    <i>
      <x v="1520"/>
    </i>
    <i>
      <x v="1521"/>
    </i>
    <i>
      <x v="1522"/>
    </i>
    <i>
      <x v="1523"/>
    </i>
    <i>
      <x v="1524"/>
    </i>
    <i>
      <x v="1525"/>
    </i>
    <i>
      <x v="1526"/>
    </i>
    <i>
      <x v="1527"/>
    </i>
    <i>
      <x v="1528"/>
    </i>
    <i>
      <x v="1529"/>
    </i>
    <i>
      <x v="1530"/>
    </i>
    <i>
      <x v="1531"/>
    </i>
    <i>
      <x v="1532"/>
    </i>
    <i>
      <x v="1533"/>
    </i>
    <i>
      <x v="1534"/>
    </i>
    <i>
      <x v="1535"/>
    </i>
    <i>
      <x v="1536"/>
    </i>
    <i>
      <x v="1537"/>
    </i>
    <i>
      <x v="1538"/>
    </i>
    <i>
      <x v="1539"/>
    </i>
    <i>
      <x v="1540"/>
    </i>
    <i>
      <x v="1541"/>
    </i>
    <i>
      <x v="1542"/>
    </i>
    <i>
      <x v="1543"/>
    </i>
    <i>
      <x v="1544"/>
    </i>
    <i>
      <x v="1545"/>
    </i>
    <i>
      <x v="1546"/>
    </i>
    <i>
      <x v="1547"/>
    </i>
    <i>
      <x v="1548"/>
    </i>
    <i>
      <x v="1549"/>
    </i>
    <i>
      <x v="1550"/>
    </i>
    <i>
      <x v="1551"/>
    </i>
    <i>
      <x v="1552"/>
    </i>
    <i>
      <x v="1553"/>
    </i>
    <i>
      <x v="1554"/>
    </i>
    <i>
      <x v="1555"/>
    </i>
    <i>
      <x v="1556"/>
    </i>
    <i>
      <x v="1557"/>
    </i>
    <i>
      <x v="1558"/>
    </i>
    <i>
      <x v="1559"/>
    </i>
    <i>
      <x v="1560"/>
    </i>
    <i>
      <x v="1561"/>
    </i>
    <i>
      <x v="1562"/>
    </i>
    <i>
      <x v="1563"/>
    </i>
    <i>
      <x v="1564"/>
    </i>
    <i>
      <x v="1565"/>
    </i>
    <i>
      <x v="1566"/>
    </i>
    <i>
      <x v="1567"/>
    </i>
    <i>
      <x v="1568"/>
    </i>
    <i>
      <x v="1569"/>
    </i>
    <i>
      <x v="1570"/>
    </i>
    <i>
      <x v="1571"/>
    </i>
    <i>
      <x v="1572"/>
    </i>
    <i>
      <x v="1573"/>
    </i>
    <i>
      <x v="1574"/>
    </i>
    <i>
      <x v="1575"/>
    </i>
    <i>
      <x v="1576"/>
    </i>
    <i>
      <x v="1577"/>
    </i>
    <i>
      <x v="1578"/>
    </i>
    <i>
      <x v="1579"/>
    </i>
    <i>
      <x v="1580"/>
    </i>
    <i>
      <x v="1581"/>
    </i>
    <i>
      <x v="1582"/>
    </i>
    <i>
      <x v="1583"/>
    </i>
    <i>
      <x v="1584"/>
    </i>
    <i>
      <x v="1585"/>
    </i>
    <i>
      <x v="1586"/>
    </i>
    <i>
      <x v="1587"/>
    </i>
    <i>
      <x v="1588"/>
    </i>
    <i>
      <x v="1589"/>
    </i>
    <i>
      <x v="1590"/>
    </i>
    <i>
      <x v="1591"/>
    </i>
    <i>
      <x v="1592"/>
    </i>
    <i>
      <x v="1593"/>
    </i>
    <i>
      <x v="1594"/>
    </i>
    <i>
      <x v="1595"/>
    </i>
    <i>
      <x v="1596"/>
    </i>
    <i>
      <x v="1597"/>
    </i>
    <i>
      <x v="1598"/>
    </i>
    <i>
      <x v="1599"/>
    </i>
    <i>
      <x v="1600"/>
    </i>
    <i>
      <x v="1601"/>
    </i>
    <i>
      <x v="1602"/>
    </i>
    <i>
      <x v="1603"/>
    </i>
    <i>
      <x v="1604"/>
    </i>
    <i>
      <x v="1605"/>
    </i>
    <i>
      <x v="1606"/>
    </i>
    <i>
      <x v="1607"/>
    </i>
    <i>
      <x v="1608"/>
    </i>
    <i>
      <x v="1609"/>
    </i>
    <i>
      <x v="1610"/>
    </i>
    <i>
      <x v="1611"/>
    </i>
    <i>
      <x v="1612"/>
    </i>
    <i>
      <x v="1613"/>
    </i>
    <i>
      <x v="1614"/>
    </i>
    <i>
      <x v="1615"/>
    </i>
    <i>
      <x v="1616"/>
    </i>
    <i>
      <x v="1617"/>
    </i>
    <i>
      <x v="1618"/>
    </i>
    <i>
      <x v="1619"/>
    </i>
    <i>
      <x v="1620"/>
    </i>
    <i>
      <x v="1621"/>
    </i>
    <i>
      <x v="1622"/>
    </i>
    <i>
      <x v="1623"/>
    </i>
    <i>
      <x v="1624"/>
    </i>
    <i>
      <x v="1625"/>
    </i>
    <i>
      <x v="1626"/>
    </i>
    <i>
      <x v="1627"/>
    </i>
    <i>
      <x v="1628"/>
    </i>
    <i>
      <x v="1629"/>
    </i>
    <i>
      <x v="1630"/>
    </i>
    <i>
      <x v="1631"/>
    </i>
    <i>
      <x v="1632"/>
    </i>
    <i>
      <x v="1633"/>
    </i>
    <i>
      <x v="1634"/>
    </i>
    <i>
      <x v="1635"/>
    </i>
    <i>
      <x v="1636"/>
    </i>
    <i>
      <x v="1637"/>
    </i>
    <i>
      <x v="1638"/>
    </i>
    <i>
      <x v="1639"/>
    </i>
    <i>
      <x v="1640"/>
    </i>
    <i>
      <x v="1641"/>
    </i>
    <i>
      <x v="1642"/>
    </i>
    <i>
      <x v="1643"/>
    </i>
    <i>
      <x v="1644"/>
    </i>
    <i>
      <x v="1645"/>
    </i>
    <i>
      <x v="1646"/>
    </i>
    <i>
      <x v="1647"/>
    </i>
    <i>
      <x v="1648"/>
    </i>
    <i>
      <x v="1649"/>
    </i>
    <i>
      <x v="1650"/>
    </i>
    <i>
      <x v="1651"/>
    </i>
    <i>
      <x v="1652"/>
    </i>
    <i>
      <x v="1653"/>
    </i>
    <i>
      <x v="1654"/>
    </i>
    <i>
      <x v="1655"/>
    </i>
    <i>
      <x v="1656"/>
    </i>
    <i>
      <x v="1657"/>
    </i>
    <i>
      <x v="1658"/>
    </i>
    <i>
      <x v="1659"/>
    </i>
    <i>
      <x v="1660"/>
    </i>
    <i>
      <x v="1661"/>
    </i>
    <i>
      <x v="1662"/>
    </i>
    <i>
      <x v="1663"/>
    </i>
    <i>
      <x v="1664"/>
    </i>
    <i>
      <x v="1665"/>
    </i>
    <i>
      <x v="1666"/>
    </i>
    <i>
      <x v="1667"/>
    </i>
    <i>
      <x v="1668"/>
    </i>
    <i>
      <x v="1669"/>
    </i>
    <i>
      <x v="1670"/>
    </i>
    <i>
      <x v="1671"/>
    </i>
    <i>
      <x v="1672"/>
    </i>
    <i>
      <x v="1673"/>
    </i>
    <i>
      <x v="1674"/>
    </i>
    <i>
      <x v="1675"/>
    </i>
    <i>
      <x v="1676"/>
    </i>
    <i>
      <x v="1677"/>
    </i>
    <i>
      <x v="1678"/>
    </i>
    <i>
      <x v="1679"/>
    </i>
    <i>
      <x v="1680"/>
    </i>
    <i>
      <x v="1681"/>
    </i>
    <i>
      <x v="1682"/>
    </i>
    <i>
      <x v="1683"/>
    </i>
    <i>
      <x v="1684"/>
    </i>
    <i>
      <x v="1685"/>
    </i>
    <i>
      <x v="1686"/>
    </i>
    <i>
      <x v="1687"/>
    </i>
    <i>
      <x v="1688"/>
    </i>
    <i>
      <x v="1689"/>
    </i>
    <i>
      <x v="1690"/>
    </i>
    <i>
      <x v="1691"/>
    </i>
    <i>
      <x v="1692"/>
    </i>
    <i>
      <x v="1693"/>
    </i>
    <i>
      <x v="1694"/>
    </i>
    <i>
      <x v="1695"/>
    </i>
    <i>
      <x v="1696"/>
    </i>
    <i>
      <x v="1697"/>
    </i>
    <i>
      <x v="1698"/>
    </i>
    <i>
      <x v="1699"/>
    </i>
    <i>
      <x v="1700"/>
    </i>
    <i>
      <x v="1701"/>
    </i>
    <i>
      <x v="1702"/>
    </i>
    <i>
      <x v="1703"/>
    </i>
    <i>
      <x v="1704"/>
    </i>
    <i>
      <x v="1705"/>
    </i>
    <i>
      <x v="1706"/>
    </i>
    <i>
      <x v="1707"/>
    </i>
    <i>
      <x v="1708"/>
    </i>
    <i>
      <x v="1709"/>
    </i>
    <i>
      <x v="1710"/>
    </i>
    <i>
      <x v="1711"/>
    </i>
    <i>
      <x v="1712"/>
    </i>
    <i>
      <x v="1713"/>
    </i>
    <i>
      <x v="1714"/>
    </i>
    <i>
      <x v="1715"/>
    </i>
    <i>
      <x v="1716"/>
    </i>
    <i>
      <x v="1717"/>
    </i>
    <i>
      <x v="1718"/>
    </i>
    <i>
      <x v="1719"/>
    </i>
    <i>
      <x v="1720"/>
    </i>
    <i>
      <x v="1721"/>
    </i>
    <i>
      <x v="1722"/>
    </i>
    <i>
      <x v="1723"/>
    </i>
    <i>
      <x v="1724"/>
    </i>
    <i>
      <x v="1725"/>
    </i>
    <i>
      <x v="1726"/>
    </i>
    <i>
      <x v="1727"/>
    </i>
    <i>
      <x v="1728"/>
    </i>
    <i>
      <x v="1729"/>
    </i>
    <i>
      <x v="1730"/>
    </i>
    <i>
      <x v="1731"/>
    </i>
    <i>
      <x v="1732"/>
    </i>
    <i>
      <x v="1733"/>
    </i>
    <i>
      <x v="1734"/>
    </i>
    <i>
      <x v="1735"/>
    </i>
    <i>
      <x v="1736"/>
    </i>
    <i>
      <x v="1737"/>
    </i>
    <i>
      <x v="1738"/>
    </i>
    <i>
      <x v="1739"/>
    </i>
    <i>
      <x v="1740"/>
    </i>
    <i>
      <x v="1741"/>
    </i>
    <i>
      <x v="1742"/>
    </i>
    <i>
      <x v="1743"/>
    </i>
    <i>
      <x v="1744"/>
    </i>
    <i>
      <x v="1745"/>
    </i>
    <i>
      <x v="1746"/>
    </i>
    <i>
      <x v="1747"/>
    </i>
    <i>
      <x v="1748"/>
    </i>
    <i>
      <x v="1749"/>
    </i>
    <i>
      <x v="1750"/>
    </i>
    <i>
      <x v="1751"/>
    </i>
    <i>
      <x v="1752"/>
    </i>
    <i>
      <x v="1753"/>
    </i>
    <i>
      <x v="1754"/>
    </i>
    <i>
      <x v="1755"/>
    </i>
    <i>
      <x v="1756"/>
    </i>
    <i>
      <x v="1757"/>
    </i>
    <i>
      <x v="1758"/>
    </i>
    <i>
      <x v="1759"/>
    </i>
    <i>
      <x v="1760"/>
    </i>
    <i>
      <x v="1761"/>
    </i>
    <i>
      <x v="1762"/>
    </i>
    <i>
      <x v="1763"/>
    </i>
    <i>
      <x v="1764"/>
    </i>
    <i>
      <x v="1765"/>
    </i>
    <i>
      <x v="1766"/>
    </i>
    <i>
      <x v="1767"/>
    </i>
    <i>
      <x v="1768"/>
    </i>
    <i>
      <x v="1769"/>
    </i>
    <i>
      <x v="1770"/>
    </i>
    <i>
      <x v="1771"/>
    </i>
    <i>
      <x v="1772"/>
    </i>
    <i>
      <x v="1773"/>
    </i>
    <i>
      <x v="1774"/>
    </i>
    <i>
      <x v="1775"/>
    </i>
    <i>
      <x v="1776"/>
    </i>
    <i>
      <x v="1777"/>
    </i>
    <i>
      <x v="1778"/>
    </i>
    <i>
      <x v="1779"/>
    </i>
    <i>
      <x v="1780"/>
    </i>
    <i>
      <x v="1781"/>
    </i>
    <i>
      <x v="1782"/>
    </i>
    <i>
      <x v="1783"/>
    </i>
    <i>
      <x v="1784"/>
    </i>
    <i>
      <x v="1785"/>
    </i>
    <i>
      <x v="1786"/>
    </i>
    <i>
      <x v="1787"/>
    </i>
    <i>
      <x v="1788"/>
    </i>
    <i>
      <x v="1789"/>
    </i>
    <i>
      <x v="1790"/>
    </i>
    <i>
      <x v="1791"/>
    </i>
    <i>
      <x v="1792"/>
    </i>
    <i>
      <x v="1793"/>
    </i>
    <i>
      <x v="1794"/>
    </i>
    <i>
      <x v="1795"/>
    </i>
    <i>
      <x v="1796"/>
    </i>
    <i>
      <x v="1797"/>
    </i>
    <i>
      <x v="1798"/>
    </i>
    <i>
      <x v="1799"/>
    </i>
    <i>
      <x v="1800"/>
    </i>
    <i>
      <x v="1801"/>
    </i>
    <i>
      <x v="1802"/>
    </i>
    <i>
      <x v="1803"/>
    </i>
    <i>
      <x v="1804"/>
    </i>
    <i>
      <x v="1805"/>
    </i>
    <i>
      <x v="1806"/>
    </i>
    <i>
      <x v="1807"/>
    </i>
    <i>
      <x v="1808"/>
    </i>
    <i>
      <x v="1809"/>
    </i>
    <i>
      <x v="1810"/>
    </i>
    <i>
      <x v="1811"/>
    </i>
    <i>
      <x v="1812"/>
    </i>
    <i>
      <x v="1813"/>
    </i>
    <i>
      <x v="1814"/>
    </i>
    <i>
      <x v="1815"/>
    </i>
    <i>
      <x v="1816"/>
    </i>
    <i>
      <x v="1817"/>
    </i>
    <i>
      <x v="1818"/>
    </i>
    <i>
      <x v="1819"/>
    </i>
    <i>
      <x v="1820"/>
    </i>
    <i>
      <x v="1821"/>
    </i>
    <i>
      <x v="1822"/>
    </i>
    <i>
      <x v="1823"/>
    </i>
    <i>
      <x v="1824"/>
    </i>
    <i>
      <x v="1825"/>
    </i>
    <i>
      <x v="1826"/>
    </i>
    <i>
      <x v="1827"/>
    </i>
    <i>
      <x v="1828"/>
    </i>
    <i>
      <x v="1829"/>
    </i>
    <i>
      <x v="1830"/>
    </i>
    <i>
      <x v="1831"/>
    </i>
    <i>
      <x v="1832"/>
    </i>
    <i>
      <x v="1833"/>
    </i>
    <i>
      <x v="1834"/>
    </i>
    <i>
      <x v="1835"/>
    </i>
    <i>
      <x v="1836"/>
    </i>
    <i>
      <x v="1837"/>
    </i>
    <i>
      <x v="1838"/>
    </i>
    <i>
      <x v="1839"/>
    </i>
    <i>
      <x v="1840"/>
    </i>
    <i>
      <x v="1841"/>
    </i>
    <i>
      <x v="1842"/>
    </i>
    <i>
      <x v="1843"/>
    </i>
    <i>
      <x v="1844"/>
    </i>
    <i>
      <x v="1845"/>
    </i>
    <i>
      <x v="1846"/>
    </i>
    <i>
      <x v="1847"/>
    </i>
    <i>
      <x v="1848"/>
    </i>
    <i>
      <x v="1849"/>
    </i>
    <i>
      <x v="1850"/>
    </i>
    <i>
      <x v="1851"/>
    </i>
    <i>
      <x v="1852"/>
    </i>
    <i>
      <x v="1853"/>
    </i>
    <i>
      <x v="1854"/>
    </i>
    <i>
      <x v="1855"/>
    </i>
    <i>
      <x v="1856"/>
    </i>
    <i>
      <x v="1857"/>
    </i>
    <i>
      <x v="1858"/>
    </i>
    <i>
      <x v="1859"/>
    </i>
    <i>
      <x v="1860"/>
    </i>
    <i>
      <x v="1861"/>
    </i>
    <i>
      <x v="1862"/>
    </i>
    <i>
      <x v="1863"/>
    </i>
    <i>
      <x v="1864"/>
    </i>
    <i>
      <x v="1865"/>
    </i>
    <i>
      <x v="1866"/>
    </i>
    <i>
      <x v="1867"/>
    </i>
    <i>
      <x v="1868"/>
    </i>
    <i>
      <x v="1869"/>
    </i>
    <i>
      <x v="1870"/>
    </i>
    <i>
      <x v="1871"/>
    </i>
    <i>
      <x v="1872"/>
    </i>
    <i>
      <x v="1873"/>
    </i>
    <i>
      <x v="1874"/>
    </i>
    <i>
      <x v="1875"/>
    </i>
    <i>
      <x v="1876"/>
    </i>
    <i>
      <x v="1877"/>
    </i>
    <i>
      <x v="1878"/>
    </i>
    <i>
      <x v="1879"/>
    </i>
    <i>
      <x v="1880"/>
    </i>
    <i>
      <x v="1881"/>
    </i>
    <i>
      <x v="1882"/>
    </i>
    <i>
      <x v="1883"/>
    </i>
    <i>
      <x v="1884"/>
    </i>
    <i>
      <x v="1885"/>
    </i>
    <i t="grand">
      <x/>
    </i>
  </colItems>
  <pageFields count="1">
    <pageField fld="9" hier="-1"/>
  </pageFields>
  <dataFields count="1">
    <dataField name="Sum of Revenue" fld="4" baseField="0" baseItem="0"/>
  </dataFields>
  <chartFormats count="4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5F461BA-9601-4303-B26F-DECA2D26B759}" name="PivotTable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>
  <location ref="B10:E11" firstHeaderRow="0" firstDataRow="1" firstDataCol="0"/>
  <pivotFields count="12">
    <pivotField numFmtId="14" showAll="0"/>
    <pivotField showAll="0"/>
    <pivotField showAll="0">
      <items count="5">
        <item x="1"/>
        <item x="3"/>
        <item x="0"/>
        <item x="2"/>
        <item t="default"/>
      </items>
    </pivotField>
    <pivotField showAll="0"/>
    <pivotField dataField="1" showAll="0"/>
    <pivotField showAll="0"/>
    <pivotField showAll="0"/>
    <pivotField dataField="1" showAll="0"/>
    <pivotField numFmtId="9" showAll="0"/>
    <pivotField dataField="1" showAll="0">
      <items count="4">
        <item x="1"/>
        <item x="2"/>
        <item x="0"/>
        <item t="default"/>
      </items>
    </pivotField>
    <pivotField dragToRow="0" dragToCol="0" dragToPage="0" showAll="0" defaultSubtotal="0"/>
    <pivotField dataField="1" dragToRow="0" dragToCol="0" dragToPage="0" showAll="0" defaultSubtotal="0"/>
  </pivotFields>
  <rowItems count="1">
    <i/>
  </rowItems>
  <colFields count="1">
    <field x="-2"/>
  </colFields>
  <colItems count="4">
    <i>
      <x/>
    </i>
    <i i="1">
      <x v="1"/>
    </i>
    <i i="2">
      <x v="2"/>
    </i>
    <i i="3">
      <x v="3"/>
    </i>
  </colItems>
  <dataFields count="4">
    <dataField name="Sum of Profit" fld="7" baseField="0" baseItem="0"/>
    <dataField name="Sum of Revenue" fld="4" baseField="0" baseItem="0"/>
    <dataField name="Sum of Profit Margin" fld="11" baseField="0" baseItem="0" numFmtId="9"/>
    <dataField name="Sum of Year" fld="9" baseField="0" baseItem="0" numFmtId="164"/>
  </dataFields>
  <formats count="2">
    <format dxfId="7">
      <pivotArea outline="0" collapsedLevelsAreSubtotals="1" fieldPosition="0">
        <references count="1">
          <reference field="4294967294" count="1" selected="0">
            <x v="2"/>
          </reference>
        </references>
      </pivotArea>
    </format>
    <format dxfId="6">
      <pivotArea outline="0" collapsedLevelsAreSubtotals="1" fieldPosition="0">
        <references count="1">
          <reference field="4294967294" count="1" selected="0">
            <x v="3"/>
          </reference>
        </references>
      </pivotArea>
    </format>
  </formats>
  <chartFormats count="4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0" format="2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0" format="3" series="1">
      <pivotArea type="data" outline="0" fieldPosition="0">
        <references count="1">
          <reference field="4294967294" count="1" selected="0">
            <x v="3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83246EF-6FBC-48B4-9A09-D05607400D52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B3:C8" firstHeaderRow="1" firstDataRow="1" firstDataCol="1"/>
  <pivotFields count="12">
    <pivotField numFmtId="14" showAll="0"/>
    <pivotField axis="axisRow" showAll="0">
      <items count="5">
        <item x="2"/>
        <item x="3"/>
        <item x="1"/>
        <item x="0"/>
        <item t="default"/>
      </items>
    </pivotField>
    <pivotField showAll="0"/>
    <pivotField showAll="0"/>
    <pivotField dataField="1" showAll="0">
      <items count="1888">
        <item x="448"/>
        <item x="298"/>
        <item x="1800"/>
        <item x="1239"/>
        <item x="1357"/>
        <item x="170"/>
        <item x="362"/>
        <item x="1548"/>
        <item x="1850"/>
        <item x="1755"/>
        <item x="941"/>
        <item x="547"/>
        <item x="1492"/>
        <item x="1723"/>
        <item x="968"/>
        <item x="1780"/>
        <item x="1254"/>
        <item x="421"/>
        <item x="241"/>
        <item x="146"/>
        <item x="1268"/>
        <item x="70"/>
        <item x="106"/>
        <item x="97"/>
        <item x="85"/>
        <item x="1146"/>
        <item x="684"/>
        <item x="1076"/>
        <item x="1428"/>
        <item x="422"/>
        <item x="847"/>
        <item x="1178"/>
        <item x="1233"/>
        <item x="390"/>
        <item x="1496"/>
        <item x="640"/>
        <item x="617"/>
        <item x="759"/>
        <item x="220"/>
        <item x="1345"/>
        <item x="16"/>
        <item x="165"/>
        <item x="418"/>
        <item x="1625"/>
        <item x="824"/>
        <item x="962"/>
        <item x="1006"/>
        <item x="1774"/>
        <item x="44"/>
        <item x="1180"/>
        <item x="1038"/>
        <item x="1795"/>
        <item x="271"/>
        <item x="699"/>
        <item x="1243"/>
        <item x="1858"/>
        <item x="175"/>
        <item x="690"/>
        <item x="935"/>
        <item x="876"/>
        <item x="1270"/>
        <item x="751"/>
        <item x="716"/>
        <item x="1595"/>
        <item x="261"/>
        <item x="1651"/>
        <item x="76"/>
        <item x="1237"/>
        <item x="990"/>
        <item x="222"/>
        <item x="1263"/>
        <item x="245"/>
        <item x="1512"/>
        <item x="1578"/>
        <item x="560"/>
        <item x="274"/>
        <item x="1444"/>
        <item x="791"/>
        <item x="1839"/>
        <item x="79"/>
        <item x="1169"/>
        <item x="591"/>
        <item x="830"/>
        <item x="704"/>
        <item x="1748"/>
        <item x="1301"/>
        <item x="1643"/>
        <item x="1459"/>
        <item x="1075"/>
        <item x="299"/>
        <item x="491"/>
        <item x="15"/>
        <item x="1722"/>
        <item x="898"/>
        <item x="1540"/>
        <item x="1022"/>
        <item x="775"/>
        <item x="1673"/>
        <item x="662"/>
        <item x="969"/>
        <item x="1547"/>
        <item x="858"/>
        <item x="166"/>
        <item x="1341"/>
        <item x="388"/>
        <item x="317"/>
        <item x="1716"/>
        <item x="1503"/>
        <item x="372"/>
        <item x="493"/>
        <item x="1611"/>
        <item x="304"/>
        <item x="115"/>
        <item x="1368"/>
        <item x="1600"/>
        <item x="1629"/>
        <item x="236"/>
        <item x="1144"/>
        <item x="633"/>
        <item x="1315"/>
        <item x="1031"/>
        <item x="1318"/>
        <item x="813"/>
        <item x="303"/>
        <item x="696"/>
        <item x="1883"/>
        <item x="550"/>
        <item x="728"/>
        <item x="283"/>
        <item x="1619"/>
        <item x="52"/>
        <item x="73"/>
        <item x="873"/>
        <item x="1164"/>
        <item x="69"/>
        <item x="426"/>
        <item x="1744"/>
        <item x="1353"/>
        <item x="1015"/>
        <item x="1783"/>
        <item x="1228"/>
        <item x="900"/>
        <item x="525"/>
        <item x="33"/>
        <item x="99"/>
        <item x="796"/>
        <item x="536"/>
        <item x="518"/>
        <item x="1802"/>
        <item x="380"/>
        <item x="1186"/>
        <item x="248"/>
        <item x="1064"/>
        <item x="1843"/>
        <item x="1474"/>
        <item x="886"/>
        <item x="1221"/>
        <item x="1565"/>
        <item x="1346"/>
        <item x="1094"/>
        <item x="1727"/>
        <item x="1413"/>
        <item x="881"/>
        <item x="977"/>
        <item x="1859"/>
        <item x="1203"/>
        <item x="1520"/>
        <item x="463"/>
        <item x="1460"/>
        <item x="1032"/>
        <item x="735"/>
        <item x="255"/>
        <item x="628"/>
        <item x="1111"/>
        <item x="1792"/>
        <item x="559"/>
        <item x="1759"/>
        <item x="1232"/>
        <item x="138"/>
        <item x="563"/>
        <item x="1372"/>
        <item x="1814"/>
        <item x="346"/>
        <item x="1403"/>
        <item x="201"/>
        <item x="1481"/>
        <item x="1791"/>
        <item x="1411"/>
        <item x="670"/>
        <item x="1610"/>
        <item x="1440"/>
        <item x="66"/>
        <item x="720"/>
        <item x="553"/>
        <item x="1718"/>
        <item x="1877"/>
        <item x="785"/>
        <item x="243"/>
        <item x="1827"/>
        <item x="908"/>
        <item x="1833"/>
        <item x="1824"/>
        <item x="22"/>
        <item x="722"/>
        <item x="1598"/>
        <item x="194"/>
        <item x="1469"/>
        <item x="904"/>
        <item x="1396"/>
        <item x="1752"/>
        <item x="214"/>
        <item x="174"/>
        <item x="318"/>
        <item x="1070"/>
        <item x="81"/>
        <item x="1394"/>
        <item x="1590"/>
        <item x="1737"/>
        <item x="1841"/>
        <item x="1334"/>
        <item x="417"/>
        <item x="1103"/>
        <item x="1479"/>
        <item x="1454"/>
        <item x="192"/>
        <item x="1410"/>
        <item x="1484"/>
        <item x="260"/>
        <item x="1608"/>
        <item x="1434"/>
        <item x="314"/>
        <item x="355"/>
        <item x="853"/>
        <item x="111"/>
        <item x="65"/>
        <item x="877"/>
        <item x="1450"/>
        <item x="1705"/>
        <item x="1848"/>
        <item x="1730"/>
        <item x="905"/>
        <item x="1617"/>
        <item x="232"/>
        <item x="495"/>
        <item x="779"/>
        <item x="1438"/>
        <item x="1336"/>
        <item x="672"/>
        <item x="1452"/>
        <item x="888"/>
        <item x="855"/>
        <item x="551"/>
        <item x="1039"/>
        <item x="1114"/>
        <item x="503"/>
        <item x="1196"/>
        <item x="1817"/>
        <item x="391"/>
        <item x="444"/>
        <item x="1182"/>
        <item x="1150"/>
        <item x="278"/>
        <item x="1725"/>
        <item x="1290"/>
        <item x="1219"/>
        <item x="850"/>
        <item x="217"/>
        <item x="602"/>
        <item x="1400"/>
        <item x="367"/>
        <item x="1649"/>
        <item x="1040"/>
        <item x="1633"/>
        <item x="1448"/>
        <item x="965"/>
        <item x="875"/>
        <item x="1398"/>
        <item x="959"/>
        <item x="1624"/>
        <item x="1786"/>
        <item x="1447"/>
        <item x="1424"/>
        <item x="1473"/>
        <item x="82"/>
        <item x="35"/>
        <item x="233"/>
        <item x="414"/>
        <item x="1642"/>
        <item x="78"/>
        <item x="1552"/>
        <item x="1579"/>
        <item x="1083"/>
        <item x="1763"/>
        <item x="1426"/>
        <item x="38"/>
        <item x="1187"/>
        <item x="928"/>
        <item x="851"/>
        <item x="297"/>
        <item x="812"/>
        <item x="1366"/>
        <item x="985"/>
        <item x="635"/>
        <item x="403"/>
        <item x="335"/>
        <item x="1251"/>
        <item x="1295"/>
        <item x="74"/>
        <item x="377"/>
        <item x="135"/>
        <item x="1771"/>
        <item x="825"/>
        <item x="991"/>
        <item x="61"/>
        <item x="1194"/>
        <item x="1653"/>
        <item x="641"/>
        <item x="1476"/>
        <item x="919"/>
        <item x="912"/>
        <item x="1412"/>
        <item x="1058"/>
        <item x="571"/>
        <item x="1053"/>
        <item x="1172"/>
        <item x="173"/>
        <item x="521"/>
        <item x="1536"/>
        <item x="145"/>
        <item x="739"/>
        <item x="1501"/>
        <item x="1769"/>
        <item x="1847"/>
        <item x="313"/>
        <item x="577"/>
        <item x="1050"/>
        <item x="1090"/>
        <item x="917"/>
        <item x="11"/>
        <item x="350"/>
        <item x="647"/>
        <item x="395"/>
        <item x="555"/>
        <item x="1453"/>
        <item x="1212"/>
        <item x="456"/>
        <item x="552"/>
        <item x="523"/>
        <item x="1844"/>
        <item x="1112"/>
        <item x="1640"/>
        <item x="1158"/>
        <item x="67"/>
        <item x="159"/>
        <item x="212"/>
        <item x="1593"/>
        <item x="1138"/>
        <item x="724"/>
        <item x="1886"/>
        <item x="1581"/>
        <item x="930"/>
        <item x="883"/>
        <item x="1855"/>
        <item x="848"/>
        <item x="371"/>
        <item x="1099"/>
        <item x="1882"/>
        <item x="1157"/>
        <item x="613"/>
        <item x="543"/>
        <item x="837"/>
        <item x="1041"/>
        <item x="1282"/>
        <item x="1230"/>
        <item x="210"/>
        <item x="1127"/>
        <item x="387"/>
        <item x="439"/>
        <item x="1348"/>
        <item x="57"/>
        <item x="1082"/>
        <item x="487"/>
        <item x="102"/>
        <item x="615"/>
        <item x="1658"/>
        <item x="892"/>
        <item x="262"/>
        <item x="185"/>
        <item x="1215"/>
        <item x="1350"/>
        <item x="1713"/>
        <item x="64"/>
        <item x="1227"/>
        <item x="168"/>
        <item x="586"/>
        <item x="1700"/>
        <item x="711"/>
        <item x="483"/>
        <item x="1248"/>
        <item x="1241"/>
        <item x="687"/>
        <item x="1838"/>
        <item x="1441"/>
        <item x="300"/>
        <item x="83"/>
        <item x="221"/>
        <item x="1204"/>
        <item x="227"/>
        <item x="1756"/>
        <item x="1025"/>
        <item x="737"/>
        <item x="1522"/>
        <item x="730"/>
        <item x="654"/>
        <item x="473"/>
        <item x="1793"/>
        <item x="564"/>
        <item x="1236"/>
        <item x="40"/>
        <item x="164"/>
        <item x="50"/>
        <item x="295"/>
        <item x="1000"/>
        <item x="1710"/>
        <item x="149"/>
        <item x="1856"/>
        <item x="424"/>
        <item x="41"/>
        <item x="275"/>
        <item x="973"/>
        <item x="423"/>
        <item x="1170"/>
        <item x="1442"/>
        <item x="197"/>
        <item x="1772"/>
        <item x="273"/>
        <item x="678"/>
        <item x="1328"/>
        <item x="459"/>
        <item x="249"/>
        <item x="247"/>
        <item x="742"/>
        <item x="437"/>
        <item x="938"/>
        <item x="1162"/>
        <item x="882"/>
        <item x="1029"/>
        <item x="868"/>
        <item x="610"/>
        <item x="127"/>
        <item x="772"/>
        <item x="1155"/>
        <item x="1614"/>
        <item x="843"/>
        <item x="926"/>
        <item x="661"/>
        <item x="787"/>
        <item x="84"/>
        <item x="741"/>
        <item x="308"/>
        <item x="1152"/>
        <item x="925"/>
        <item x="1381"/>
        <item x="747"/>
        <item x="970"/>
        <item x="19"/>
        <item x="1240"/>
        <item x="1014"/>
        <item x="1393"/>
        <item x="822"/>
        <item x="753"/>
        <item x="1176"/>
        <item x="1399"/>
        <item x="738"/>
        <item x="460"/>
        <item x="183"/>
        <item x="574"/>
        <item x="1364"/>
        <item x="28"/>
        <item x="1333"/>
        <item x="1785"/>
        <item x="1869"/>
        <item x="587"/>
        <item x="1650"/>
        <item x="132"/>
        <item x="56"/>
        <item x="269"/>
        <item x="1257"/>
        <item x="334"/>
        <item x="512"/>
        <item x="1813"/>
        <item x="1714"/>
        <item x="1272"/>
        <item x="1753"/>
        <item x="120"/>
        <item x="128"/>
        <item x="1422"/>
        <item x="1458"/>
        <item x="639"/>
        <item x="502"/>
        <item x="1042"/>
        <item x="284"/>
        <item x="1122"/>
        <item x="406"/>
        <item x="755"/>
        <item x="1566"/>
        <item x="1095"/>
        <item x="1347"/>
        <item x="1612"/>
        <item x="1621"/>
        <item x="541"/>
        <item x="363"/>
        <item x="1117"/>
        <item x="1161"/>
        <item x="1689"/>
        <item x="1563"/>
        <item x="1085"/>
        <item x="1074"/>
        <item x="1078"/>
        <item x="1741"/>
        <item x="581"/>
        <item x="1107"/>
        <item x="845"/>
        <item x="1866"/>
        <item x="595"/>
        <item x="1738"/>
        <item x="754"/>
        <item x="650"/>
        <item x="763"/>
        <item x="1206"/>
        <item x="803"/>
        <item x="1404"/>
        <item x="1530"/>
        <item x="1879"/>
        <item x="797"/>
        <item x="5"/>
        <item x="1113"/>
        <item x="854"/>
        <item x="42"/>
        <item x="712"/>
        <item x="1384"/>
        <item x="734"/>
        <item x="709"/>
        <item x="9"/>
        <item x="446"/>
        <item x="694"/>
        <item x="1205"/>
        <item x="939"/>
        <item x="768"/>
        <item x="160"/>
        <item x="1531"/>
        <item x="589"/>
        <item x="601"/>
        <item x="1557"/>
        <item x="59"/>
        <item x="767"/>
        <item x="1784"/>
        <item x="1777"/>
        <item x="1511"/>
        <item x="154"/>
        <item x="1680"/>
        <item x="1495"/>
        <item x="119"/>
        <item x="949"/>
        <item x="223"/>
        <item x="575"/>
        <item x="1234"/>
        <item x="1223"/>
        <item x="585"/>
        <item x="1331"/>
        <item x="519"/>
        <item x="1851"/>
        <item x="795"/>
        <item x="1652"/>
        <item x="1017"/>
        <item x="1860"/>
        <item x="1253"/>
        <item x="116"/>
        <item x="788"/>
        <item x="1661"/>
        <item x="827"/>
        <item x="545"/>
        <item x="576"/>
        <item x="978"/>
        <item x="1667"/>
        <item x="689"/>
        <item x="1208"/>
        <item x="534"/>
        <item x="1277"/>
        <item x="1325"/>
        <item x="1835"/>
        <item x="1622"/>
        <item x="411"/>
        <item x="254"/>
        <item x="1320"/>
        <item x="511"/>
        <item x="258"/>
        <item x="39"/>
        <item x="605"/>
        <item x="407"/>
        <item x="1449"/>
        <item x="1731"/>
        <item x="1745"/>
        <item x="1281"/>
        <item x="326"/>
        <item x="1173"/>
        <item x="638"/>
        <item x="1580"/>
        <item x="660"/>
        <item x="230"/>
        <item x="150"/>
        <item x="21"/>
        <item x="1308"/>
        <item x="966"/>
        <item x="1822"/>
        <item x="287"/>
        <item x="1567"/>
        <item x="1690"/>
        <item x="427"/>
        <item x="101"/>
        <item x="1370"/>
        <item x="163"/>
        <item x="1645"/>
        <item x="1572"/>
        <item x="93"/>
        <item x="1577"/>
        <item x="1589"/>
        <item x="918"/>
        <item x="1330"/>
        <item x="46"/>
        <item x="1319"/>
        <item x="1773"/>
        <item x="528"/>
        <item x="264"/>
        <item x="1539"/>
        <item x="306"/>
        <item x="24"/>
        <item x="867"/>
        <item x="994"/>
        <item x="593"/>
        <item x="522"/>
        <item x="1354"/>
        <item x="464"/>
        <item x="1488"/>
        <item x="1322"/>
        <item x="1137"/>
        <item x="652"/>
        <item x="47"/>
        <item x="180"/>
        <item x="1109"/>
        <item x="1663"/>
        <item x="1736"/>
        <item x="1688"/>
        <item x="441"/>
        <item x="862"/>
        <item x="1761"/>
        <item x="934"/>
        <item x="1482"/>
        <item x="49"/>
        <item x="1092"/>
        <item x="386"/>
        <item x="618"/>
        <item x="433"/>
        <item x="1262"/>
        <item x="1654"/>
        <item x="761"/>
        <item x="204"/>
        <item x="952"/>
        <item x="1471"/>
        <item x="773"/>
        <item x="1537"/>
        <item x="907"/>
        <item x="890"/>
        <item x="1853"/>
        <item x="1072"/>
        <item x="1414"/>
        <item x="1388"/>
        <item x="190"/>
        <item x="470"/>
        <item x="749"/>
        <item x="322"/>
        <item x="1516"/>
        <item x="1439"/>
        <item x="1760"/>
        <item x="496"/>
        <item x="1004"/>
        <item x="857"/>
        <item x="1093"/>
        <item x="1861"/>
        <item x="229"/>
        <item x="1691"/>
        <item x="1327"/>
        <item x="301"/>
        <item x="292"/>
        <item x="1108"/>
        <item x="1498"/>
        <item x="1445"/>
        <item x="664"/>
        <item x="1086"/>
        <item x="1790"/>
        <item x="216"/>
        <item x="501"/>
        <item x="906"/>
        <item x="1128"/>
        <item x="646"/>
        <item x="488"/>
        <item x="621"/>
        <item x="804"/>
        <item x="479"/>
        <item x="218"/>
        <item x="960"/>
        <item x="1628"/>
        <item x="1198"/>
        <item x="1387"/>
        <item x="1279"/>
        <item x="516"/>
        <item x="1037"/>
        <item x="1489"/>
        <item x="225"/>
        <item x="361"/>
        <item x="454"/>
        <item x="865"/>
        <item x="1698"/>
        <item x="1121"/>
        <item x="345"/>
        <item x="1592"/>
        <item x="129"/>
        <item x="945"/>
        <item x="51"/>
        <item x="492"/>
        <item x="809"/>
        <item x="1461"/>
        <item x="835"/>
        <item x="997"/>
        <item x="756"/>
        <item x="199"/>
        <item x="1510"/>
        <item x="1513"/>
        <item x="578"/>
        <item x="920"/>
        <item x="1770"/>
        <item x="90"/>
        <item x="450"/>
        <item x="1726"/>
        <item x="169"/>
        <item x="1544"/>
        <item x="625"/>
        <item x="1392"/>
        <item x="1776"/>
        <item x="655"/>
        <item x="834"/>
        <item x="671"/>
        <item x="110"/>
        <item x="1389"/>
        <item x="811"/>
        <item x="596"/>
        <item x="485"/>
        <item x="1788"/>
        <item x="328"/>
        <item x="1003"/>
        <item x="1077"/>
        <item x="840"/>
        <item x="1104"/>
        <item x="1644"/>
        <item x="178"/>
        <item x="359"/>
        <item x="167"/>
        <item x="378"/>
        <item x="428"/>
        <item x="783"/>
        <item x="1283"/>
        <item x="1703"/>
        <item x="948"/>
        <item x="667"/>
        <item x="1743"/>
        <item x="1305"/>
        <item x="1810"/>
        <item x="1463"/>
        <item x="1870"/>
        <item x="6"/>
        <item x="489"/>
        <item x="944"/>
        <item x="202"/>
        <item x="874"/>
        <item x="1246"/>
        <item x="1852"/>
        <item x="438"/>
        <item x="17"/>
        <item x="896"/>
        <item x="1494"/>
        <item x="572"/>
        <item x="1034"/>
        <item x="394"/>
        <item x="649"/>
        <item x="375"/>
        <item x="1154"/>
        <item x="351"/>
        <item x="514"/>
        <item x="1704"/>
        <item x="1427"/>
        <item x="123"/>
        <item x="1431"/>
        <item x="1377"/>
        <item x="471"/>
        <item x="1177"/>
        <item x="153"/>
        <item x="1584"/>
        <item x="182"/>
        <item x="1337"/>
        <item x="1100"/>
        <item x="1500"/>
        <item x="983"/>
        <item x="252"/>
        <item x="1491"/>
        <item x="799"/>
        <item x="807"/>
        <item x="844"/>
        <item x="963"/>
        <item x="507"/>
        <item x="475"/>
        <item x="1672"/>
        <item x="12"/>
        <item x="1073"/>
        <item x="1443"/>
        <item x="364"/>
        <item x="1192"/>
        <item x="1733"/>
        <item x="195"/>
        <item x="455"/>
        <item x="758"/>
        <item x="1195"/>
        <item x="94"/>
        <item x="25"/>
        <item x="1626"/>
        <item x="200"/>
        <item x="947"/>
        <item x="1179"/>
        <item x="924"/>
        <item x="693"/>
        <item x="431"/>
        <item x="817"/>
        <item x="1872"/>
        <item x="752"/>
        <item x="1142"/>
        <item x="1751"/>
        <item x="929"/>
        <item x="1570"/>
        <item x="517"/>
        <item x="400"/>
        <item x="626"/>
        <item x="198"/>
        <item x="566"/>
        <item x="708"/>
        <item x="529"/>
        <item x="109"/>
        <item x="373"/>
        <item x="537"/>
        <item x="235"/>
        <item x="569"/>
        <item x="887"/>
        <item x="951"/>
        <item x="1538"/>
        <item x="718"/>
        <item x="1101"/>
        <item x="1096"/>
        <item x="1868"/>
        <item x="842"/>
        <item x="702"/>
        <item x="1321"/>
        <item x="30"/>
        <item x="955"/>
        <item x="653"/>
        <item x="324"/>
        <item x="1490"/>
        <item x="1163"/>
        <item x="515"/>
        <item x="911"/>
        <item x="1493"/>
        <item x="984"/>
        <item x="276"/>
        <item x="240"/>
        <item x="897"/>
        <item x="1395"/>
        <item x="1712"/>
        <item x="1342"/>
        <item x="203"/>
        <item x="142"/>
        <item x="1556"/>
        <item x="1602"/>
        <item x="1373"/>
        <item x="415"/>
        <item x="611"/>
        <item x="465"/>
        <item x="1002"/>
        <item x="727"/>
        <item x="1781"/>
        <item x="750"/>
        <item x="1026"/>
        <item x="494"/>
        <item x="885"/>
        <item x="1719"/>
        <item x="1573"/>
        <item x="1779"/>
        <item x="310"/>
        <item x="1255"/>
        <item x="683"/>
        <item x="570"/>
        <item x="1676"/>
        <item x="1631"/>
        <item x="673"/>
        <item x="914"/>
        <item x="34"/>
        <item x="1665"/>
        <item x="1787"/>
        <item x="1668"/>
        <item x="1694"/>
        <item x="1202"/>
        <item x="1175"/>
        <item x="1376"/>
        <item x="285"/>
        <item x="323"/>
        <item x="668"/>
        <item x="60"/>
        <item x="530"/>
        <item x="139"/>
        <item x="1385"/>
        <item x="311"/>
        <item x="1351"/>
        <item x="1664"/>
        <item x="1291"/>
        <item x="663"/>
        <item x="340"/>
        <item x="130"/>
        <item x="656"/>
        <item x="136"/>
        <item x="685"/>
        <item x="1757"/>
        <item x="189"/>
        <item x="402"/>
        <item x="594"/>
        <item x="0"/>
        <item x="332"/>
        <item x="55"/>
        <item x="1639"/>
        <item x="1338"/>
        <item x="1559"/>
        <item x="1019"/>
        <item x="89"/>
        <item x="409"/>
        <item x="1429"/>
        <item x="1190"/>
        <item x="895"/>
        <item x="1188"/>
        <item x="1217"/>
        <item x="675"/>
        <item x="124"/>
        <item x="1296"/>
        <item x="1497"/>
        <item x="556"/>
        <item x="96"/>
        <item x="623"/>
        <item x="1569"/>
        <item x="1535"/>
        <item x="1660"/>
        <item x="294"/>
        <item x="524"/>
        <item x="1181"/>
        <item x="476"/>
        <item x="234"/>
        <item x="162"/>
        <item x="1616"/>
        <item x="614"/>
        <item x="744"/>
        <item x="1545"/>
        <item x="381"/>
        <item x="26"/>
        <item x="148"/>
        <item x="927"/>
        <item x="1"/>
        <item x="879"/>
        <item x="29"/>
        <item x="404"/>
        <item x="789"/>
        <item x="1507"/>
        <item x="1250"/>
        <item x="1001"/>
        <item x="1818"/>
        <item x="1124"/>
        <item x="964"/>
        <item x="604"/>
        <item x="143"/>
        <item x="1069"/>
        <item x="584"/>
        <item x="1576"/>
        <item x="700"/>
        <item x="207"/>
        <item x="1486"/>
        <item x="88"/>
        <item x="1145"/>
        <item x="1834"/>
        <item x="1311"/>
        <item x="91"/>
        <item x="354"/>
        <item x="725"/>
        <item x="1765"/>
        <item x="658"/>
        <item x="940"/>
        <item x="1468"/>
        <item x="1131"/>
        <item x="1218"/>
        <item x="1825"/>
        <item x="266"/>
        <item x="705"/>
        <item x="539"/>
        <item x="1875"/>
        <item x="657"/>
        <item x="841"/>
        <item x="1201"/>
        <item x="231"/>
        <item x="1620"/>
        <item x="1183"/>
        <item x="1088"/>
        <item x="1091"/>
        <item x="1309"/>
        <item x="1829"/>
        <item x="1115"/>
        <item x="1685"/>
        <item x="1147"/>
        <item x="508"/>
        <item x="612"/>
        <item x="1509"/>
        <item x="846"/>
        <item x="1470"/>
        <item x="107"/>
        <item x="1697"/>
        <item x="979"/>
        <item x="676"/>
        <item x="1648"/>
        <item x="1679"/>
        <item x="347"/>
        <item x="1005"/>
        <item x="733"/>
        <item x="1599"/>
        <item x="1515"/>
        <item x="413"/>
        <item x="1383"/>
        <item x="98"/>
        <item x="616"/>
        <item x="1159"/>
        <item x="1819"/>
        <item x="1446"/>
        <item x="1681"/>
        <item x="1477"/>
        <item x="1269"/>
        <item x="259"/>
        <item x="1607"/>
        <item x="1407"/>
        <item x="986"/>
        <item x="786"/>
        <item x="953"/>
        <item x="72"/>
        <item x="131"/>
        <item x="92"/>
        <item x="1106"/>
        <item x="974"/>
        <item x="819"/>
        <item x="532"/>
        <item x="360"/>
        <item x="1165"/>
        <item x="118"/>
        <item x="619"/>
        <item x="622"/>
        <item x="1675"/>
        <item x="805"/>
        <item x="370"/>
        <item x="1873"/>
        <item x="838"/>
        <item x="1682"/>
        <item x="721"/>
        <item x="1671"/>
        <item x="228"/>
        <item x="1302"/>
        <item x="981"/>
        <item x="1276"/>
        <item x="698"/>
        <item x="385"/>
        <item x="1874"/>
        <item x="692"/>
        <item x="1119"/>
        <item x="1609"/>
        <item x="1044"/>
        <item x="209"/>
        <item x="1140"/>
        <item x="731"/>
        <item x="1141"/>
        <item x="766"/>
        <item x="379"/>
        <item x="23"/>
        <item x="777"/>
        <item x="1601"/>
        <item x="420"/>
        <item x="389"/>
        <item x="548"/>
        <item x="1287"/>
        <item x="1265"/>
        <item x="866"/>
        <item x="573"/>
        <item x="600"/>
        <item x="1055"/>
        <item x="215"/>
        <item x="357"/>
        <item x="478"/>
        <item x="500"/>
        <item x="535"/>
        <item x="829"/>
        <item x="1259"/>
        <item x="1514"/>
        <item x="1417"/>
        <item x="1806"/>
        <item x="852"/>
        <item x="1023"/>
        <item x="1360"/>
        <item x="1551"/>
        <item x="480"/>
        <item x="302"/>
        <item x="1789"/>
        <item x="392"/>
        <item x="1184"/>
        <item x="1840"/>
        <item x="1527"/>
        <item x="1686"/>
        <item x="810"/>
        <item x="353"/>
        <item x="691"/>
        <item x="975"/>
        <item x="558"/>
        <item x="630"/>
        <item x="606"/>
        <item x="419"/>
        <item x="238"/>
        <item x="1211"/>
        <item x="396"/>
        <item x="1560"/>
        <item x="337"/>
        <item x="1286"/>
        <item x="1068"/>
        <item x="818"/>
        <item x="1519"/>
        <item x="1079"/>
        <item x="1080"/>
        <item x="1687"/>
        <item x="861"/>
        <item x="1655"/>
        <item x="706"/>
        <item x="263"/>
        <item x="1313"/>
        <item x="181"/>
        <item x="554"/>
        <item x="1229"/>
        <item x="71"/>
        <item x="669"/>
        <item x="405"/>
        <item x="1641"/>
        <item x="1483"/>
        <item x="1862"/>
        <item x="1880"/>
        <item x="1359"/>
        <item x="122"/>
        <item x="126"/>
        <item x="1867"/>
        <item x="1437"/>
        <item x="1613"/>
        <item x="993"/>
        <item x="1242"/>
        <item x="821"/>
        <item x="1768"/>
        <item x="10"/>
        <item x="1059"/>
        <item x="86"/>
        <item x="329"/>
        <item x="666"/>
        <item x="836"/>
        <item x="565"/>
        <item x="1812"/>
        <item x="603"/>
        <item x="859"/>
        <item x="1709"/>
        <item x="368"/>
        <item x="1030"/>
        <item x="1363"/>
        <item x="1804"/>
        <item x="1134"/>
        <item x="1054"/>
        <item x="333"/>
        <item x="290"/>
        <item x="286"/>
        <item x="325"/>
        <item x="1561"/>
        <item x="1264"/>
        <item x="256"/>
        <item x="636"/>
        <item x="627"/>
        <item x="358"/>
        <item x="644"/>
        <item x="1747"/>
        <item x="1260"/>
        <item x="434"/>
        <item x="280"/>
        <item x="771"/>
        <item x="1174"/>
        <item x="642"/>
        <item x="1245"/>
        <item x="579"/>
        <item x="1365"/>
        <item x="923"/>
        <item x="826"/>
        <item x="1534"/>
        <item x="1575"/>
        <item x="557"/>
        <item x="134"/>
        <item x="648"/>
        <item x="1110"/>
        <item x="196"/>
        <item x="839"/>
        <item x="1564"/>
        <item x="62"/>
        <item x="1740"/>
        <item x="1416"/>
        <item x="1052"/>
        <item x="321"/>
        <item x="1071"/>
        <item x="141"/>
        <item x="943"/>
        <item x="179"/>
        <item x="931"/>
        <item x="793"/>
        <item x="105"/>
        <item x="1021"/>
        <item x="726"/>
        <item x="1821"/>
        <item x="513"/>
        <item x="458"/>
        <item x="915"/>
        <item x="1256"/>
        <item x="1656"/>
        <item x="996"/>
        <item x="1549"/>
        <item x="1662"/>
        <item x="1742"/>
        <item x="435"/>
        <item x="869"/>
        <item x="376"/>
        <item x="336"/>
        <item x="592"/>
        <item x="54"/>
        <item x="1659"/>
        <item x="1386"/>
        <item x="158"/>
        <item x="452"/>
        <item x="950"/>
        <item x="1051"/>
        <item x="1371"/>
        <item x="1129"/>
        <item x="250"/>
        <item x="1885"/>
        <item x="1596"/>
        <item x="1306"/>
        <item x="484"/>
        <item x="1794"/>
        <item x="588"/>
        <item x="1553"/>
        <item x="1528"/>
        <item x="352"/>
        <item x="1292"/>
        <item x="1618"/>
        <item x="1024"/>
        <item x="1415"/>
        <item x="1634"/>
        <item x="520"/>
        <item x="1299"/>
        <item x="1797"/>
        <item x="208"/>
        <item x="1623"/>
        <item x="1754"/>
        <item x="832"/>
        <item x="1555"/>
        <item x="1472"/>
        <item x="1820"/>
        <item x="1168"/>
        <item x="1362"/>
        <item x="902"/>
        <item x="1451"/>
        <item x="1657"/>
        <item x="1739"/>
        <item x="1532"/>
        <item x="1715"/>
        <item x="246"/>
        <item x="1355"/>
        <item x="184"/>
        <item x="1408"/>
        <item x="538"/>
        <item x="1036"/>
        <item x="1707"/>
        <item x="1116"/>
        <item x="453"/>
        <item x="1065"/>
        <item x="1390"/>
        <item x="760"/>
        <item x="1807"/>
        <item x="1637"/>
        <item x="894"/>
        <item x="1695"/>
        <item x="1081"/>
        <item x="1674"/>
        <item x="1550"/>
        <item x="1571"/>
        <item x="1084"/>
        <item x="872"/>
        <item x="191"/>
        <item x="856"/>
        <item x="1008"/>
        <item x="374"/>
        <item x="1332"/>
        <item x="1734"/>
        <item x="686"/>
        <item x="1502"/>
        <item x="1615"/>
        <item x="967"/>
        <item x="913"/>
        <item x="53"/>
        <item x="580"/>
        <item x="27"/>
        <item x="1143"/>
        <item x="1200"/>
        <item x="1298"/>
        <item x="1521"/>
        <item x="688"/>
        <item x="366"/>
        <item x="1811"/>
        <item x="1464"/>
        <item x="1857"/>
        <item x="3"/>
        <item x="1542"/>
        <item x="1238"/>
        <item x="1693"/>
        <item x="272"/>
        <item x="1209"/>
        <item x="1166"/>
        <item x="1125"/>
        <item x="440"/>
        <item x="746"/>
        <item x="682"/>
        <item x="1271"/>
        <item x="922"/>
        <item x="1087"/>
        <item x="1816"/>
        <item x="1419"/>
        <item x="20"/>
        <item x="1630"/>
        <item x="634"/>
        <item x="1505"/>
        <item x="320"/>
        <item x="764"/>
        <item x="1326"/>
        <item x="48"/>
        <item x="1574"/>
        <item x="100"/>
        <item x="870"/>
        <item x="327"/>
        <item x="816"/>
        <item x="188"/>
        <item x="849"/>
        <item x="1465"/>
        <item x="307"/>
        <item x="1594"/>
        <item x="1018"/>
        <item x="1105"/>
        <item x="961"/>
        <item x="1149"/>
        <item x="1606"/>
        <item x="1369"/>
        <item x="1677"/>
        <item x="695"/>
        <item x="1717"/>
        <item x="901"/>
        <item x="884"/>
        <item x="1098"/>
        <item x="147"/>
        <item x="31"/>
        <item x="1391"/>
        <item x="1432"/>
        <item x="1049"/>
        <item x="549"/>
        <item x="774"/>
        <item x="1436"/>
        <item x="814"/>
        <item x="1329"/>
        <item x="1636"/>
        <item x="540"/>
        <item x="1097"/>
        <item x="1013"/>
        <item x="36"/>
        <item x="481"/>
        <item x="1171"/>
        <item x="1720"/>
        <item x="505"/>
        <item x="466"/>
        <item x="186"/>
        <item x="412"/>
        <item x="1764"/>
        <item x="315"/>
        <item x="237"/>
        <item x="1135"/>
        <item x="1749"/>
        <item x="1803"/>
        <item x="1214"/>
        <item x="1702"/>
        <item x="937"/>
        <item x="338"/>
        <item x="1151"/>
        <item x="609"/>
        <item x="800"/>
        <item x="1466"/>
        <item x="1067"/>
        <item x="1220"/>
        <item x="1406"/>
        <item x="504"/>
        <item x="1102"/>
        <item x="1632"/>
        <item x="1011"/>
        <item x="1865"/>
        <item x="193"/>
        <item x="1267"/>
        <item x="187"/>
        <item x="1767"/>
        <item x="268"/>
        <item x="482"/>
        <item x="878"/>
        <item x="1828"/>
        <item x="114"/>
        <item x="740"/>
        <item x="903"/>
        <item x="121"/>
        <item x="1766"/>
        <item x="1340"/>
        <item x="296"/>
        <item x="1499"/>
        <item x="1312"/>
        <item x="457"/>
        <item x="309"/>
        <item x="461"/>
        <item x="430"/>
        <item x="497"/>
        <item x="288"/>
        <item x="828"/>
        <item x="542"/>
        <item x="510"/>
        <item x="281"/>
        <item x="590"/>
        <item x="1696"/>
        <item x="462"/>
        <item x="468"/>
        <item x="467"/>
        <item x="1558"/>
        <item x="1199"/>
        <item x="1126"/>
        <item x="1418"/>
        <item x="1837"/>
        <item x="665"/>
        <item x="999"/>
        <item x="339"/>
        <item x="608"/>
        <item x="429"/>
        <item x="597"/>
        <item x="239"/>
        <item x="156"/>
        <item x="680"/>
        <item x="1273"/>
        <item x="992"/>
        <item x="2"/>
        <item x="820"/>
        <item x="112"/>
        <item x="629"/>
        <item x="152"/>
        <item x="932"/>
        <item x="1523"/>
        <item x="1278"/>
        <item x="451"/>
        <item x="1285"/>
        <item x="95"/>
        <item x="1375"/>
        <item x="1724"/>
        <item x="1339"/>
        <item x="1546"/>
        <item x="157"/>
        <item x="770"/>
        <item x="643"/>
        <item x="1854"/>
        <item x="871"/>
        <item x="757"/>
        <item x="257"/>
        <item x="1304"/>
        <item x="933"/>
        <item x="177"/>
        <item x="1213"/>
        <item x="1028"/>
        <item x="1504"/>
        <item x="1297"/>
        <item x="316"/>
        <item x="1266"/>
        <item x="546"/>
        <item x="792"/>
        <item x="1455"/>
        <item x="1361"/>
        <item x="486"/>
        <item x="1518"/>
        <item x="211"/>
        <item x="1249"/>
        <item x="499"/>
        <item x="219"/>
        <item x="980"/>
        <item x="645"/>
        <item x="1244"/>
        <item x="449"/>
        <item x="1701"/>
        <item x="1352"/>
        <item x="1842"/>
        <item x="1056"/>
        <item x="1562"/>
        <item x="1226"/>
        <item x="778"/>
        <item x="265"/>
        <item x="13"/>
        <item x="1884"/>
        <item x="1457"/>
        <item x="1425"/>
        <item x="1063"/>
        <item x="213"/>
        <item x="637"/>
        <item x="988"/>
        <item x="562"/>
        <item x="567"/>
        <item x="1508"/>
        <item x="864"/>
        <item x="1062"/>
        <item x="1343"/>
        <item x="1148"/>
        <item x="1118"/>
        <item x="620"/>
        <item x="1591"/>
        <item x="1647"/>
        <item x="544"/>
        <item x="1089"/>
        <item x="863"/>
        <item x="1711"/>
        <item x="77"/>
        <item x="651"/>
        <item x="921"/>
        <item x="282"/>
        <item x="729"/>
        <item x="1132"/>
        <item x="701"/>
        <item x="171"/>
        <item x="1823"/>
        <item x="1303"/>
        <item x="976"/>
        <item x="384"/>
        <item x="1582"/>
        <item x="1310"/>
        <item x="206"/>
        <item x="1798"/>
        <item x="1275"/>
        <item x="18"/>
        <item x="998"/>
        <item x="677"/>
        <item x="674"/>
        <item x="802"/>
        <item x="717"/>
        <item x="416"/>
        <item x="1666"/>
        <item x="1222"/>
        <item x="1009"/>
        <item x="1826"/>
        <item x="172"/>
        <item x="1433"/>
        <item x="1231"/>
        <item x="1808"/>
        <item x="1335"/>
        <item x="679"/>
        <item x="1374"/>
        <item x="714"/>
        <item x="1397"/>
        <item x="599"/>
        <item x="1048"/>
        <item x="1706"/>
        <item x="784"/>
        <item x="776"/>
        <item x="509"/>
        <item x="1193"/>
        <item x="1603"/>
        <item x="971"/>
        <item x="1604"/>
        <item x="1586"/>
        <item x="527"/>
        <item x="736"/>
        <item x="561"/>
        <item x="987"/>
        <item x="349"/>
        <item x="108"/>
        <item x="37"/>
        <item x="891"/>
        <item x="1382"/>
        <item x="1409"/>
        <item x="1708"/>
        <item x="224"/>
        <item x="1224"/>
        <item x="1605"/>
        <item x="1699"/>
        <item x="341"/>
        <item x="1796"/>
        <item x="1323"/>
        <item x="1678"/>
        <item x="63"/>
        <item x="1047"/>
        <item x="1043"/>
        <item x="1467"/>
        <item x="1185"/>
        <item x="526"/>
        <item x="242"/>
        <item x="1836"/>
        <item x="161"/>
        <item x="681"/>
        <item x="293"/>
        <item x="1683"/>
        <item x="715"/>
        <item x="1293"/>
        <item x="1421"/>
        <item x="1435"/>
        <item x="1012"/>
        <item x="1646"/>
        <item x="1216"/>
        <item x="472"/>
        <item x="398"/>
        <item x="972"/>
        <item x="1805"/>
        <item x="45"/>
        <item x="1288"/>
        <item x="244"/>
        <item x="1845"/>
        <item x="1585"/>
        <item x="305"/>
        <item x="137"/>
        <item x="343"/>
        <item x="498"/>
        <item x="833"/>
        <item x="43"/>
        <item x="1588"/>
        <item x="1057"/>
        <item x="1635"/>
        <item x="319"/>
        <item x="1027"/>
        <item x="393"/>
        <item x="1133"/>
        <item x="1225"/>
        <item x="1587"/>
        <item x="401"/>
        <item x="1881"/>
        <item x="1670"/>
        <item x="624"/>
        <item x="125"/>
        <item x="14"/>
        <item x="954"/>
        <item x="176"/>
        <item x="1379"/>
        <item x="1284"/>
        <item x="277"/>
        <item x="794"/>
        <item x="1367"/>
        <item x="1033"/>
        <item x="1344"/>
        <item x="1846"/>
        <item x="68"/>
        <item x="1010"/>
        <item x="1750"/>
        <item x="104"/>
        <item x="432"/>
        <item x="1762"/>
        <item x="790"/>
        <item x="1380"/>
        <item x="1543"/>
        <item x="1831"/>
        <item x="1189"/>
        <item x="710"/>
        <item x="1758"/>
        <item x="1485"/>
        <item x="1294"/>
        <item x="583"/>
        <item x="1568"/>
        <item x="1526"/>
        <item x="1045"/>
        <item x="1832"/>
        <item x="1815"/>
        <item x="1778"/>
        <item x="582"/>
        <item x="151"/>
        <item x="1020"/>
        <item x="531"/>
        <item x="408"/>
        <item x="936"/>
        <item x="1849"/>
        <item x="506"/>
        <item x="1583"/>
        <item x="1402"/>
        <item x="1669"/>
        <item x="1529"/>
        <item x="1801"/>
        <item x="477"/>
        <item x="659"/>
        <item x="632"/>
        <item x="32"/>
        <item x="1728"/>
        <item x="956"/>
        <item x="1007"/>
        <item x="1430"/>
        <item x="1864"/>
        <item x="1289"/>
        <item x="1191"/>
        <item x="443"/>
        <item x="312"/>
        <item x="267"/>
        <item x="369"/>
        <item x="831"/>
        <item x="732"/>
        <item x="909"/>
        <item x="1420"/>
        <item x="356"/>
        <item x="1120"/>
        <item x="782"/>
        <item x="1525"/>
        <item x="762"/>
        <item x="80"/>
        <item x="1156"/>
        <item x="889"/>
        <item x="1746"/>
        <item x="957"/>
        <item x="1207"/>
        <item x="703"/>
        <item x="144"/>
        <item x="1506"/>
        <item x="1356"/>
        <item x="723"/>
        <item x="342"/>
        <item x="1878"/>
        <item x="893"/>
        <item x="1830"/>
        <item x="253"/>
        <item x="425"/>
        <item x="1799"/>
        <item x="490"/>
        <item x="916"/>
        <item x="205"/>
        <item x="1487"/>
        <item x="4"/>
        <item x="1809"/>
        <item x="808"/>
        <item x="474"/>
        <item x="607"/>
        <item x="860"/>
        <item x="399"/>
        <item x="397"/>
        <item x="1300"/>
        <item x="436"/>
        <item x="469"/>
        <item x="58"/>
        <item x="713"/>
        <item x="1139"/>
        <item x="815"/>
        <item x="155"/>
        <item x="1314"/>
        <item x="1876"/>
        <item x="1863"/>
        <item x="1046"/>
        <item x="1638"/>
        <item x="1462"/>
        <item x="880"/>
        <item x="806"/>
        <item x="1775"/>
        <item x="365"/>
        <item x="289"/>
        <item x="1316"/>
        <item x="982"/>
        <item x="1035"/>
        <item x="1258"/>
        <item x="344"/>
        <item x="1317"/>
        <item x="1167"/>
        <item x="330"/>
        <item x="1197"/>
        <item x="1782"/>
        <item x="697"/>
        <item x="1016"/>
        <item x="995"/>
        <item x="719"/>
        <item x="445"/>
        <item x="765"/>
        <item x="75"/>
        <item x="348"/>
        <item x="1627"/>
        <item x="745"/>
        <item x="989"/>
        <item x="1060"/>
        <item x="1136"/>
        <item x="533"/>
        <item x="1475"/>
        <item x="1478"/>
        <item x="1123"/>
        <item x="598"/>
        <item x="1456"/>
        <item x="1597"/>
        <item x="1692"/>
        <item x="279"/>
        <item x="743"/>
        <item x="568"/>
        <item x="1274"/>
        <item x="1210"/>
        <item x="707"/>
        <item x="781"/>
        <item x="1554"/>
        <item x="226"/>
        <item x="383"/>
        <item x="331"/>
        <item x="410"/>
        <item x="1252"/>
        <item x="133"/>
        <item x="1405"/>
        <item x="1729"/>
        <item x="1307"/>
        <item x="1130"/>
        <item x="270"/>
        <item x="7"/>
        <item x="442"/>
        <item x="769"/>
        <item x="1066"/>
        <item x="1153"/>
        <item x="140"/>
        <item x="748"/>
        <item x="1524"/>
        <item x="1160"/>
        <item x="1517"/>
        <item x="1349"/>
        <item x="1280"/>
        <item x="1732"/>
        <item x="382"/>
        <item x="780"/>
        <item x="899"/>
        <item x="103"/>
        <item x="1401"/>
        <item x="910"/>
        <item x="8"/>
        <item x="1684"/>
        <item x="1247"/>
        <item x="113"/>
        <item x="117"/>
        <item x="942"/>
        <item x="1358"/>
        <item x="1423"/>
        <item x="1533"/>
        <item x="1235"/>
        <item x="1324"/>
        <item x="1480"/>
        <item x="823"/>
        <item x="1261"/>
        <item x="1721"/>
        <item x="798"/>
        <item x="631"/>
        <item x="1061"/>
        <item x="251"/>
        <item x="291"/>
        <item x="801"/>
        <item x="447"/>
        <item x="1871"/>
        <item x="1378"/>
        <item x="958"/>
        <item x="87"/>
        <item x="946"/>
        <item x="1735"/>
        <item x="1541"/>
        <item t="default"/>
      </items>
    </pivotField>
    <pivotField showAll="0"/>
    <pivotField showAll="0"/>
    <pivotField showAll="0"/>
    <pivotField numFmtId="9" showAll="0">
      <items count="2001">
        <item x="1049"/>
        <item x="85"/>
        <item x="1851"/>
        <item x="1302"/>
        <item x="702"/>
        <item x="971"/>
        <item x="16"/>
        <item x="172"/>
        <item x="777"/>
        <item x="1316"/>
        <item x="1709"/>
        <item x="717"/>
        <item x="965"/>
        <item x="427"/>
        <item x="97"/>
        <item x="106"/>
        <item x="1958"/>
        <item x="1222"/>
        <item x="1875"/>
        <item x="1220"/>
        <item x="365"/>
        <item x="1903"/>
        <item x="177"/>
        <item x="1506"/>
        <item x="423"/>
        <item x="1000"/>
        <item x="263"/>
        <item x="1411"/>
        <item x="1881"/>
        <item x="247"/>
        <item x="1397"/>
        <item x="657"/>
        <item x="852"/>
        <item x="793"/>
        <item x="812"/>
        <item x="1416"/>
        <item x="605"/>
        <item x="1557"/>
        <item x="871"/>
        <item x="1390"/>
        <item x="306"/>
        <item x="392"/>
        <item x="44"/>
        <item x="769"/>
        <item x="1490"/>
        <item x="1610"/>
        <item x="1620"/>
        <item x="925"/>
        <item x="1884"/>
        <item x="1206"/>
        <item x="1311"/>
        <item x="1522"/>
        <item x="882"/>
        <item x="1947"/>
        <item x="1853"/>
        <item x="1211"/>
        <item x="846"/>
        <item x="1367"/>
        <item x="33"/>
        <item x="1814"/>
        <item x="1273"/>
        <item x="1278"/>
        <item x="1692"/>
        <item x="76"/>
        <item x="1424"/>
        <item x="273"/>
        <item x="257"/>
        <item x="1860"/>
        <item x="1001"/>
        <item x="349"/>
        <item x="1917"/>
        <item x="1968"/>
        <item x="428"/>
        <item x="1010"/>
        <item x="1284"/>
        <item x="1277"/>
        <item x="73"/>
        <item x="1655"/>
        <item x="680"/>
        <item x="1940"/>
        <item x="499"/>
        <item x="250"/>
        <item x="1995"/>
        <item x="1057"/>
        <item x="817"/>
        <item x="901"/>
        <item x="1186"/>
        <item x="176"/>
        <item x="1675"/>
        <item x="285"/>
        <item x="1537"/>
        <item x="645"/>
        <item x="222"/>
        <item x="835"/>
        <item x="1693"/>
        <item x="708"/>
        <item x="738"/>
        <item x="1496"/>
        <item x="1905"/>
        <item x="276"/>
        <item x="70"/>
        <item x="1188"/>
        <item x="1934"/>
        <item x="1898"/>
        <item x="1689"/>
        <item x="1383"/>
        <item x="1810"/>
        <item x="234"/>
        <item x="1133"/>
        <item x="300"/>
        <item x="879"/>
        <item x="245"/>
        <item x="1455"/>
        <item x="15"/>
        <item x="216"/>
        <item x="561"/>
        <item x="1039"/>
        <item x="167"/>
        <item x="1589"/>
        <item x="1398"/>
        <item x="1349"/>
        <item x="1512"/>
        <item x="1728"/>
        <item x="115"/>
        <item x="993"/>
        <item x="1154"/>
        <item x="321"/>
        <item x="1694"/>
        <item x="1701"/>
        <item x="1832"/>
        <item x="1486"/>
        <item x="1457"/>
        <item x="1075"/>
        <item x="1239"/>
        <item x="81"/>
        <item x="1956"/>
        <item x="722"/>
        <item x="900"/>
        <item x="1246"/>
        <item x="994"/>
        <item x="1640"/>
        <item x="912"/>
        <item x="111"/>
        <item x="1514"/>
        <item x="616"/>
        <item x="74"/>
        <item x="688"/>
        <item x="1475"/>
        <item x="1099"/>
        <item x="82"/>
        <item x="503"/>
        <item x="338"/>
        <item x="584"/>
        <item x="1151"/>
        <item x="1500"/>
        <item x="1849"/>
        <item x="1516"/>
        <item x="1909"/>
        <item x="927"/>
        <item x="1237"/>
        <item x="1192"/>
        <item x="1619"/>
        <item x="1523"/>
        <item x="1338"/>
        <item x="915"/>
        <item x="877"/>
        <item x="572"/>
        <item x="305"/>
        <item x="456"/>
        <item x="1561"/>
        <item x="1656"/>
        <item x="1128"/>
        <item x="874"/>
        <item x="235"/>
        <item x="714"/>
        <item x="898"/>
        <item x="501"/>
        <item x="1113"/>
        <item x="530"/>
        <item x="629"/>
        <item x="317"/>
        <item x="658"/>
        <item x="1449"/>
        <item x="1536"/>
        <item x="65"/>
        <item x="797"/>
        <item x="571"/>
        <item x="560"/>
        <item x="1474"/>
        <item x="1872"/>
        <item x="742"/>
        <item x="1230"/>
        <item x="1066"/>
        <item x="78"/>
        <item x="422"/>
        <item x="1264"/>
        <item x="734"/>
        <item x="1459"/>
        <item x="1963"/>
        <item x="1282"/>
        <item x="1318"/>
        <item x="194"/>
        <item x="1955"/>
        <item x="804"/>
        <item x="1076"/>
        <item x="83"/>
        <item x="146"/>
        <item x="69"/>
        <item x="671"/>
        <item x="1542"/>
        <item x="631"/>
        <item x="1815"/>
        <item x="358"/>
        <item x="562"/>
        <item x="1112"/>
        <item x="464"/>
        <item x="495"/>
        <item x="381"/>
        <item x="214"/>
        <item x="1509"/>
        <item x="150"/>
        <item x="11"/>
        <item x="526"/>
        <item x="102"/>
        <item x="902"/>
        <item x="1488"/>
        <item x="166"/>
        <item x="936"/>
        <item x="1993"/>
        <item x="1503"/>
        <item x="913"/>
        <item x="1286"/>
        <item x="1840"/>
        <item x="391"/>
        <item x="408"/>
        <item x="1703"/>
        <item x="1965"/>
        <item x="1966"/>
        <item x="1697"/>
        <item x="1737"/>
        <item x="374"/>
        <item x="1568"/>
        <item x="1660"/>
        <item x="1464"/>
        <item x="467"/>
        <item x="395"/>
        <item x="1247"/>
        <item x="430"/>
        <item x="40"/>
        <item x="1420"/>
        <item x="1920"/>
        <item x="1093"/>
        <item x="446"/>
        <item x="956"/>
        <item x="907"/>
        <item x="1735"/>
        <item x="1827"/>
        <item x="1363"/>
        <item x="1988"/>
        <item x="249"/>
        <item x="481"/>
        <item x="834"/>
        <item x="756"/>
        <item x="1366"/>
        <item x="1864"/>
        <item x="1105"/>
        <item x="1123"/>
        <item x="22"/>
        <item x="64"/>
        <item x="570"/>
        <item x="444"/>
        <item x="1591"/>
        <item x="286"/>
        <item x="1288"/>
        <item x="1678"/>
        <item x="229"/>
        <item x="396"/>
        <item x="1739"/>
        <item x="1200"/>
        <item x="1204"/>
        <item x="1164"/>
        <item x="1005"/>
        <item x="1532"/>
        <item x="61"/>
        <item x="1153"/>
        <item x="825"/>
        <item x="875"/>
        <item x="297"/>
        <item x="594"/>
        <item x="1033"/>
        <item x="1579"/>
        <item x="1111"/>
        <item x="128"/>
        <item x="705"/>
        <item x="1008"/>
        <item x="1571"/>
        <item x="1606"/>
        <item x="132"/>
        <item x="1330"/>
        <item x="772"/>
        <item x="1120"/>
        <item x="818"/>
        <item x="1570"/>
        <item x="38"/>
        <item x="785"/>
        <item x="160"/>
        <item x="67"/>
        <item x="1895"/>
        <item x="771"/>
        <item x="59"/>
        <item x="147"/>
        <item x="1251"/>
        <item x="1461"/>
        <item x="730"/>
        <item x="1229"/>
        <item x="1194"/>
        <item x="1791"/>
        <item x="165"/>
        <item x="1218"/>
        <item x="781"/>
        <item x="28"/>
        <item x="1085"/>
        <item x="1077"/>
        <item x="872"/>
        <item x="243"/>
        <item x="1259"/>
        <item x="575"/>
        <item x="557"/>
        <item x="1437"/>
        <item x="609"/>
        <item x="1024"/>
        <item x="1560"/>
        <item x="1609"/>
        <item x="919"/>
        <item x="280"/>
        <item x="1824"/>
        <item x="1131"/>
        <item x="1736"/>
        <item x="634"/>
        <item x="9"/>
        <item x="555"/>
        <item x="1515"/>
        <item x="151"/>
        <item x="1224"/>
        <item x="1156"/>
        <item x="932"/>
        <item x="1275"/>
        <item x="1403"/>
        <item x="260"/>
        <item x="1825"/>
        <item x="1115"/>
        <item x="1368"/>
        <item x="969"/>
        <item x="320"/>
        <item x="940"/>
        <item x="727"/>
        <item x="1037"/>
        <item x="175"/>
        <item x="1268"/>
        <item x="538"/>
        <item x="203"/>
        <item x="1669"/>
        <item x="1748"/>
        <item x="947"/>
        <item x="1320"/>
        <item x="218"/>
        <item x="1928"/>
        <item x="534"/>
        <item x="712"/>
        <item x="376"/>
        <item x="1754"/>
        <item x="1228"/>
        <item x="1970"/>
        <item x="224"/>
        <item x="1152"/>
        <item x="66"/>
        <item x="1584"/>
        <item x="311"/>
        <item x="225"/>
        <item x="206"/>
        <item x="682"/>
        <item x="1343"/>
        <item x="948"/>
        <item x="42"/>
        <item x="1730"/>
        <item x="690"/>
        <item x="1149"/>
        <item x="667"/>
        <item x="790"/>
        <item x="1887"/>
        <item x="192"/>
        <item x="1804"/>
        <item x="454"/>
        <item x="169"/>
        <item x="590"/>
        <item x="24"/>
        <item x="1888"/>
        <item x="964"/>
        <item x="496"/>
        <item x="1969"/>
        <item x="1854"/>
        <item x="1018"/>
        <item x="1729"/>
        <item x="1301"/>
        <item x="656"/>
        <item x="362"/>
        <item x="223"/>
        <item x="468"/>
        <item x="532"/>
        <item x="669"/>
        <item x="1597"/>
        <item x="429"/>
        <item x="1649"/>
        <item x="531"/>
        <item x="1820"/>
        <item x="1745"/>
        <item x="1170"/>
        <item x="881"/>
        <item x="603"/>
        <item x="527"/>
        <item x="1555"/>
        <item x="1626"/>
        <item x="519"/>
        <item x="1777"/>
        <item x="748"/>
        <item x="520"/>
        <item x="1472"/>
        <item x="544"/>
        <item x="170"/>
        <item x="227"/>
        <item x="1762"/>
        <item x="1249"/>
        <item x="642"/>
        <item x="1212"/>
        <item x="1023"/>
        <item x="960"/>
        <item x="1298"/>
        <item x="1919"/>
        <item x="1121"/>
        <item x="1708"/>
        <item x="1616"/>
        <item x="1727"/>
        <item x="1386"/>
        <item x="663"/>
        <item x="511"/>
        <item x="1285"/>
        <item x="354"/>
        <item x="774"/>
        <item x="1539"/>
        <item x="779"/>
        <item x="1558"/>
        <item x="1981"/>
        <item x="6"/>
        <item x="49"/>
        <item x="1456"/>
        <item x="294"/>
        <item x="1258"/>
        <item x="551"/>
        <item x="959"/>
        <item x="588"/>
        <item x="1073"/>
        <item x="1292"/>
        <item x="1580"/>
        <item x="1663"/>
        <item x="50"/>
        <item x="679"/>
        <item x="998"/>
        <item x="1374"/>
        <item x="525"/>
        <item x="1893"/>
        <item x="1961"/>
        <item x="726"/>
        <item x="736"/>
        <item x="1718"/>
        <item x="524"/>
        <item x="759"/>
        <item x="1712"/>
        <item x="57"/>
        <item x="1422"/>
        <item x="776"/>
        <item x="942"/>
        <item x="892"/>
        <item x="382"/>
        <item x="1453"/>
        <item x="1266"/>
        <item x="600"/>
        <item x="51"/>
        <item x="116"/>
        <item x="1781"/>
        <item x="407"/>
        <item x="435"/>
        <item x="212"/>
        <item x="1255"/>
        <item x="633"/>
        <item x="1545"/>
        <item x="47"/>
        <item x="681"/>
        <item x="914"/>
        <item x="449"/>
        <item x="691"/>
        <item x="831"/>
        <item x="433"/>
        <item x="933"/>
        <item x="515"/>
        <item x="1067"/>
        <item x="978"/>
        <item x="287"/>
        <item x="1444"/>
        <item x="135"/>
        <item x="943"/>
        <item x="1994"/>
        <item x="740"/>
        <item x="1377"/>
        <item x="974"/>
        <item x="957"/>
        <item x="1387"/>
        <item x="60"/>
        <item x="231"/>
        <item x="1484"/>
        <item x="197"/>
        <item x="479"/>
        <item x="1428"/>
        <item x="1644"/>
        <item x="325"/>
        <item x="1104"/>
        <item x="922"/>
        <item x="1187"/>
        <item x="1069"/>
        <item x="1608"/>
        <item x="1139"/>
        <item x="35"/>
        <item x="1109"/>
        <item x="1379"/>
        <item x="367"/>
        <item x="839"/>
        <item x="302"/>
        <item x="983"/>
        <item x="313"/>
        <item x="219"/>
        <item x="1329"/>
        <item x="767"/>
        <item x="1433"/>
        <item x="860"/>
        <item x="826"/>
        <item x="1715"/>
        <item x="599"/>
        <item x="137"/>
        <item x="1819"/>
        <item x="1847"/>
        <item x="939"/>
        <item x="1765"/>
        <item x="729"/>
        <item x="130"/>
        <item x="1794"/>
        <item x="262"/>
        <item x="674"/>
        <item x="664"/>
        <item x="670"/>
        <item x="129"/>
        <item x="1710"/>
        <item x="1132"/>
        <item x="1166"/>
        <item x="904"/>
        <item x="765"/>
        <item x="1297"/>
        <item x="79"/>
        <item x="1856"/>
        <item x="264"/>
        <item x="615"/>
        <item x="1752"/>
        <item x="949"/>
        <item x="858"/>
        <item x="923"/>
        <item x="539"/>
        <item x="46"/>
        <item x="1531"/>
        <item x="149"/>
        <item x="124"/>
        <item x="1679"/>
        <item x="308"/>
        <item x="975"/>
        <item x="710"/>
        <item x="1999"/>
        <item x="1440"/>
        <item x="869"/>
        <item x="1600"/>
        <item x="277"/>
        <item x="1828"/>
        <item x="1971"/>
        <item x="1205"/>
        <item x="1305"/>
        <item x="718"/>
        <item x="685"/>
        <item x="438"/>
        <item x="1454"/>
        <item x="110"/>
        <item x="316"/>
        <item x="652"/>
        <item x="678"/>
        <item x="870"/>
        <item x="343"/>
        <item x="400"/>
        <item x="1756"/>
        <item x="254"/>
        <item x="1724"/>
        <item x="1107"/>
        <item x="1949"/>
        <item x="1148"/>
        <item x="864"/>
        <item x="1405"/>
        <item x="164"/>
        <item x="452"/>
        <item x="591"/>
        <item x="211"/>
        <item x="1526"/>
        <item x="90"/>
        <item x="1785"/>
        <item x="786"/>
        <item x="426"/>
        <item x="1841"/>
        <item x="829"/>
        <item x="1850"/>
        <item x="1179"/>
        <item x="1504"/>
        <item x="1468"/>
        <item x="185"/>
        <item x="620"/>
        <item x="1873"/>
        <item x="805"/>
        <item x="123"/>
        <item x="564"/>
        <item x="624"/>
        <item x="1493"/>
        <item x="191"/>
        <item x="251"/>
        <item x="640"/>
        <item x="753"/>
        <item x="1659"/>
        <item x="1214"/>
        <item x="1399"/>
        <item x="1612"/>
        <item x="1687"/>
        <item x="1654"/>
        <item x="684"/>
        <item x="540"/>
        <item x="1312"/>
        <item x="1072"/>
        <item x="1918"/>
        <item x="1129"/>
        <item x="1818"/>
        <item x="659"/>
        <item x="1201"/>
        <item x="357"/>
        <item x="791"/>
        <item x="1169"/>
        <item x="1519"/>
        <item x="94"/>
        <item x="1308"/>
        <item x="1831"/>
        <item x="1207"/>
        <item x="118"/>
        <item x="282"/>
        <item x="1975"/>
        <item x="1803"/>
        <item x="1114"/>
        <item x="1161"/>
        <item x="1235"/>
        <item x="182"/>
        <item x="1910"/>
        <item x="1533"/>
        <item x="1150"/>
        <item x="1645"/>
        <item x="1471"/>
        <item x="508"/>
        <item x="1489"/>
        <item x="258"/>
        <item x="1822"/>
        <item x="139"/>
        <item x="1874"/>
        <item x="161"/>
        <item x="816"/>
        <item x="198"/>
        <item x="1911"/>
        <item x="885"/>
        <item x="1393"/>
        <item x="583"/>
        <item x="1912"/>
        <item x="1630"/>
        <item x="548"/>
        <item x="329"/>
        <item x="54"/>
        <item x="533"/>
        <item x="1750"/>
        <item x="1811"/>
        <item x="1357"/>
        <item x="126"/>
        <item x="1747"/>
        <item x="1602"/>
        <item x="1477"/>
        <item x="880"/>
        <item x="1513"/>
        <item x="970"/>
        <item x="878"/>
        <item x="1303"/>
        <item x="484"/>
        <item x="356"/>
        <item x="814"/>
        <item x="1407"/>
        <item x="996"/>
        <item x="567"/>
        <item x="666"/>
        <item x="1199"/>
        <item x="242"/>
        <item x="1807"/>
        <item x="1134"/>
        <item x="1409"/>
        <item x="1216"/>
        <item x="968"/>
        <item x="876"/>
        <item x="1261"/>
        <item x="363"/>
        <item x="1313"/>
        <item x="1226"/>
        <item x="107"/>
        <item x="1960"/>
        <item x="1287"/>
        <item x="1922"/>
        <item x="1353"/>
        <item x="1219"/>
        <item x="266"/>
        <item x="979"/>
        <item x="1998"/>
        <item x="217"/>
        <item x="180"/>
        <item x="1507"/>
        <item x="1833"/>
        <item x="1460"/>
        <item x="238"/>
        <item x="1890"/>
        <item x="462"/>
        <item x="687"/>
        <item x="1494"/>
        <item x="326"/>
        <item x="142"/>
        <item x="865"/>
        <item x="89"/>
        <item x="1623"/>
        <item x="502"/>
        <item x="1425"/>
        <item x="528"/>
        <item x="432"/>
        <item x="1159"/>
        <item x="1347"/>
        <item x="1135"/>
        <item x="626"/>
        <item x="841"/>
        <item x="1607"/>
        <item x="122"/>
        <item x="360"/>
        <item x="1502"/>
        <item x="1193"/>
        <item x="1725"/>
        <item x="1731"/>
        <item x="1238"/>
        <item x="739"/>
        <item x="1334"/>
        <item x="1395"/>
        <item x="1065"/>
        <item x="1116"/>
        <item x="36"/>
        <item x="233"/>
        <item x="1315"/>
        <item x="274"/>
        <item x="1331"/>
        <item x="686"/>
        <item x="1916"/>
        <item x="1243"/>
        <item x="1582"/>
        <item x="1137"/>
        <item x="1617"/>
        <item x="183"/>
        <item x="930"/>
        <item x="186"/>
        <item x="1786"/>
        <item x="627"/>
        <item x="144"/>
        <item x="636"/>
        <item x="1535"/>
        <item x="1025"/>
        <item x="30"/>
        <item x="303"/>
        <item x="665"/>
        <item x="632"/>
        <item x="25"/>
        <item x="1317"/>
        <item x="808"/>
        <item x="474"/>
        <item x="384"/>
        <item x="1451"/>
        <item x="647"/>
        <item x="1760"/>
        <item x="1816"/>
        <item x="1521"/>
        <item x="1604"/>
        <item x="256"/>
        <item x="1638"/>
        <item x="1556"/>
        <item x="1279"/>
        <item x="390"/>
        <item x="625"/>
        <item x="1324"/>
        <item x="505"/>
        <item x="1906"/>
        <item x="1880"/>
        <item x="240"/>
        <item x="1936"/>
        <item x="465"/>
        <item x="1721"/>
        <item x="873"/>
        <item x="119"/>
        <item x="909"/>
        <item x="1769"/>
        <item x="1984"/>
        <item x="1877"/>
        <item x="375"/>
        <item x="2"/>
        <item x="105"/>
        <item x="184"/>
        <item x="582"/>
        <item x="577"/>
        <item x="370"/>
        <item x="278"/>
        <item x="1931"/>
        <item x="1771"/>
        <item x="607"/>
        <item x="619"/>
        <item x="1547"/>
        <item x="1346"/>
        <item x="1100"/>
        <item x="397"/>
        <item x="576"/>
        <item x="309"/>
        <item x="917"/>
        <item x="1719"/>
        <item x="1897"/>
        <item x="284"/>
        <item x="1339"/>
        <item x="1544"/>
        <item x="1180"/>
        <item x="327"/>
        <item x="1843"/>
        <item x="1281"/>
        <item x="1631"/>
        <item x="1233"/>
        <item x="713"/>
        <item x="96"/>
        <item x="863"/>
        <item x="1325"/>
        <item x="99"/>
        <item x="1248"/>
        <item x="187"/>
        <item x="1147"/>
        <item x="608"/>
        <item x="488"/>
        <item x="393"/>
        <item x="1845"/>
        <item x="556"/>
        <item x="735"/>
        <item x="961"/>
        <item x="1480"/>
        <item x="770"/>
        <item x="448"/>
        <item x="1812"/>
        <item x="732"/>
        <item x="1483"/>
        <item x="1497"/>
        <item x="857"/>
        <item x="1943"/>
        <item x="1182"/>
        <item x="288"/>
        <item x="189"/>
        <item x="399"/>
        <item x="696"/>
        <item x="764"/>
        <item x="72"/>
        <item x="1733"/>
        <item x="585"/>
        <item x="782"/>
        <item x="1524"/>
        <item x="1749"/>
        <item x="1802"/>
        <item x="1572"/>
        <item x="1511"/>
        <item x="1899"/>
        <item x="330"/>
        <item x="418"/>
        <item x="1064"/>
        <item x="248"/>
        <item x="1272"/>
        <item x="1017"/>
        <item x="673"/>
        <item x="441"/>
        <item x="1265"/>
        <item x="1613"/>
        <item x="1923"/>
        <item x="1720"/>
        <item x="1954"/>
        <item x="1722"/>
        <item x="290"/>
        <item x="1392"/>
        <item x="1336"/>
        <item x="1573"/>
        <item x="143"/>
        <item x="1083"/>
        <item x="120"/>
        <item x="1935"/>
        <item x="1952"/>
        <item x="1652"/>
        <item x="1776"/>
        <item x="1941"/>
        <item x="1063"/>
        <item x="1054"/>
        <item x="131"/>
        <item x="1276"/>
        <item x="1683"/>
        <item x="310"/>
        <item x="889"/>
        <item x="789"/>
        <item x="683"/>
        <item x="775"/>
        <item x="807"/>
        <item x="1157"/>
        <item x="746"/>
        <item x="809"/>
        <item x="1664"/>
        <item x="108"/>
        <item x="155"/>
        <item x="597"/>
        <item x="1436"/>
        <item x="1391"/>
        <item x="95"/>
        <item x="100"/>
        <item x="445"/>
        <item x="1653"/>
        <item x="1410"/>
        <item x="230"/>
        <item x="1359"/>
        <item x="1415"/>
        <item x="292"/>
        <item x="1666"/>
        <item x="1624"/>
        <item x="1946"/>
        <item x="1055"/>
        <item x="1141"/>
        <item x="855"/>
        <item x="1234"/>
        <item x="1146"/>
        <item x="773"/>
        <item x="646"/>
        <item x="1601"/>
        <item x="1529"/>
        <item x="529"/>
        <item x="402"/>
        <item x="695"/>
        <item x="988"/>
        <item x="660"/>
        <item x="489"/>
        <item x="104"/>
        <item x="1479"/>
        <item x="289"/>
        <item x="477"/>
        <item x="887"/>
        <item x="1173"/>
        <item x="13"/>
        <item x="1552"/>
        <item x="840"/>
        <item x="307"/>
        <item x="1772"/>
        <item x="574"/>
        <item x="1068"/>
        <item x="1053"/>
        <item x="784"/>
        <item x="1155"/>
        <item x="1746"/>
        <item x="340"/>
        <item x="1991"/>
        <item x="752"/>
        <item x="162"/>
        <item x="1314"/>
        <item x="92"/>
        <item x="1189"/>
        <item x="344"/>
        <item x="1553"/>
        <item x="1796"/>
        <item x="350"/>
        <item x="1795"/>
        <item x="598"/>
        <item x="336"/>
        <item x="153"/>
        <item x="1962"/>
        <item x="586"/>
        <item x="1050"/>
        <item x="1019"/>
        <item x="1668"/>
        <item x="1751"/>
        <item x="703"/>
        <item x="1672"/>
        <item x="127"/>
        <item x="1350"/>
        <item x="1003"/>
        <item x="569"/>
        <item x="337"/>
        <item x="159"/>
        <item x="352"/>
        <item x="490"/>
        <item x="1980"/>
        <item x="1476"/>
        <item x="635"/>
        <item x="1482"/>
        <item x="315"/>
        <item x="1389"/>
        <item x="1022"/>
        <item x="401"/>
        <item x="1587"/>
        <item x="1375"/>
        <item x="295"/>
        <item x="1371"/>
        <item x="1160"/>
        <item x="228"/>
        <item x="425"/>
        <item x="552"/>
        <item x="704"/>
        <item x="1101"/>
        <item x="1382"/>
        <item x="1805"/>
        <item x="1241"/>
        <item x="1839"/>
        <item x="721"/>
        <item x="1598"/>
        <item x="473"/>
        <item x="88"/>
        <item x="271"/>
        <item x="270"/>
        <item x="1742"/>
        <item x="851"/>
        <item x="48"/>
        <item x="1271"/>
        <item x="1817"/>
        <item x="335"/>
        <item x="755"/>
        <item x="1973"/>
        <item x="27"/>
        <item x="522"/>
        <item x="541"/>
        <item x="1372"/>
        <item x="1103"/>
        <item x="331"/>
        <item x="1176"/>
        <item x="1784"/>
        <item x="136"/>
        <item x="649"/>
        <item x="1361"/>
        <item x="87"/>
        <item x="1217"/>
        <item x="1763"/>
        <item x="1385"/>
        <item x="1505"/>
        <item x="1263"/>
        <item x="301"/>
        <item x="573"/>
        <item x="955"/>
        <item x="1110"/>
        <item x="924"/>
        <item x="1870"/>
        <item x="1400"/>
        <item x="811"/>
        <item x="1704"/>
        <item x="500"/>
        <item x="199"/>
        <item x="493"/>
        <item x="134"/>
        <item x="644"/>
        <item x="1232"/>
        <item x="246"/>
        <item x="1084"/>
        <item x="1896"/>
        <item x="1014"/>
        <item x="510"/>
        <item x="52"/>
        <item x="1360"/>
        <item x="728"/>
        <item x="692"/>
        <item x="1358"/>
        <item x="1517"/>
        <item x="1340"/>
        <item x="536"/>
        <item x="20"/>
        <item x="1836"/>
        <item x="1435"/>
        <item x="1633"/>
        <item x="1583"/>
        <item x="638"/>
        <item x="1983"/>
        <item x="1332"/>
        <item x="1052"/>
        <item x="91"/>
        <item x="550"/>
        <item x="1172"/>
        <item x="731"/>
        <item x="138"/>
        <item x="1501"/>
        <item x="1267"/>
        <item x="715"/>
        <item x="279"/>
        <item x="236"/>
        <item x="1985"/>
        <item x="1926"/>
        <item x="1231"/>
        <item x="1744"/>
        <item x="3"/>
        <item x="1168"/>
        <item x="1621"/>
        <item x="1889"/>
        <item x="1074"/>
        <item x="200"/>
        <item x="1029"/>
        <item x="237"/>
        <item x="173"/>
        <item x="98"/>
        <item x="1761"/>
        <item x="1699"/>
        <item x="1294"/>
        <item x="215"/>
        <item x="451"/>
        <item x="850"/>
        <item x="443"/>
        <item x="372"/>
        <item x="1309"/>
        <item x="1240"/>
        <item x="1270"/>
        <item x="1878"/>
        <item x="1143"/>
        <item x="1215"/>
        <item x="1788"/>
        <item x="963"/>
        <item x="324"/>
        <item x="7"/>
        <item x="281"/>
        <item x="780"/>
        <item x="1625"/>
        <item x="1829"/>
        <item x="610"/>
        <item x="514"/>
        <item x="1244"/>
        <item x="103"/>
        <item x="766"/>
        <item x="989"/>
        <item x="706"/>
        <item x="1015"/>
        <item x="565"/>
        <item x="1117"/>
        <item x="1858"/>
        <item x="275"/>
        <item x="1434"/>
        <item x="334"/>
        <item x="133"/>
        <item x="1378"/>
        <item x="1162"/>
        <item x="1915"/>
        <item x="760"/>
        <item x="1685"/>
        <item x="1711"/>
        <item x="1716"/>
        <item x="1651"/>
        <item x="973"/>
        <item x="1846"/>
        <item x="75"/>
        <item x="1108"/>
        <item x="1510"/>
        <item x="436"/>
        <item x="792"/>
        <item x="1665"/>
        <item x="1091"/>
        <item x="1549"/>
        <item x="951"/>
        <item x="1674"/>
        <item x="1213"/>
        <item x="1178"/>
        <item x="1782"/>
        <item x="1499"/>
        <item x="168"/>
        <item x="1759"/>
        <item x="523"/>
        <item x="140"/>
        <item x="1696"/>
        <item x="29"/>
        <item x="1726"/>
        <item x="1671"/>
        <item x="1643"/>
        <item x="178"/>
        <item x="595"/>
        <item x="845"/>
        <item x="152"/>
        <item x="1373"/>
        <item x="1310"/>
        <item x="693"/>
        <item x="1682"/>
        <item x="14"/>
        <item x="1348"/>
        <item x="621"/>
        <item x="723"/>
        <item x="928"/>
        <item x="1406"/>
        <item x="84"/>
        <item x="854"/>
        <item x="1283"/>
        <item x="890"/>
        <item x="259"/>
        <item x="1930"/>
        <item x="1592"/>
        <item x="1951"/>
        <item x="990"/>
        <item x="929"/>
        <item x="509"/>
        <item x="1830"/>
        <item x="196"/>
        <item x="1527"/>
        <item x="383"/>
        <item x="355"/>
        <item x="1070"/>
        <item x="439"/>
        <item x="207"/>
        <item x="205"/>
        <item x="1768"/>
        <item x="1939"/>
        <item x="457"/>
        <item x="910"/>
        <item x="950"/>
        <item x="750"/>
        <item x="1210"/>
        <item x="1661"/>
        <item x="757"/>
        <item x="1198"/>
        <item x="394"/>
        <item x="366"/>
        <item x="700"/>
        <item x="1957"/>
        <item x="1269"/>
        <item x="1295"/>
        <item x="1158"/>
        <item x="1717"/>
        <item x="886"/>
        <item x="535"/>
        <item x="724"/>
        <item x="1413"/>
        <item x="1738"/>
        <item x="1741"/>
        <item x="1799"/>
        <item x="1045"/>
        <item x="359"/>
        <item x="1530"/>
        <item x="117"/>
        <item x="1789"/>
        <item x="387"/>
        <item x="440"/>
        <item x="997"/>
        <item x="385"/>
        <item x="823"/>
        <item x="1384"/>
        <item x="1088"/>
        <item x="813"/>
        <item x="1921"/>
        <item x="614"/>
        <item x="80"/>
        <item x="1196"/>
        <item x="486"/>
        <item x="1540"/>
        <item x="1080"/>
        <item x="1642"/>
        <item x="1543"/>
        <item x="1352"/>
        <item x="202"/>
        <item x="1443"/>
        <item x="1421"/>
        <item x="1798"/>
        <item x="1871"/>
        <item x="487"/>
        <item x="1322"/>
        <item x="1438"/>
        <item x="934"/>
        <item x="1351"/>
        <item x="1062"/>
        <item x="1047"/>
        <item x="252"/>
        <item x="810"/>
        <item x="1869"/>
        <item x="751"/>
        <item x="1783"/>
        <item x="1304"/>
        <item x="1859"/>
        <item x="984"/>
        <item x="897"/>
        <item x="1990"/>
        <item x="1808"/>
        <item x="1566"/>
        <item x="559"/>
        <item x="459"/>
        <item x="783"/>
        <item x="1821"/>
        <item x="1380"/>
        <item x="1041"/>
        <item x="1300"/>
        <item x="1676"/>
        <item x="593"/>
        <item x="893"/>
        <item x="314"/>
        <item x="341"/>
        <item x="1707"/>
        <item x="1450"/>
        <item x="719"/>
        <item x="204"/>
        <item x="1684"/>
        <item x="1431"/>
        <item x="1458"/>
        <item x="1989"/>
        <item x="1250"/>
        <item x="1473"/>
        <item x="93"/>
        <item x="824"/>
        <item x="1586"/>
        <item x="521"/>
        <item x="1136"/>
        <item x="1020"/>
        <item x="154"/>
        <item x="592"/>
        <item x="763"/>
        <item x="241"/>
        <item x="716"/>
        <item x="1016"/>
        <item x="566"/>
        <item x="868"/>
        <item x="883"/>
        <item x="1538"/>
        <item x="1042"/>
        <item x="1221"/>
        <item x="833"/>
        <item x="1883"/>
        <item x="1801"/>
        <item x="1171"/>
        <item x="420"/>
        <item x="1447"/>
        <item x="86"/>
        <item x="379"/>
        <item x="421"/>
        <item x="953"/>
        <item x="405"/>
        <item x="1195"/>
        <item x="920"/>
        <item x="1520"/>
        <item x="720"/>
        <item x="1925"/>
        <item x="209"/>
        <item x="1059"/>
        <item x="1142"/>
        <item x="941"/>
        <item x="386"/>
        <item x="1894"/>
        <item x="1364"/>
        <item x="1256"/>
        <item x="992"/>
        <item x="641"/>
        <item x="156"/>
        <item x="415"/>
        <item x="694"/>
        <item x="563"/>
        <item x="537"/>
        <item x="1942"/>
        <item x="480"/>
        <item x="1491"/>
        <item x="830"/>
        <item x="39"/>
        <item x="982"/>
        <item x="1040"/>
        <item x="1319"/>
        <item x="1637"/>
        <item x="1026"/>
        <item x="1448"/>
        <item x="1646"/>
        <item x="1326"/>
        <item x="1690"/>
        <item x="1487"/>
        <item x="1181"/>
        <item x="546"/>
        <item x="193"/>
        <item x="1106"/>
        <item x="958"/>
        <item x="837"/>
        <item x="553"/>
        <item x="542"/>
        <item x="491"/>
        <item x="842"/>
        <item x="995"/>
        <item x="1441"/>
        <item x="492"/>
        <item x="253"/>
        <item x="1184"/>
        <item x="1639"/>
        <item x="283"/>
        <item x="884"/>
        <item x="1327"/>
        <item x="53"/>
        <item x="58"/>
        <item x="353"/>
        <item x="43"/>
        <item x="417"/>
        <item x="1901"/>
        <item x="1417"/>
        <item x="844"/>
        <item x="894"/>
        <item x="507"/>
        <item x="470"/>
        <item x="71"/>
        <item x="220"/>
        <item x="1593"/>
        <item x="1462"/>
        <item x="181"/>
        <item x="77"/>
        <item x="966"/>
        <item x="516"/>
        <item x="1755"/>
        <item x="944"/>
        <item x="628"/>
        <item x="1779"/>
        <item x="1508"/>
        <item x="1835"/>
        <item x="1978"/>
        <item x="1119"/>
        <item x="1982"/>
        <item x="1127"/>
        <item x="962"/>
        <item x="967"/>
        <item x="55"/>
        <item x="836"/>
        <item x="1381"/>
        <item x="1758"/>
        <item x="908"/>
        <item x="296"/>
        <item x="413"/>
        <item x="1335"/>
        <item x="617"/>
        <item x="848"/>
        <item x="1628"/>
        <item x="768"/>
        <item x="568"/>
        <item x="346"/>
        <item x="788"/>
        <item x="1469"/>
        <item x="369"/>
        <item x="596"/>
        <item x="368"/>
        <item x="398"/>
        <item x="437"/>
        <item x="1806"/>
        <item x="1495"/>
        <item x="312"/>
        <item x="1632"/>
        <item x="1190"/>
        <item x="101"/>
        <item x="1913"/>
        <item x="1394"/>
        <item x="1706"/>
        <item x="820"/>
        <item x="977"/>
        <item x="945"/>
        <item x="1705"/>
        <item x="1563"/>
        <item x="758"/>
        <item x="471"/>
        <item x="1686"/>
        <item x="517"/>
        <item x="1227"/>
        <item x="1629"/>
        <item x="1427"/>
        <item x="1289"/>
        <item x="1465"/>
        <item x="1650"/>
        <item x="68"/>
        <item x="653"/>
        <item x="972"/>
        <item x="981"/>
        <item x="113"/>
        <item x="1419"/>
        <item x="1396"/>
        <item x="749"/>
        <item x="1868"/>
        <item x="895"/>
        <item x="1009"/>
        <item x="1927"/>
        <item x="1576"/>
        <item x="1734"/>
        <item x="1370"/>
        <item x="1774"/>
        <item x="937"/>
        <item x="18"/>
        <item x="1165"/>
        <item x="1525"/>
        <item x="1964"/>
        <item x="1125"/>
        <item x="1698"/>
        <item x="1408"/>
        <item x="1902"/>
        <item x="1723"/>
        <item x="903"/>
        <item x="112"/>
        <item x="419"/>
        <item x="822"/>
        <item x="1036"/>
        <item x="463"/>
        <item x="1012"/>
        <item x="171"/>
        <item x="916"/>
        <item x="1857"/>
        <item x="604"/>
        <item x="1809"/>
        <item x="1225"/>
        <item x="461"/>
        <item x="476"/>
        <item x="472"/>
        <item x="406"/>
        <item x="613"/>
        <item x="618"/>
        <item x="581"/>
        <item x="1253"/>
        <item x="697"/>
        <item x="190"/>
        <item x="1627"/>
        <item x="469"/>
        <item x="1599"/>
        <item x="589"/>
        <item x="1662"/>
        <item x="145"/>
        <item x="1996"/>
        <item x="1337"/>
        <item x="1636"/>
        <item x="1876"/>
        <item x="1596"/>
        <item x="332"/>
        <item x="458"/>
        <item x="1740"/>
        <item x="265"/>
        <item x="601"/>
        <item x="1130"/>
        <item x="1702"/>
        <item x="639"/>
        <item x="1886"/>
        <item x="239"/>
        <item x="141"/>
        <item x="333"/>
        <item x="1986"/>
        <item x="1977"/>
        <item x="1879"/>
        <item x="475"/>
        <item x="1412"/>
        <item x="847"/>
        <item x="1641"/>
        <item x="1976"/>
        <item x="1086"/>
        <item x="460"/>
        <item x="587"/>
        <item x="345"/>
        <item x="1938"/>
        <item x="10"/>
        <item x="1944"/>
        <item x="795"/>
        <item x="364"/>
        <item x="1021"/>
        <item x="1713"/>
        <item x="1079"/>
        <item x="1096"/>
        <item x="1354"/>
        <item x="319"/>
        <item x="1588"/>
        <item x="896"/>
        <item x="174"/>
        <item x="1418"/>
        <item x="747"/>
        <item x="1948"/>
        <item x="1677"/>
        <item x="1296"/>
        <item x="743"/>
        <item x="1914"/>
        <item x="1118"/>
        <item x="323"/>
        <item x="1414"/>
        <item x="339"/>
        <item x="946"/>
        <item x="761"/>
        <item x="1011"/>
        <item x="661"/>
        <item x="1257"/>
        <item x="201"/>
        <item x="494"/>
        <item x="1144"/>
        <item x="1090"/>
        <item x="650"/>
        <item x="637"/>
        <item x="1950"/>
        <item x="1122"/>
        <item x="1293"/>
        <item x="611"/>
        <item x="1618"/>
        <item x="1813"/>
        <item x="606"/>
        <item x="1680"/>
        <item x="803"/>
        <item x="4"/>
        <item x="1992"/>
        <item x="1826"/>
        <item x="416"/>
        <item x="1466"/>
        <item x="1603"/>
        <item x="1307"/>
        <item x="1959"/>
        <item x="23"/>
        <item x="918"/>
        <item x="1124"/>
        <item x="1590"/>
        <item x="1388"/>
        <item x="1844"/>
        <item x="815"/>
        <item x="1126"/>
        <item x="1478"/>
        <item x="450"/>
        <item x="794"/>
        <item x="371"/>
        <item x="1167"/>
        <item x="226"/>
        <item x="1274"/>
        <item x="1908"/>
        <item x="799"/>
        <item x="26"/>
        <item x="1087"/>
        <item x="298"/>
        <item x="1245"/>
        <item x="1648"/>
        <item x="1892"/>
        <item x="801"/>
        <item x="1262"/>
        <item x="1787"/>
        <item x="1492"/>
        <item x="1953"/>
        <item x="1904"/>
        <item x="1581"/>
        <item x="651"/>
        <item x="414"/>
        <item x="348"/>
        <item x="1481"/>
        <item x="1056"/>
        <item x="1551"/>
        <item x="188"/>
        <item x="148"/>
        <item x="208"/>
        <item x="952"/>
        <item x="999"/>
        <item x="1753"/>
        <item x="1575"/>
        <item x="754"/>
        <item x="1197"/>
        <item x="819"/>
        <item x="1175"/>
        <item x="1534"/>
        <item x="1031"/>
        <item x="447"/>
        <item x="701"/>
        <item x="1541"/>
        <item x="1793"/>
        <item x="987"/>
        <item x="1432"/>
        <item x="1299"/>
        <item x="1345"/>
        <item x="213"/>
        <item x="602"/>
        <item x="1452"/>
        <item x="547"/>
        <item x="498"/>
        <item x="787"/>
        <item x="1732"/>
        <item x="1355"/>
        <item x="1792"/>
        <item x="931"/>
        <item x="899"/>
        <item x="1766"/>
        <item x="744"/>
        <item x="1209"/>
        <item x="612"/>
        <item x="404"/>
        <item x="1569"/>
        <item x="1183"/>
        <item x="8"/>
        <item x="1092"/>
        <item x="1834"/>
        <item x="1614"/>
        <item x="1907"/>
        <item x="1028"/>
        <item x="888"/>
        <item x="1559"/>
        <item x="655"/>
        <item x="662"/>
        <item x="1567"/>
        <item x="1006"/>
        <item x="549"/>
        <item x="158"/>
        <item x="318"/>
        <item x="1611"/>
        <item x="380"/>
        <item x="677"/>
        <item x="31"/>
        <item x="1866"/>
        <item x="1594"/>
        <item x="980"/>
        <item x="1365"/>
        <item x="1426"/>
        <item x="506"/>
        <item x="926"/>
        <item x="1657"/>
        <item x="342"/>
        <item x="21"/>
        <item x="1202"/>
        <item x="1867"/>
        <item x="861"/>
        <item x="179"/>
        <item x="34"/>
        <item x="1550"/>
        <item x="424"/>
        <item x="1280"/>
        <item x="1102"/>
        <item x="1341"/>
        <item x="558"/>
        <item x="843"/>
        <item x="1972"/>
        <item x="707"/>
        <item x="32"/>
        <item x="1290"/>
        <item x="163"/>
        <item x="905"/>
        <item x="867"/>
        <item x="921"/>
        <item x="299"/>
        <item x="698"/>
        <item x="56"/>
        <item x="389"/>
        <item x="689"/>
        <item x="1362"/>
        <item x="1647"/>
        <item x="1242"/>
        <item x="1254"/>
        <item x="255"/>
        <item x="1333"/>
        <item x="1578"/>
        <item x="1236"/>
        <item x="1140"/>
        <item x="1554"/>
        <item x="261"/>
        <item x="1658"/>
        <item x="1855"/>
        <item x="1401"/>
        <item x="466"/>
        <item x="976"/>
        <item x="1467"/>
        <item x="1564"/>
        <item x="1848"/>
        <item x="1865"/>
        <item x="5"/>
        <item x="1376"/>
        <item x="725"/>
        <item x="654"/>
        <item x="1987"/>
        <item x="1145"/>
        <item x="1695"/>
        <item x="1007"/>
        <item x="1518"/>
        <item x="806"/>
        <item x="580"/>
        <item x="1673"/>
        <item x="906"/>
        <item x="412"/>
        <item x="991"/>
        <item x="828"/>
        <item x="849"/>
        <item x="1174"/>
        <item x="1700"/>
        <item x="699"/>
        <item x="1933"/>
        <item x="1823"/>
        <item x="504"/>
        <item x="1095"/>
        <item x="1714"/>
        <item x="304"/>
        <item x="985"/>
        <item x="672"/>
        <item x="1790"/>
        <item x="322"/>
        <item x="485"/>
        <item x="1060"/>
        <item x="1528"/>
        <item x="1929"/>
        <item x="1862"/>
        <item x="762"/>
        <item x="497"/>
        <item x="1002"/>
        <item x="668"/>
        <item x="17"/>
        <item x="1882"/>
        <item x="859"/>
        <item x="267"/>
        <item x="745"/>
        <item x="1429"/>
        <item x="1979"/>
        <item x="1974"/>
        <item x="1177"/>
        <item x="434"/>
        <item x="1043"/>
        <item x="1838"/>
        <item x="1605"/>
        <item x="0"/>
        <item x="442"/>
        <item x="1081"/>
        <item x="347"/>
        <item x="37"/>
        <item x="1034"/>
        <item x="1089"/>
        <item x="827"/>
        <item x="1797"/>
        <item x="513"/>
        <item x="1097"/>
        <item x="675"/>
        <item x="935"/>
        <item x="1595"/>
        <item x="986"/>
        <item x="1078"/>
        <item x="911"/>
        <item x="1430"/>
        <item x="1291"/>
        <item x="1780"/>
        <item x="431"/>
        <item x="272"/>
        <item x="1565"/>
        <item x="1328"/>
        <item x="676"/>
        <item x="1203"/>
        <item x="1442"/>
        <item x="1932"/>
        <item x="1574"/>
        <item x="63"/>
        <item x="455"/>
        <item x="1163"/>
        <item x="954"/>
        <item x="1470"/>
        <item x="1622"/>
        <item x="1223"/>
        <item x="543"/>
        <item x="41"/>
        <item x="328"/>
        <item x="1445"/>
        <item x="62"/>
        <item x="1691"/>
        <item x="1082"/>
        <item x="268"/>
        <item x="125"/>
        <item x="1577"/>
        <item x="1252"/>
        <item x="109"/>
        <item x="938"/>
        <item x="1548"/>
        <item x="269"/>
        <item x="1323"/>
        <item x="411"/>
        <item x="1058"/>
        <item x="1094"/>
        <item x="1670"/>
        <item x="1937"/>
        <item x="361"/>
        <item x="1185"/>
        <item x="232"/>
        <item x="1775"/>
        <item x="545"/>
        <item x="121"/>
        <item x="291"/>
        <item x="1743"/>
        <item x="12"/>
        <item x="244"/>
        <item x="1306"/>
        <item x="410"/>
        <item x="579"/>
        <item x="1048"/>
        <item x="1369"/>
        <item x="709"/>
        <item x="1061"/>
        <item x="622"/>
        <item x="453"/>
        <item x="1191"/>
        <item x="866"/>
        <item x="802"/>
        <item x="554"/>
        <item x="856"/>
        <item x="853"/>
        <item x="1562"/>
        <item x="378"/>
        <item x="483"/>
        <item x="114"/>
        <item x="1138"/>
        <item x="643"/>
        <item x="832"/>
        <item x="578"/>
        <item x="1900"/>
        <item x="1861"/>
        <item x="1634"/>
        <item x="1800"/>
        <item x="1778"/>
        <item x="711"/>
        <item x="1004"/>
        <item x="1446"/>
        <item x="351"/>
        <item x="293"/>
        <item x="482"/>
        <item x="733"/>
        <item x="157"/>
        <item x="1681"/>
        <item x="1404"/>
        <item x="1773"/>
        <item x="1997"/>
        <item x="1757"/>
        <item x="1924"/>
        <item x="1342"/>
        <item x="1837"/>
        <item x="1402"/>
        <item x="1498"/>
        <item x="1035"/>
        <item x="862"/>
        <item x="1032"/>
        <item x="838"/>
        <item x="1"/>
        <item x="1208"/>
        <item x="1423"/>
        <item x="19"/>
        <item x="377"/>
        <item x="1767"/>
        <item x="1463"/>
        <item x="1260"/>
        <item x="1044"/>
        <item x="1356"/>
        <item x="1770"/>
        <item x="1885"/>
        <item x="1852"/>
        <item x="221"/>
        <item x="796"/>
        <item x="1764"/>
        <item x="1027"/>
        <item x="1030"/>
        <item x="630"/>
        <item x="1615"/>
        <item x="409"/>
        <item x="478"/>
        <item x="821"/>
        <item x="1688"/>
        <item x="798"/>
        <item x="195"/>
        <item x="1891"/>
        <item x="1098"/>
        <item x="1546"/>
        <item x="648"/>
        <item x="373"/>
        <item x="1863"/>
        <item x="1013"/>
        <item x="403"/>
        <item x="1071"/>
        <item x="1344"/>
        <item x="1038"/>
        <item x="45"/>
        <item x="623"/>
        <item x="1635"/>
        <item x="800"/>
        <item x="518"/>
        <item x="1051"/>
        <item x="737"/>
        <item x="388"/>
        <item x="891"/>
        <item x="1842"/>
        <item x="1439"/>
        <item x="741"/>
        <item x="1667"/>
        <item x="1046"/>
        <item x="210"/>
        <item x="1967"/>
        <item x="1945"/>
        <item x="778"/>
        <item x="512"/>
        <item x="1321"/>
        <item x="1585"/>
        <item x="1485"/>
        <item t="default"/>
      </items>
    </pivotField>
    <pivotField showAll="0"/>
    <pivotField dragToRow="0" dragToCol="0" dragToPage="0" showAll="0" defaultSubtotal="0"/>
    <pivotField dragToRow="0" dragToCol="0" dragToPage="0" showAll="0" defaultSubtotal="0"/>
  </pivotFields>
  <rowFields count="1">
    <field x="1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Revenue" fld="4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B65BE38-338E-4EC5-BE05-FB336199F7E6}" name="PivotTable3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Sales Rep">
  <location ref="B27:F33" firstHeaderRow="1" firstDataRow="2" firstDataCol="1"/>
  <pivotFields count="12">
    <pivotField numFmtId="14" showAll="0"/>
    <pivotField showAll="0"/>
    <pivotField showAll="0"/>
    <pivotField axis="axisRow" showAll="0">
      <items count="5">
        <item x="3"/>
        <item x="0"/>
        <item x="2"/>
        <item x="1"/>
        <item t="default"/>
      </items>
    </pivotField>
    <pivotField showAll="0"/>
    <pivotField showAll="0"/>
    <pivotField showAll="0"/>
    <pivotField dataField="1" showAll="0"/>
    <pivotField numFmtId="9" showAll="0"/>
    <pivotField axis="axisCol" showAll="0">
      <items count="4">
        <item x="1"/>
        <item x="2"/>
        <item x="0"/>
        <item t="default"/>
      </items>
    </pivotField>
    <pivotField dragToRow="0" dragToCol="0" dragToPage="0" showAll="0" defaultSubtotal="0"/>
    <pivotField dragToRow="0" dragToCol="0" dragToPage="0" showAll="0" defaultSubtota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Fields count="1">
    <field x="9"/>
  </colFields>
  <colItems count="4">
    <i>
      <x/>
    </i>
    <i>
      <x v="1"/>
    </i>
    <i>
      <x v="2"/>
    </i>
    <i t="grand">
      <x/>
    </i>
  </colItems>
  <dataFields count="1">
    <dataField name="Sum of Profit" fld="7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E059A99-FFC4-4BED-A3ED-E44548EB3C60}" name="PivotTable5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D12:D13" firstHeaderRow="1" firstDataRow="1" firstDataCol="0"/>
  <pivotFields count="12">
    <pivotField numFmtId="14" showAll="0"/>
    <pivotField showAll="0"/>
    <pivotField showAll="0"/>
    <pivotField showAll="0"/>
    <pivotField dataField="1" showAll="0"/>
    <pivotField showAll="0"/>
    <pivotField showAll="0"/>
    <pivotField showAll="0"/>
    <pivotField numFmtId="9" showAll="0"/>
    <pivotField showAll="0"/>
    <pivotField dragToRow="0" dragToCol="0" dragToPage="0" showAll="0" defaultSubtotal="0"/>
    <pivotField dragToRow="0" dragToCol="0" dragToPage="0" showAll="0" defaultSubtotal="0"/>
  </pivotFields>
  <rowItems count="1">
    <i/>
  </rowItems>
  <colItems count="1">
    <i/>
  </colItems>
  <dataFields count="1">
    <dataField name="Sum of Revenue" fld="4" baseField="0" baseItem="0" numFmtId="164"/>
  </dataFields>
  <formats count="1">
    <format dxfId="0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12FAB04-05D9-46CD-AFA4-4AACFCCDA168}" name="PivotTable4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1">
  <location ref="D3:E8" firstHeaderRow="1" firstDataRow="1" firstDataCol="1"/>
  <pivotFields count="13">
    <pivotField showAll="0">
      <items count="897">
        <item x="438"/>
        <item x="137"/>
        <item x="710"/>
        <item x="534"/>
        <item x="261"/>
        <item x="532"/>
        <item x="642"/>
        <item x="498"/>
        <item x="176"/>
        <item x="423"/>
        <item x="589"/>
        <item x="319"/>
        <item x="554"/>
        <item x="37"/>
        <item x="72"/>
        <item x="698"/>
        <item x="208"/>
        <item x="222"/>
        <item x="826"/>
        <item x="241"/>
        <item x="31"/>
        <item x="16"/>
        <item x="302"/>
        <item x="797"/>
        <item x="516"/>
        <item x="199"/>
        <item x="505"/>
        <item x="374"/>
        <item x="621"/>
        <item x="441"/>
        <item x="45"/>
        <item x="239"/>
        <item x="340"/>
        <item x="196"/>
        <item x="381"/>
        <item x="727"/>
        <item x="84"/>
        <item x="660"/>
        <item x="474"/>
        <item x="265"/>
        <item x="494"/>
        <item x="842"/>
        <item x="250"/>
        <item x="471"/>
        <item x="180"/>
        <item x="629"/>
        <item x="503"/>
        <item x="394"/>
        <item x="654"/>
        <item x="481"/>
        <item x="343"/>
        <item x="429"/>
        <item x="73"/>
        <item x="807"/>
        <item x="517"/>
        <item x="469"/>
        <item x="772"/>
        <item x="676"/>
        <item x="452"/>
        <item x="349"/>
        <item x="506"/>
        <item x="753"/>
        <item x="397"/>
        <item x="463"/>
        <item x="646"/>
        <item x="437"/>
        <item x="757"/>
        <item x="832"/>
        <item x="512"/>
        <item x="631"/>
        <item x="6"/>
        <item x="562"/>
        <item x="323"/>
        <item x="379"/>
        <item x="42"/>
        <item x="480"/>
        <item x="294"/>
        <item x="442"/>
        <item x="114"/>
        <item x="456"/>
        <item x="95"/>
        <item x="803"/>
        <item x="868"/>
        <item x="679"/>
        <item x="454"/>
        <item x="182"/>
        <item x="432"/>
        <item x="778"/>
        <item x="493"/>
        <item x="678"/>
        <item x="360"/>
        <item x="475"/>
        <item x="136"/>
        <item x="628"/>
        <item x="327"/>
        <item x="777"/>
        <item x="278"/>
        <item x="445"/>
        <item x="814"/>
        <item x="274"/>
        <item x="3"/>
        <item x="145"/>
        <item x="870"/>
        <item x="473"/>
        <item x="597"/>
        <item x="221"/>
        <item x="821"/>
        <item x="586"/>
        <item x="8"/>
        <item x="561"/>
        <item x="464"/>
        <item x="393"/>
        <item x="86"/>
        <item x="688"/>
        <item x="467"/>
        <item x="548"/>
        <item x="545"/>
        <item x="591"/>
        <item x="566"/>
        <item x="153"/>
        <item x="515"/>
        <item x="426"/>
        <item x="160"/>
        <item x="615"/>
        <item x="670"/>
        <item x="252"/>
        <item x="166"/>
        <item x="179"/>
        <item x="184"/>
        <item x="288"/>
        <item x="228"/>
        <item x="613"/>
        <item x="576"/>
        <item x="209"/>
        <item x="796"/>
        <item x="312"/>
        <item x="189"/>
        <item x="53"/>
        <item x="863"/>
        <item x="637"/>
        <item x="460"/>
        <item x="33"/>
        <item x="664"/>
        <item x="887"/>
        <item x="372"/>
        <item x="553"/>
        <item x="382"/>
        <item x="346"/>
        <item x="215"/>
        <item x="638"/>
        <item x="695"/>
        <item x="468"/>
        <item x="800"/>
        <item x="155"/>
        <item x="68"/>
        <item x="25"/>
        <item x="218"/>
        <item x="336"/>
        <item x="538"/>
        <item x="579"/>
        <item x="150"/>
        <item x="764"/>
        <item x="879"/>
        <item x="87"/>
        <item x="54"/>
        <item x="144"/>
        <item x="472"/>
        <item x="46"/>
        <item x="107"/>
        <item x="177"/>
        <item x="748"/>
        <item x="876"/>
        <item x="489"/>
        <item x="619"/>
        <item x="583"/>
        <item x="66"/>
        <item x="297"/>
        <item x="139"/>
        <item x="781"/>
        <item x="427"/>
        <item x="543"/>
        <item x="200"/>
        <item x="518"/>
        <item x="530"/>
        <item x="197"/>
        <item x="82"/>
        <item x="878"/>
        <item x="486"/>
        <item x="364"/>
        <item x="447"/>
        <item x="657"/>
        <item x="864"/>
        <item x="490"/>
        <item x="38"/>
        <item x="527"/>
        <item x="610"/>
        <item x="703"/>
        <item x="231"/>
        <item x="142"/>
        <item x="459"/>
        <item x="443"/>
        <item x="702"/>
        <item x="17"/>
        <item x="172"/>
        <item x="420"/>
        <item x="310"/>
        <item x="550"/>
        <item x="552"/>
        <item x="859"/>
        <item x="167"/>
        <item x="259"/>
        <item x="350"/>
        <item x="706"/>
        <item x="446"/>
        <item x="270"/>
        <item x="56"/>
        <item x="704"/>
        <item x="891"/>
        <item x="773"/>
        <item x="681"/>
        <item x="816"/>
        <item x="14"/>
        <item x="745"/>
        <item x="341"/>
        <item x="148"/>
        <item x="478"/>
        <item x="813"/>
        <item x="894"/>
        <item x="202"/>
        <item x="317"/>
        <item x="624"/>
        <item x="809"/>
        <item x="790"/>
        <item x="80"/>
        <item x="829"/>
        <item x="711"/>
        <item x="147"/>
        <item x="737"/>
        <item x="60"/>
        <item x="841"/>
        <item x="808"/>
        <item x="214"/>
        <item x="501"/>
        <item x="833"/>
        <item x="254"/>
        <item x="749"/>
        <item x="791"/>
        <item x="820"/>
        <item x="788"/>
        <item x="700"/>
        <item x="793"/>
        <item x="608"/>
        <item x="253"/>
        <item x="523"/>
        <item x="36"/>
        <item x="780"/>
        <item x="131"/>
        <item x="547"/>
        <item x="242"/>
        <item x="584"/>
        <item x="541"/>
        <item x="618"/>
        <item x="634"/>
        <item x="555"/>
        <item x="643"/>
        <item x="5"/>
        <item x="557"/>
        <item x="686"/>
        <item x="309"/>
        <item x="495"/>
        <item x="62"/>
        <item x="375"/>
        <item x="708"/>
        <item x="300"/>
        <item x="616"/>
        <item x="835"/>
        <item x="10"/>
        <item x="824"/>
        <item x="168"/>
        <item x="611"/>
        <item x="389"/>
        <item x="730"/>
        <item x="492"/>
        <item x="889"/>
        <item x="731"/>
        <item x="853"/>
        <item x="594"/>
        <item x="301"/>
        <item x="404"/>
        <item x="477"/>
        <item x="825"/>
        <item x="511"/>
        <item x="696"/>
        <item x="507"/>
        <item x="881"/>
        <item x="884"/>
        <item x="271"/>
        <item x="605"/>
        <item x="690"/>
        <item x="406"/>
        <item x="424"/>
        <item x="804"/>
        <item x="558"/>
        <item x="705"/>
        <item x="765"/>
        <item x="81"/>
        <item x="69"/>
        <item x="751"/>
        <item x="867"/>
        <item x="783"/>
        <item x="819"/>
        <item x="141"/>
        <item x="12"/>
        <item x="388"/>
        <item x="34"/>
        <item x="448"/>
        <item x="418"/>
        <item x="571"/>
        <item x="78"/>
        <item x="106"/>
        <item x="770"/>
        <item x="347"/>
        <item x="318"/>
        <item x="103"/>
        <item x="715"/>
        <item x="244"/>
        <item x="146"/>
        <item x="51"/>
        <item x="159"/>
        <item x="178"/>
        <item x="433"/>
        <item x="674"/>
        <item x="93"/>
        <item x="236"/>
        <item x="784"/>
        <item x="330"/>
        <item x="701"/>
        <item x="326"/>
        <item x="79"/>
        <item x="575"/>
        <item x="565"/>
        <item x="521"/>
        <item x="735"/>
        <item x="818"/>
        <item x="779"/>
        <item x="623"/>
        <item x="760"/>
        <item x="299"/>
        <item x="453"/>
        <item x="882"/>
        <item x="198"/>
        <item x="847"/>
        <item x="133"/>
        <item x="633"/>
        <item x="258"/>
        <item x="348"/>
        <item x="855"/>
        <item x="458"/>
        <item x="738"/>
        <item x="440"/>
        <item x="422"/>
        <item x="636"/>
        <item x="173"/>
        <item x="729"/>
        <item x="351"/>
        <item x="58"/>
        <item x="334"/>
        <item x="754"/>
        <item x="15"/>
        <item x="415"/>
        <item x="885"/>
        <item x="156"/>
        <item x="877"/>
        <item x="684"/>
        <item x="4"/>
        <item x="533"/>
        <item x="639"/>
        <item x="193"/>
        <item x="247"/>
        <item x="165"/>
        <item x="298"/>
        <item x="20"/>
        <item x="384"/>
        <item x="210"/>
        <item x="573"/>
        <item x="857"/>
        <item x="675"/>
        <item x="844"/>
        <item x="747"/>
        <item x="115"/>
        <item x="284"/>
        <item x="161"/>
        <item x="229"/>
        <item x="635"/>
        <item x="370"/>
        <item x="70"/>
        <item x="658"/>
        <item x="817"/>
        <item x="213"/>
        <item x="836"/>
        <item x="320"/>
        <item x="376"/>
        <item x="768"/>
        <item x="413"/>
        <item x="92"/>
        <item x="535"/>
        <item x="390"/>
        <item x="720"/>
        <item x="43"/>
        <item x="183"/>
        <item x="22"/>
        <item x="243"/>
        <item x="281"/>
        <item x="647"/>
        <item x="785"/>
        <item x="307"/>
        <item x="581"/>
        <item x="212"/>
        <item x="872"/>
        <item x="761"/>
        <item x="74"/>
        <item x="303"/>
        <item x="890"/>
        <item x="487"/>
        <item x="119"/>
        <item x="504"/>
        <item x="766"/>
        <item x="802"/>
        <item x="843"/>
        <item x="544"/>
        <item x="484"/>
        <item x="734"/>
        <item x="514"/>
        <item x="234"/>
        <item x="409"/>
        <item x="117"/>
        <item x="462"/>
        <item x="528"/>
        <item x="470"/>
        <item x="206"/>
        <item x="531"/>
        <item x="792"/>
        <item x="577"/>
        <item x="163"/>
        <item x="656"/>
        <item x="782"/>
        <item x="572"/>
        <item x="122"/>
        <item x="546"/>
        <item x="283"/>
        <item x="617"/>
        <item x="28"/>
        <item x="112"/>
        <item x="40"/>
        <item x="49"/>
        <item x="604"/>
        <item x="359"/>
        <item x="223"/>
        <item x="732"/>
        <item x="743"/>
        <item x="537"/>
        <item x="251"/>
        <item x="812"/>
        <item x="709"/>
        <item x="120"/>
        <item x="570"/>
        <item x="725"/>
        <item x="286"/>
        <item x="769"/>
        <item x="714"/>
        <item x="741"/>
        <item x="181"/>
        <item x="367"/>
        <item x="736"/>
        <item x="625"/>
        <item x="762"/>
        <item x="775"/>
        <item x="77"/>
        <item x="689"/>
        <item x="520"/>
        <item x="344"/>
        <item x="580"/>
        <item x="35"/>
        <item x="483"/>
        <item x="324"/>
        <item x="216"/>
        <item x="798"/>
        <item x="154"/>
        <item x="659"/>
        <item x="99"/>
        <item x="852"/>
        <item x="692"/>
        <item x="563"/>
        <item x="328"/>
        <item x="854"/>
        <item x="837"/>
        <item x="693"/>
        <item x="849"/>
        <item x="519"/>
        <item x="169"/>
        <item x="499"/>
        <item x="225"/>
        <item x="587"/>
        <item x="127"/>
        <item x="687"/>
        <item x="811"/>
        <item x="845"/>
        <item x="653"/>
        <item x="126"/>
        <item x="280"/>
        <item x="726"/>
        <item x="272"/>
        <item x="801"/>
        <item x="502"/>
        <item x="191"/>
        <item x="164"/>
        <item x="138"/>
        <item x="100"/>
        <item x="840"/>
        <item x="485"/>
        <item x="124"/>
        <item x="30"/>
        <item x="75"/>
        <item x="130"/>
        <item x="846"/>
        <item x="888"/>
        <item x="383"/>
        <item x="245"/>
        <item x="269"/>
        <item x="273"/>
        <item x="365"/>
        <item x="205"/>
        <item x="157"/>
        <item x="606"/>
        <item x="524"/>
        <item x="339"/>
        <item x="132"/>
        <item x="567"/>
        <item x="508"/>
        <item x="479"/>
        <item x="405"/>
        <item x="822"/>
        <item x="622"/>
        <item x="395"/>
        <item x="776"/>
        <item x="444"/>
        <item x="740"/>
        <item x="333"/>
        <item x="436"/>
        <item x="860"/>
        <item x="121"/>
        <item x="593"/>
        <item x="96"/>
        <item x="240"/>
        <item x="224"/>
        <item x="27"/>
        <item x="192"/>
        <item x="431"/>
        <item x="314"/>
        <item x="315"/>
        <item x="522"/>
        <item x="669"/>
        <item x="789"/>
        <item x="290"/>
        <item x="408"/>
        <item x="135"/>
        <item x="23"/>
        <item x="667"/>
        <item x="50"/>
        <item x="285"/>
        <item x="712"/>
        <item x="650"/>
        <item x="851"/>
        <item x="421"/>
        <item x="129"/>
        <item x="685"/>
        <item x="590"/>
        <item x="677"/>
        <item x="380"/>
        <item x="540"/>
        <item x="750"/>
        <item x="439"/>
        <item x="352"/>
        <item x="500"/>
        <item x="61"/>
        <item x="655"/>
        <item x="697"/>
        <item x="620"/>
        <item x="542"/>
        <item x="560"/>
        <item x="97"/>
        <item x="249"/>
        <item x="331"/>
        <item x="52"/>
        <item x="663"/>
        <item x="410"/>
        <item x="363"/>
        <item x="767"/>
        <item x="353"/>
        <item x="401"/>
        <item x="455"/>
        <item x="337"/>
        <item x="412"/>
        <item x="277"/>
        <item x="873"/>
        <item x="111"/>
        <item x="672"/>
        <item x="648"/>
        <item x="18"/>
        <item x="116"/>
        <item x="195"/>
        <item x="366"/>
        <item x="152"/>
        <item x="719"/>
        <item x="321"/>
        <item x="588"/>
        <item x="673"/>
        <item x="233"/>
        <item x="332"/>
        <item x="304"/>
        <item x="450"/>
        <item x="67"/>
        <item x="102"/>
        <item x="871"/>
        <item x="305"/>
        <item x="9"/>
        <item x="434"/>
        <item x="718"/>
        <item x="883"/>
        <item x="262"/>
        <item x="644"/>
        <item x="44"/>
        <item x="39"/>
        <item x="630"/>
        <item x="600"/>
        <item x="88"/>
        <item x="723"/>
        <item x="834"/>
        <item x="402"/>
        <item x="230"/>
        <item x="839"/>
        <item x="838"/>
        <item x="287"/>
        <item x="279"/>
        <item x="65"/>
        <item x="758"/>
        <item x="488"/>
        <item x="105"/>
        <item x="125"/>
        <item x="465"/>
        <item x="201"/>
        <item x="564"/>
        <item x="190"/>
        <item x="282"/>
        <item x="497"/>
        <item x="94"/>
        <item x="11"/>
        <item x="671"/>
        <item x="786"/>
        <item x="513"/>
        <item x="601"/>
        <item x="396"/>
        <item x="57"/>
        <item x="683"/>
        <item x="668"/>
        <item x="869"/>
        <item x="569"/>
        <item x="187"/>
        <item x="267"/>
        <item x="391"/>
        <item x="603"/>
        <item x="329"/>
        <item x="430"/>
        <item x="237"/>
        <item x="385"/>
        <item x="275"/>
        <item x="29"/>
        <item x="632"/>
        <item x="248"/>
        <item x="858"/>
        <item x="143"/>
        <item x="805"/>
        <item x="255"/>
        <item x="32"/>
        <item x="830"/>
        <item x="525"/>
        <item x="585"/>
        <item x="549"/>
        <item x="865"/>
        <item x="539"/>
        <item x="476"/>
        <item x="322"/>
        <item x="722"/>
        <item x="354"/>
        <item x="313"/>
        <item x="428"/>
        <item x="226"/>
        <item x="140"/>
        <item x="739"/>
        <item x="19"/>
        <item x="457"/>
        <item x="893"/>
        <item x="0"/>
        <item x="795"/>
        <item x="110"/>
        <item x="582"/>
        <item x="680"/>
        <item x="266"/>
        <item x="411"/>
        <item x="104"/>
        <item x="7"/>
        <item x="342"/>
        <item x="787"/>
        <item x="378"/>
        <item x="263"/>
        <item x="186"/>
        <item x="63"/>
        <item x="170"/>
        <item x="419"/>
        <item x="149"/>
        <item x="355"/>
        <item x="398"/>
        <item x="755"/>
        <item x="596"/>
        <item x="774"/>
        <item x="358"/>
        <item x="109"/>
        <item x="724"/>
        <item x="699"/>
        <item x="386"/>
        <item x="311"/>
        <item x="171"/>
        <item x="41"/>
        <item x="526"/>
        <item x="466"/>
        <item x="874"/>
        <item x="551"/>
        <item x="238"/>
        <item x="651"/>
        <item x="665"/>
        <item x="752"/>
        <item x="417"/>
        <item x="640"/>
        <item x="556"/>
        <item x="296"/>
        <item x="371"/>
        <item x="185"/>
        <item x="645"/>
        <item x="746"/>
        <item x="828"/>
        <item x="559"/>
        <item x="451"/>
        <item x="335"/>
        <item x="235"/>
        <item x="666"/>
        <item x="574"/>
        <item x="794"/>
        <item x="416"/>
        <item x="707"/>
        <item x="220"/>
        <item x="162"/>
        <item x="89"/>
        <item x="862"/>
        <item x="799"/>
        <item x="392"/>
        <item x="362"/>
        <item x="268"/>
        <item x="609"/>
        <item x="612"/>
        <item x="652"/>
        <item x="831"/>
        <item x="892"/>
        <item x="641"/>
        <item x="880"/>
        <item x="373"/>
        <item x="536"/>
        <item x="357"/>
        <item x="713"/>
        <item x="578"/>
        <item x="134"/>
        <item x="369"/>
        <item x="158"/>
        <item x="13"/>
        <item x="188"/>
        <item x="26"/>
        <item x="414"/>
        <item x="203"/>
        <item x="98"/>
        <item x="227"/>
        <item x="886"/>
        <item x="716"/>
        <item x="614"/>
        <item x="403"/>
        <item x="607"/>
        <item x="325"/>
        <item x="399"/>
        <item x="246"/>
        <item x="128"/>
        <item x="756"/>
        <item x="728"/>
        <item x="24"/>
        <item x="338"/>
        <item x="856"/>
        <item x="219"/>
        <item x="151"/>
        <item x="602"/>
        <item x="461"/>
        <item x="592"/>
        <item x="694"/>
        <item x="823"/>
        <item x="627"/>
        <item x="744"/>
        <item x="449"/>
        <item x="264"/>
        <item x="217"/>
        <item x="742"/>
        <item x="691"/>
        <item x="55"/>
        <item x="289"/>
        <item x="662"/>
        <item x="848"/>
        <item x="827"/>
        <item x="257"/>
        <item x="260"/>
        <item x="806"/>
        <item x="850"/>
        <item x="568"/>
        <item x="595"/>
        <item x="293"/>
        <item x="626"/>
        <item x="866"/>
        <item x="295"/>
        <item x="123"/>
        <item x="598"/>
        <item x="175"/>
        <item x="306"/>
        <item x="59"/>
        <item x="83"/>
        <item x="204"/>
        <item x="113"/>
        <item x="48"/>
        <item x="649"/>
        <item x="387"/>
        <item x="47"/>
        <item x="510"/>
        <item x="101"/>
        <item x="509"/>
        <item x="407"/>
        <item x="368"/>
        <item x="810"/>
        <item x="400"/>
        <item x="875"/>
        <item x="108"/>
        <item x="308"/>
        <item x="661"/>
        <item x="345"/>
        <item x="721"/>
        <item x="2"/>
        <item x="194"/>
        <item x="435"/>
        <item x="356"/>
        <item x="496"/>
        <item x="763"/>
        <item x="85"/>
        <item x="599"/>
        <item x="733"/>
        <item x="90"/>
        <item x="815"/>
        <item x="118"/>
        <item x="174"/>
        <item x="232"/>
        <item x="529"/>
        <item x="71"/>
        <item x="361"/>
        <item x="316"/>
        <item x="682"/>
        <item x="211"/>
        <item x="292"/>
        <item x="91"/>
        <item x="207"/>
        <item x="482"/>
        <item x="64"/>
        <item x="256"/>
        <item x="491"/>
        <item x="276"/>
        <item x="21"/>
        <item x="759"/>
        <item x="717"/>
        <item x="76"/>
        <item x="771"/>
        <item x="425"/>
        <item x="861"/>
        <item x="291"/>
        <item x="377"/>
        <item x="1"/>
        <item x="895"/>
        <item t="default"/>
      </items>
    </pivotField>
    <pivotField showAll="0">
      <items count="6">
        <item x="2"/>
        <item x="3"/>
        <item x="1"/>
        <item x="0"/>
        <item x="4"/>
        <item t="default"/>
      </items>
    </pivotField>
    <pivotField showAll="0">
      <items count="6">
        <item x="1"/>
        <item x="3"/>
        <item x="0"/>
        <item x="2"/>
        <item x="4"/>
        <item t="default"/>
      </items>
    </pivotField>
    <pivotField axis="axisRow" showAll="0">
      <items count="6">
        <item x="3"/>
        <item x="0"/>
        <item x="2"/>
        <item x="1"/>
        <item h="1" x="4"/>
        <item t="default"/>
      </items>
    </pivotField>
    <pivotField dataField="1" showAll="0"/>
    <pivotField showAll="0"/>
    <pivotField showAll="0"/>
    <pivotField showAll="0"/>
    <pivotField showAll="0"/>
    <pivotField showAll="0"/>
    <pivotField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  <pivotField showAll="0">
      <items count="7">
        <item sd="0" x="0"/>
        <item sd="0" x="1"/>
        <item sd="0" x="2"/>
        <item sd="0" x="3"/>
        <item sd="0" x="4"/>
        <item sd="0" x="5"/>
        <item t="default"/>
      </items>
    </pivotField>
    <pivotField showAll="0">
      <items count="7">
        <item sd="0" x="0"/>
        <item sd="0" x="1"/>
        <item sd="0" x="2"/>
        <item sd="0" x="3"/>
        <item sd="0" x="4"/>
        <item sd="0" x="5"/>
        <item t="default"/>
      </items>
    </pivotField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Revenue" fld="4" baseField="0" baseItem="0"/>
  </dataFields>
  <chartFormats count="1">
    <chartFormat chart="4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B3FCFBC-D4B9-4291-87B7-F25369AD1AA1}" name="PivotTable3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9">
  <location ref="A21:B26" firstHeaderRow="1" firstDataRow="1" firstDataCol="1"/>
  <pivotFields count="13">
    <pivotField showAll="0">
      <items count="897">
        <item x="438"/>
        <item x="137"/>
        <item x="710"/>
        <item x="534"/>
        <item x="261"/>
        <item x="532"/>
        <item x="642"/>
        <item x="498"/>
        <item x="176"/>
        <item x="423"/>
        <item x="589"/>
        <item x="319"/>
        <item x="554"/>
        <item x="37"/>
        <item x="72"/>
        <item x="698"/>
        <item x="208"/>
        <item x="222"/>
        <item x="826"/>
        <item x="241"/>
        <item x="31"/>
        <item x="16"/>
        <item x="302"/>
        <item x="797"/>
        <item x="516"/>
        <item x="199"/>
        <item x="505"/>
        <item x="374"/>
        <item x="621"/>
        <item x="441"/>
        <item x="45"/>
        <item x="239"/>
        <item x="340"/>
        <item x="196"/>
        <item x="381"/>
        <item x="727"/>
        <item x="84"/>
        <item x="660"/>
        <item x="474"/>
        <item x="265"/>
        <item x="494"/>
        <item x="842"/>
        <item x="250"/>
        <item x="471"/>
        <item x="180"/>
        <item x="629"/>
        <item x="503"/>
        <item x="394"/>
        <item x="654"/>
        <item x="481"/>
        <item x="343"/>
        <item x="429"/>
        <item x="73"/>
        <item x="807"/>
        <item x="517"/>
        <item x="469"/>
        <item x="772"/>
        <item x="676"/>
        <item x="452"/>
        <item x="349"/>
        <item x="506"/>
        <item x="753"/>
        <item x="397"/>
        <item x="463"/>
        <item x="646"/>
        <item x="437"/>
        <item x="757"/>
        <item x="832"/>
        <item x="512"/>
        <item x="631"/>
        <item x="6"/>
        <item x="562"/>
        <item x="323"/>
        <item x="379"/>
        <item x="42"/>
        <item x="480"/>
        <item x="294"/>
        <item x="442"/>
        <item x="114"/>
        <item x="456"/>
        <item x="95"/>
        <item x="803"/>
        <item x="868"/>
        <item x="679"/>
        <item x="454"/>
        <item x="182"/>
        <item x="432"/>
        <item x="778"/>
        <item x="493"/>
        <item x="678"/>
        <item x="360"/>
        <item x="475"/>
        <item x="136"/>
        <item x="628"/>
        <item x="327"/>
        <item x="777"/>
        <item x="278"/>
        <item x="445"/>
        <item x="814"/>
        <item x="274"/>
        <item x="3"/>
        <item x="145"/>
        <item x="870"/>
        <item x="473"/>
        <item x="597"/>
        <item x="221"/>
        <item x="821"/>
        <item x="586"/>
        <item x="8"/>
        <item x="561"/>
        <item x="464"/>
        <item x="393"/>
        <item x="86"/>
        <item x="688"/>
        <item x="467"/>
        <item x="548"/>
        <item x="545"/>
        <item x="591"/>
        <item x="566"/>
        <item x="153"/>
        <item x="515"/>
        <item x="426"/>
        <item x="160"/>
        <item x="615"/>
        <item x="670"/>
        <item x="252"/>
        <item x="166"/>
        <item x="179"/>
        <item x="184"/>
        <item x="288"/>
        <item x="228"/>
        <item x="613"/>
        <item x="576"/>
        <item x="209"/>
        <item x="796"/>
        <item x="312"/>
        <item x="189"/>
        <item x="53"/>
        <item x="863"/>
        <item x="637"/>
        <item x="460"/>
        <item x="33"/>
        <item x="664"/>
        <item x="887"/>
        <item x="372"/>
        <item x="553"/>
        <item x="382"/>
        <item x="346"/>
        <item x="215"/>
        <item x="638"/>
        <item x="695"/>
        <item x="468"/>
        <item x="800"/>
        <item x="155"/>
        <item x="68"/>
        <item x="25"/>
        <item x="218"/>
        <item x="336"/>
        <item x="538"/>
        <item x="579"/>
        <item x="150"/>
        <item x="764"/>
        <item x="879"/>
        <item x="87"/>
        <item x="54"/>
        <item x="144"/>
        <item x="472"/>
        <item x="46"/>
        <item x="107"/>
        <item x="177"/>
        <item x="748"/>
        <item x="876"/>
        <item x="489"/>
        <item x="619"/>
        <item x="583"/>
        <item x="66"/>
        <item x="297"/>
        <item x="139"/>
        <item x="781"/>
        <item x="427"/>
        <item x="543"/>
        <item x="200"/>
        <item x="518"/>
        <item x="530"/>
        <item x="197"/>
        <item x="82"/>
        <item x="878"/>
        <item x="486"/>
        <item x="364"/>
        <item x="447"/>
        <item x="657"/>
        <item x="864"/>
        <item x="490"/>
        <item x="38"/>
        <item x="527"/>
        <item x="610"/>
        <item x="703"/>
        <item x="231"/>
        <item x="142"/>
        <item x="459"/>
        <item x="443"/>
        <item x="702"/>
        <item x="17"/>
        <item x="172"/>
        <item x="420"/>
        <item x="310"/>
        <item x="550"/>
        <item x="552"/>
        <item x="859"/>
        <item x="167"/>
        <item x="259"/>
        <item x="350"/>
        <item x="706"/>
        <item x="446"/>
        <item x="270"/>
        <item x="56"/>
        <item x="704"/>
        <item x="891"/>
        <item x="773"/>
        <item x="681"/>
        <item x="816"/>
        <item x="14"/>
        <item x="745"/>
        <item x="341"/>
        <item x="148"/>
        <item x="478"/>
        <item x="813"/>
        <item x="894"/>
        <item x="202"/>
        <item x="317"/>
        <item x="624"/>
        <item x="809"/>
        <item x="790"/>
        <item x="80"/>
        <item x="829"/>
        <item x="711"/>
        <item x="147"/>
        <item x="737"/>
        <item x="60"/>
        <item x="841"/>
        <item x="808"/>
        <item x="214"/>
        <item x="501"/>
        <item x="833"/>
        <item x="254"/>
        <item x="749"/>
        <item x="791"/>
        <item x="820"/>
        <item x="788"/>
        <item x="700"/>
        <item x="793"/>
        <item x="608"/>
        <item x="253"/>
        <item x="523"/>
        <item x="36"/>
        <item x="780"/>
        <item x="131"/>
        <item x="547"/>
        <item x="242"/>
        <item x="584"/>
        <item x="541"/>
        <item x="618"/>
        <item x="634"/>
        <item x="555"/>
        <item x="643"/>
        <item x="5"/>
        <item x="557"/>
        <item x="686"/>
        <item x="309"/>
        <item x="495"/>
        <item x="62"/>
        <item x="375"/>
        <item x="708"/>
        <item x="300"/>
        <item x="616"/>
        <item x="835"/>
        <item x="10"/>
        <item x="824"/>
        <item x="168"/>
        <item x="611"/>
        <item x="389"/>
        <item x="730"/>
        <item x="492"/>
        <item x="889"/>
        <item x="731"/>
        <item x="853"/>
        <item x="594"/>
        <item x="301"/>
        <item x="404"/>
        <item x="477"/>
        <item x="825"/>
        <item x="511"/>
        <item x="696"/>
        <item x="507"/>
        <item x="881"/>
        <item x="884"/>
        <item x="271"/>
        <item x="605"/>
        <item x="690"/>
        <item x="406"/>
        <item x="424"/>
        <item x="804"/>
        <item x="558"/>
        <item x="705"/>
        <item x="765"/>
        <item x="81"/>
        <item x="69"/>
        <item x="751"/>
        <item x="867"/>
        <item x="783"/>
        <item x="819"/>
        <item x="141"/>
        <item x="12"/>
        <item x="388"/>
        <item x="34"/>
        <item x="448"/>
        <item x="418"/>
        <item x="571"/>
        <item x="78"/>
        <item x="106"/>
        <item x="770"/>
        <item x="347"/>
        <item x="318"/>
        <item x="103"/>
        <item x="715"/>
        <item x="244"/>
        <item x="146"/>
        <item x="51"/>
        <item x="159"/>
        <item x="178"/>
        <item x="433"/>
        <item x="674"/>
        <item x="93"/>
        <item x="236"/>
        <item x="784"/>
        <item x="330"/>
        <item x="701"/>
        <item x="326"/>
        <item x="79"/>
        <item x="575"/>
        <item x="565"/>
        <item x="521"/>
        <item x="735"/>
        <item x="818"/>
        <item x="779"/>
        <item x="623"/>
        <item x="760"/>
        <item x="299"/>
        <item x="453"/>
        <item x="882"/>
        <item x="198"/>
        <item x="847"/>
        <item x="133"/>
        <item x="633"/>
        <item x="258"/>
        <item x="348"/>
        <item x="855"/>
        <item x="458"/>
        <item x="738"/>
        <item x="440"/>
        <item x="422"/>
        <item x="636"/>
        <item x="173"/>
        <item x="729"/>
        <item x="351"/>
        <item x="58"/>
        <item x="334"/>
        <item x="754"/>
        <item x="15"/>
        <item x="415"/>
        <item x="885"/>
        <item x="156"/>
        <item x="877"/>
        <item x="684"/>
        <item x="4"/>
        <item x="533"/>
        <item x="639"/>
        <item x="193"/>
        <item x="247"/>
        <item x="165"/>
        <item x="298"/>
        <item x="20"/>
        <item x="384"/>
        <item x="210"/>
        <item x="573"/>
        <item x="857"/>
        <item x="675"/>
        <item x="844"/>
        <item x="747"/>
        <item x="115"/>
        <item x="284"/>
        <item x="161"/>
        <item x="229"/>
        <item x="635"/>
        <item x="370"/>
        <item x="70"/>
        <item x="658"/>
        <item x="817"/>
        <item x="213"/>
        <item x="836"/>
        <item x="320"/>
        <item x="376"/>
        <item x="768"/>
        <item x="413"/>
        <item x="92"/>
        <item x="535"/>
        <item x="390"/>
        <item x="720"/>
        <item x="43"/>
        <item x="183"/>
        <item x="22"/>
        <item x="243"/>
        <item x="281"/>
        <item x="647"/>
        <item x="785"/>
        <item x="307"/>
        <item x="581"/>
        <item x="212"/>
        <item x="872"/>
        <item x="761"/>
        <item x="74"/>
        <item x="303"/>
        <item x="890"/>
        <item x="487"/>
        <item x="119"/>
        <item x="504"/>
        <item x="766"/>
        <item x="802"/>
        <item x="843"/>
        <item x="544"/>
        <item x="484"/>
        <item x="734"/>
        <item x="514"/>
        <item x="234"/>
        <item x="409"/>
        <item x="117"/>
        <item x="462"/>
        <item x="528"/>
        <item x="470"/>
        <item x="206"/>
        <item x="531"/>
        <item x="792"/>
        <item x="577"/>
        <item x="163"/>
        <item x="656"/>
        <item x="782"/>
        <item x="572"/>
        <item x="122"/>
        <item x="546"/>
        <item x="283"/>
        <item x="617"/>
        <item x="28"/>
        <item x="112"/>
        <item x="40"/>
        <item x="49"/>
        <item x="604"/>
        <item x="359"/>
        <item x="223"/>
        <item x="732"/>
        <item x="743"/>
        <item x="537"/>
        <item x="251"/>
        <item x="812"/>
        <item x="709"/>
        <item x="120"/>
        <item x="570"/>
        <item x="725"/>
        <item x="286"/>
        <item x="769"/>
        <item x="714"/>
        <item x="741"/>
        <item x="181"/>
        <item x="367"/>
        <item x="736"/>
        <item x="625"/>
        <item x="762"/>
        <item x="775"/>
        <item x="77"/>
        <item x="689"/>
        <item x="520"/>
        <item x="344"/>
        <item x="580"/>
        <item x="35"/>
        <item x="483"/>
        <item x="324"/>
        <item x="216"/>
        <item x="798"/>
        <item x="154"/>
        <item x="659"/>
        <item x="99"/>
        <item x="852"/>
        <item x="692"/>
        <item x="563"/>
        <item x="328"/>
        <item x="854"/>
        <item x="837"/>
        <item x="693"/>
        <item x="849"/>
        <item x="519"/>
        <item x="169"/>
        <item x="499"/>
        <item x="225"/>
        <item x="587"/>
        <item x="127"/>
        <item x="687"/>
        <item x="811"/>
        <item x="845"/>
        <item x="653"/>
        <item x="126"/>
        <item x="280"/>
        <item x="726"/>
        <item x="272"/>
        <item x="801"/>
        <item x="502"/>
        <item x="191"/>
        <item x="164"/>
        <item x="138"/>
        <item x="100"/>
        <item x="840"/>
        <item x="485"/>
        <item x="124"/>
        <item x="30"/>
        <item x="75"/>
        <item x="130"/>
        <item x="846"/>
        <item x="888"/>
        <item x="383"/>
        <item x="245"/>
        <item x="269"/>
        <item x="273"/>
        <item x="365"/>
        <item x="205"/>
        <item x="157"/>
        <item x="606"/>
        <item x="524"/>
        <item x="339"/>
        <item x="132"/>
        <item x="567"/>
        <item x="508"/>
        <item x="479"/>
        <item x="405"/>
        <item x="822"/>
        <item x="622"/>
        <item x="395"/>
        <item x="776"/>
        <item x="444"/>
        <item x="740"/>
        <item x="333"/>
        <item x="436"/>
        <item x="860"/>
        <item x="121"/>
        <item x="593"/>
        <item x="96"/>
        <item x="240"/>
        <item x="224"/>
        <item x="27"/>
        <item x="192"/>
        <item x="431"/>
        <item x="314"/>
        <item x="315"/>
        <item x="522"/>
        <item x="669"/>
        <item x="789"/>
        <item x="290"/>
        <item x="408"/>
        <item x="135"/>
        <item x="23"/>
        <item x="667"/>
        <item x="50"/>
        <item x="285"/>
        <item x="712"/>
        <item x="650"/>
        <item x="851"/>
        <item x="421"/>
        <item x="129"/>
        <item x="685"/>
        <item x="590"/>
        <item x="677"/>
        <item x="380"/>
        <item x="540"/>
        <item x="750"/>
        <item x="439"/>
        <item x="352"/>
        <item x="500"/>
        <item x="61"/>
        <item x="655"/>
        <item x="697"/>
        <item x="620"/>
        <item x="542"/>
        <item x="560"/>
        <item x="97"/>
        <item x="249"/>
        <item x="331"/>
        <item x="52"/>
        <item x="663"/>
        <item x="410"/>
        <item x="363"/>
        <item x="767"/>
        <item x="353"/>
        <item x="401"/>
        <item x="455"/>
        <item x="337"/>
        <item x="412"/>
        <item x="277"/>
        <item x="873"/>
        <item x="111"/>
        <item x="672"/>
        <item x="648"/>
        <item x="18"/>
        <item x="116"/>
        <item x="195"/>
        <item x="366"/>
        <item x="152"/>
        <item x="719"/>
        <item x="321"/>
        <item x="588"/>
        <item x="673"/>
        <item x="233"/>
        <item x="332"/>
        <item x="304"/>
        <item x="450"/>
        <item x="67"/>
        <item x="102"/>
        <item x="871"/>
        <item x="305"/>
        <item x="9"/>
        <item x="434"/>
        <item x="718"/>
        <item x="883"/>
        <item x="262"/>
        <item x="644"/>
        <item x="44"/>
        <item x="39"/>
        <item x="630"/>
        <item x="600"/>
        <item x="88"/>
        <item x="723"/>
        <item x="834"/>
        <item x="402"/>
        <item x="230"/>
        <item x="839"/>
        <item x="838"/>
        <item x="287"/>
        <item x="279"/>
        <item x="65"/>
        <item x="758"/>
        <item x="488"/>
        <item x="105"/>
        <item x="125"/>
        <item x="465"/>
        <item x="201"/>
        <item x="564"/>
        <item x="190"/>
        <item x="282"/>
        <item x="497"/>
        <item x="94"/>
        <item x="11"/>
        <item x="671"/>
        <item x="786"/>
        <item x="513"/>
        <item x="601"/>
        <item x="396"/>
        <item x="57"/>
        <item x="683"/>
        <item x="668"/>
        <item x="869"/>
        <item x="569"/>
        <item x="187"/>
        <item x="267"/>
        <item x="391"/>
        <item x="603"/>
        <item x="329"/>
        <item x="430"/>
        <item x="237"/>
        <item x="385"/>
        <item x="275"/>
        <item x="29"/>
        <item x="632"/>
        <item x="248"/>
        <item x="858"/>
        <item x="143"/>
        <item x="805"/>
        <item x="255"/>
        <item x="32"/>
        <item x="830"/>
        <item x="525"/>
        <item x="585"/>
        <item x="549"/>
        <item x="865"/>
        <item x="539"/>
        <item x="476"/>
        <item x="322"/>
        <item x="722"/>
        <item x="354"/>
        <item x="313"/>
        <item x="428"/>
        <item x="226"/>
        <item x="140"/>
        <item x="739"/>
        <item x="19"/>
        <item x="457"/>
        <item x="893"/>
        <item x="0"/>
        <item x="795"/>
        <item x="110"/>
        <item x="582"/>
        <item x="680"/>
        <item x="266"/>
        <item x="411"/>
        <item x="104"/>
        <item x="7"/>
        <item x="342"/>
        <item x="787"/>
        <item x="378"/>
        <item x="263"/>
        <item x="186"/>
        <item x="63"/>
        <item x="170"/>
        <item x="419"/>
        <item x="149"/>
        <item x="355"/>
        <item x="398"/>
        <item x="755"/>
        <item x="596"/>
        <item x="774"/>
        <item x="358"/>
        <item x="109"/>
        <item x="724"/>
        <item x="699"/>
        <item x="386"/>
        <item x="311"/>
        <item x="171"/>
        <item x="41"/>
        <item x="526"/>
        <item x="466"/>
        <item x="874"/>
        <item x="551"/>
        <item x="238"/>
        <item x="651"/>
        <item x="665"/>
        <item x="752"/>
        <item x="417"/>
        <item x="640"/>
        <item x="556"/>
        <item x="296"/>
        <item x="371"/>
        <item x="185"/>
        <item x="645"/>
        <item x="746"/>
        <item x="828"/>
        <item x="559"/>
        <item x="451"/>
        <item x="335"/>
        <item x="235"/>
        <item x="666"/>
        <item x="574"/>
        <item x="794"/>
        <item x="416"/>
        <item x="707"/>
        <item x="220"/>
        <item x="162"/>
        <item x="89"/>
        <item x="862"/>
        <item x="799"/>
        <item x="392"/>
        <item x="362"/>
        <item x="268"/>
        <item x="609"/>
        <item x="612"/>
        <item x="652"/>
        <item x="831"/>
        <item x="892"/>
        <item x="641"/>
        <item x="880"/>
        <item x="373"/>
        <item x="536"/>
        <item x="357"/>
        <item x="713"/>
        <item x="578"/>
        <item x="134"/>
        <item x="369"/>
        <item x="158"/>
        <item x="13"/>
        <item x="188"/>
        <item x="26"/>
        <item x="414"/>
        <item x="203"/>
        <item x="98"/>
        <item x="227"/>
        <item x="886"/>
        <item x="716"/>
        <item x="614"/>
        <item x="403"/>
        <item x="607"/>
        <item x="325"/>
        <item x="399"/>
        <item x="246"/>
        <item x="128"/>
        <item x="756"/>
        <item x="728"/>
        <item x="24"/>
        <item x="338"/>
        <item x="856"/>
        <item x="219"/>
        <item x="151"/>
        <item x="602"/>
        <item x="461"/>
        <item x="592"/>
        <item x="694"/>
        <item x="823"/>
        <item x="627"/>
        <item x="744"/>
        <item x="449"/>
        <item x="264"/>
        <item x="217"/>
        <item x="742"/>
        <item x="691"/>
        <item x="55"/>
        <item x="289"/>
        <item x="662"/>
        <item x="848"/>
        <item x="827"/>
        <item x="257"/>
        <item x="260"/>
        <item x="806"/>
        <item x="850"/>
        <item x="568"/>
        <item x="595"/>
        <item x="293"/>
        <item x="626"/>
        <item x="866"/>
        <item x="295"/>
        <item x="123"/>
        <item x="598"/>
        <item x="175"/>
        <item x="306"/>
        <item x="59"/>
        <item x="83"/>
        <item x="204"/>
        <item x="113"/>
        <item x="48"/>
        <item x="649"/>
        <item x="387"/>
        <item x="47"/>
        <item x="510"/>
        <item x="101"/>
        <item x="509"/>
        <item x="407"/>
        <item x="368"/>
        <item x="810"/>
        <item x="400"/>
        <item x="875"/>
        <item x="108"/>
        <item x="308"/>
        <item x="661"/>
        <item x="345"/>
        <item x="721"/>
        <item x="2"/>
        <item x="194"/>
        <item x="435"/>
        <item x="356"/>
        <item x="496"/>
        <item x="763"/>
        <item x="85"/>
        <item x="599"/>
        <item x="733"/>
        <item x="90"/>
        <item x="815"/>
        <item x="118"/>
        <item x="174"/>
        <item x="232"/>
        <item x="529"/>
        <item x="71"/>
        <item x="361"/>
        <item x="316"/>
        <item x="682"/>
        <item x="211"/>
        <item x="292"/>
        <item x="91"/>
        <item x="207"/>
        <item x="482"/>
        <item x="64"/>
        <item x="256"/>
        <item x="491"/>
        <item x="276"/>
        <item x="21"/>
        <item x="759"/>
        <item x="717"/>
        <item x="76"/>
        <item x="771"/>
        <item x="425"/>
        <item x="861"/>
        <item x="291"/>
        <item x="377"/>
        <item x="1"/>
        <item x="895"/>
        <item t="default"/>
      </items>
    </pivotField>
    <pivotField showAll="0">
      <items count="6">
        <item x="2"/>
        <item x="3"/>
        <item x="1"/>
        <item x="0"/>
        <item x="4"/>
        <item t="default"/>
      </items>
    </pivotField>
    <pivotField axis="axisRow" showAll="0" sortType="descending">
      <items count="6">
        <item x="1"/>
        <item x="3"/>
        <item x="0"/>
        <item x="2"/>
        <item h="1" x="4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dataField="1" showAll="0"/>
    <pivotField showAll="0"/>
    <pivotField showAll="0"/>
    <pivotField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  <pivotField showAll="0">
      <items count="7">
        <item sd="0" x="0"/>
        <item sd="0" x="1"/>
        <item sd="0" x="2"/>
        <item sd="0" x="3"/>
        <item sd="0" x="4"/>
        <item sd="0" x="5"/>
        <item t="default"/>
      </items>
    </pivotField>
    <pivotField showAll="0">
      <items count="7">
        <item sd="0" x="0"/>
        <item sd="0" x="1"/>
        <item sd="0" x="2"/>
        <item sd="0" x="3"/>
        <item sd="0" x="4"/>
        <item sd="0" x="5"/>
        <item t="default"/>
      </items>
    </pivotField>
  </pivotFields>
  <rowFields count="1">
    <field x="2"/>
  </rowFields>
  <rowItems count="5">
    <i>
      <x v="2"/>
    </i>
    <i>
      <x v="1"/>
    </i>
    <i>
      <x v="3"/>
    </i>
    <i>
      <x/>
    </i>
    <i t="grand">
      <x/>
    </i>
  </rowItems>
  <colItems count="1">
    <i/>
  </colItems>
  <dataFields count="1">
    <dataField name="Sum of Profit" fld="7" baseField="0" baseItem="0"/>
  </dataFields>
  <chartFormats count="1">
    <chartFormat chart="4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0D51DD8-1432-47C0-9A74-0A2909B2138D}" name="PivotTable2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1">
  <location ref="A12:B17" firstHeaderRow="1" firstDataRow="1" firstDataCol="1"/>
  <pivotFields count="13">
    <pivotField axis="axisRow" showAll="0">
      <items count="897">
        <item x="438"/>
        <item x="137"/>
        <item x="710"/>
        <item x="534"/>
        <item x="261"/>
        <item x="532"/>
        <item x="642"/>
        <item x="498"/>
        <item x="176"/>
        <item x="423"/>
        <item x="589"/>
        <item x="319"/>
        <item x="554"/>
        <item x="37"/>
        <item x="72"/>
        <item x="698"/>
        <item x="208"/>
        <item x="222"/>
        <item x="826"/>
        <item x="241"/>
        <item x="31"/>
        <item x="16"/>
        <item x="302"/>
        <item x="797"/>
        <item x="516"/>
        <item x="199"/>
        <item x="505"/>
        <item x="374"/>
        <item x="621"/>
        <item x="441"/>
        <item x="45"/>
        <item x="239"/>
        <item x="340"/>
        <item x="196"/>
        <item x="381"/>
        <item x="727"/>
        <item x="84"/>
        <item x="660"/>
        <item x="474"/>
        <item x="265"/>
        <item x="494"/>
        <item x="842"/>
        <item x="250"/>
        <item x="471"/>
        <item x="180"/>
        <item x="629"/>
        <item x="503"/>
        <item x="394"/>
        <item x="654"/>
        <item x="481"/>
        <item x="343"/>
        <item x="429"/>
        <item x="73"/>
        <item x="807"/>
        <item x="517"/>
        <item x="469"/>
        <item x="772"/>
        <item x="676"/>
        <item x="452"/>
        <item x="349"/>
        <item x="506"/>
        <item x="753"/>
        <item x="397"/>
        <item x="463"/>
        <item x="646"/>
        <item x="437"/>
        <item x="757"/>
        <item x="832"/>
        <item x="512"/>
        <item x="631"/>
        <item x="6"/>
        <item x="562"/>
        <item x="323"/>
        <item x="379"/>
        <item x="42"/>
        <item x="480"/>
        <item x="294"/>
        <item x="442"/>
        <item x="114"/>
        <item x="456"/>
        <item x="95"/>
        <item x="803"/>
        <item x="868"/>
        <item x="679"/>
        <item x="454"/>
        <item x="182"/>
        <item x="432"/>
        <item x="778"/>
        <item x="493"/>
        <item x="678"/>
        <item x="360"/>
        <item x="475"/>
        <item x="136"/>
        <item x="628"/>
        <item x="327"/>
        <item x="777"/>
        <item x="278"/>
        <item x="445"/>
        <item x="814"/>
        <item x="274"/>
        <item x="3"/>
        <item x="145"/>
        <item x="870"/>
        <item x="473"/>
        <item x="597"/>
        <item x="221"/>
        <item x="821"/>
        <item x="586"/>
        <item x="8"/>
        <item x="561"/>
        <item x="464"/>
        <item x="393"/>
        <item x="86"/>
        <item x="688"/>
        <item x="467"/>
        <item x="548"/>
        <item x="545"/>
        <item x="591"/>
        <item x="566"/>
        <item x="153"/>
        <item x="515"/>
        <item x="426"/>
        <item x="160"/>
        <item x="615"/>
        <item x="670"/>
        <item x="252"/>
        <item x="166"/>
        <item x="179"/>
        <item x="184"/>
        <item x="288"/>
        <item x="228"/>
        <item x="613"/>
        <item x="576"/>
        <item x="209"/>
        <item x="796"/>
        <item x="312"/>
        <item x="189"/>
        <item x="53"/>
        <item x="863"/>
        <item x="637"/>
        <item x="460"/>
        <item x="33"/>
        <item x="664"/>
        <item x="887"/>
        <item x="372"/>
        <item x="553"/>
        <item x="382"/>
        <item x="346"/>
        <item x="215"/>
        <item x="638"/>
        <item x="695"/>
        <item x="468"/>
        <item x="800"/>
        <item x="155"/>
        <item x="68"/>
        <item x="25"/>
        <item x="218"/>
        <item x="336"/>
        <item x="538"/>
        <item x="579"/>
        <item x="150"/>
        <item x="764"/>
        <item x="879"/>
        <item x="87"/>
        <item x="54"/>
        <item x="144"/>
        <item x="472"/>
        <item x="46"/>
        <item x="107"/>
        <item x="177"/>
        <item x="748"/>
        <item x="876"/>
        <item x="489"/>
        <item x="619"/>
        <item x="583"/>
        <item x="66"/>
        <item x="297"/>
        <item x="139"/>
        <item x="781"/>
        <item x="427"/>
        <item x="543"/>
        <item x="200"/>
        <item x="518"/>
        <item x="530"/>
        <item x="197"/>
        <item x="82"/>
        <item x="878"/>
        <item x="486"/>
        <item x="364"/>
        <item x="447"/>
        <item x="657"/>
        <item x="864"/>
        <item x="490"/>
        <item x="38"/>
        <item x="527"/>
        <item x="610"/>
        <item x="703"/>
        <item x="231"/>
        <item x="142"/>
        <item x="459"/>
        <item x="443"/>
        <item x="702"/>
        <item x="17"/>
        <item x="172"/>
        <item x="420"/>
        <item x="310"/>
        <item x="550"/>
        <item x="552"/>
        <item x="859"/>
        <item x="167"/>
        <item x="259"/>
        <item x="350"/>
        <item x="706"/>
        <item x="446"/>
        <item x="270"/>
        <item x="56"/>
        <item x="704"/>
        <item x="891"/>
        <item x="773"/>
        <item x="681"/>
        <item x="816"/>
        <item x="14"/>
        <item x="745"/>
        <item x="341"/>
        <item x="148"/>
        <item x="478"/>
        <item x="813"/>
        <item x="894"/>
        <item x="202"/>
        <item x="317"/>
        <item x="624"/>
        <item x="809"/>
        <item x="790"/>
        <item x="80"/>
        <item x="829"/>
        <item x="711"/>
        <item x="147"/>
        <item x="737"/>
        <item x="60"/>
        <item x="841"/>
        <item x="808"/>
        <item x="214"/>
        <item x="501"/>
        <item x="833"/>
        <item x="254"/>
        <item x="749"/>
        <item x="791"/>
        <item x="820"/>
        <item x="788"/>
        <item x="700"/>
        <item x="793"/>
        <item x="608"/>
        <item x="253"/>
        <item x="523"/>
        <item x="36"/>
        <item x="780"/>
        <item x="131"/>
        <item x="547"/>
        <item x="242"/>
        <item x="584"/>
        <item x="541"/>
        <item x="618"/>
        <item x="634"/>
        <item x="555"/>
        <item x="643"/>
        <item x="5"/>
        <item x="557"/>
        <item x="686"/>
        <item x="309"/>
        <item x="495"/>
        <item x="62"/>
        <item x="375"/>
        <item x="708"/>
        <item x="300"/>
        <item x="616"/>
        <item x="835"/>
        <item x="10"/>
        <item x="824"/>
        <item x="168"/>
        <item x="611"/>
        <item x="389"/>
        <item x="730"/>
        <item x="492"/>
        <item x="889"/>
        <item x="731"/>
        <item x="853"/>
        <item x="594"/>
        <item x="301"/>
        <item x="404"/>
        <item x="477"/>
        <item x="825"/>
        <item x="511"/>
        <item x="696"/>
        <item x="507"/>
        <item x="881"/>
        <item x="884"/>
        <item x="271"/>
        <item x="605"/>
        <item x="690"/>
        <item x="406"/>
        <item x="424"/>
        <item x="804"/>
        <item x="558"/>
        <item x="705"/>
        <item x="765"/>
        <item x="81"/>
        <item x="69"/>
        <item x="751"/>
        <item x="867"/>
        <item x="783"/>
        <item x="819"/>
        <item x="141"/>
        <item x="12"/>
        <item x="388"/>
        <item x="34"/>
        <item x="448"/>
        <item x="418"/>
        <item x="571"/>
        <item x="78"/>
        <item x="106"/>
        <item x="770"/>
        <item x="347"/>
        <item x="318"/>
        <item x="103"/>
        <item x="715"/>
        <item x="244"/>
        <item x="146"/>
        <item x="51"/>
        <item x="159"/>
        <item x="178"/>
        <item x="433"/>
        <item x="674"/>
        <item x="93"/>
        <item x="236"/>
        <item x="784"/>
        <item x="330"/>
        <item x="701"/>
        <item x="326"/>
        <item x="79"/>
        <item x="575"/>
        <item x="565"/>
        <item x="521"/>
        <item x="735"/>
        <item x="818"/>
        <item x="779"/>
        <item x="623"/>
        <item x="760"/>
        <item x="299"/>
        <item x="453"/>
        <item x="882"/>
        <item x="198"/>
        <item x="847"/>
        <item x="133"/>
        <item x="633"/>
        <item x="258"/>
        <item x="348"/>
        <item x="855"/>
        <item x="458"/>
        <item x="738"/>
        <item x="440"/>
        <item x="422"/>
        <item x="636"/>
        <item x="173"/>
        <item x="729"/>
        <item x="351"/>
        <item x="58"/>
        <item x="334"/>
        <item x="754"/>
        <item x="15"/>
        <item x="415"/>
        <item x="885"/>
        <item x="156"/>
        <item x="877"/>
        <item x="684"/>
        <item x="4"/>
        <item x="533"/>
        <item x="639"/>
        <item x="193"/>
        <item x="247"/>
        <item x="165"/>
        <item x="298"/>
        <item x="20"/>
        <item x="384"/>
        <item x="210"/>
        <item x="573"/>
        <item x="857"/>
        <item x="675"/>
        <item x="844"/>
        <item x="747"/>
        <item x="115"/>
        <item x="284"/>
        <item x="161"/>
        <item x="229"/>
        <item x="635"/>
        <item x="370"/>
        <item x="70"/>
        <item x="658"/>
        <item x="817"/>
        <item x="213"/>
        <item x="836"/>
        <item x="320"/>
        <item x="376"/>
        <item x="768"/>
        <item x="413"/>
        <item x="92"/>
        <item x="535"/>
        <item x="390"/>
        <item x="720"/>
        <item x="43"/>
        <item x="183"/>
        <item x="22"/>
        <item x="243"/>
        <item x="281"/>
        <item x="647"/>
        <item x="785"/>
        <item x="307"/>
        <item x="581"/>
        <item x="212"/>
        <item x="872"/>
        <item x="761"/>
        <item x="74"/>
        <item x="303"/>
        <item x="890"/>
        <item x="487"/>
        <item x="119"/>
        <item x="504"/>
        <item x="766"/>
        <item x="802"/>
        <item x="843"/>
        <item x="544"/>
        <item x="484"/>
        <item x="734"/>
        <item x="514"/>
        <item x="234"/>
        <item x="409"/>
        <item x="117"/>
        <item x="462"/>
        <item x="528"/>
        <item x="470"/>
        <item x="206"/>
        <item x="531"/>
        <item x="792"/>
        <item x="577"/>
        <item x="163"/>
        <item x="656"/>
        <item x="782"/>
        <item x="572"/>
        <item x="122"/>
        <item x="546"/>
        <item x="283"/>
        <item x="617"/>
        <item x="28"/>
        <item x="112"/>
        <item x="40"/>
        <item x="49"/>
        <item x="604"/>
        <item x="359"/>
        <item x="223"/>
        <item x="732"/>
        <item x="743"/>
        <item x="537"/>
        <item x="251"/>
        <item x="812"/>
        <item x="709"/>
        <item x="120"/>
        <item x="570"/>
        <item x="725"/>
        <item x="286"/>
        <item x="769"/>
        <item x="714"/>
        <item x="741"/>
        <item x="181"/>
        <item x="367"/>
        <item x="736"/>
        <item x="625"/>
        <item x="762"/>
        <item x="775"/>
        <item x="77"/>
        <item x="689"/>
        <item x="520"/>
        <item x="344"/>
        <item x="580"/>
        <item x="35"/>
        <item x="483"/>
        <item x="324"/>
        <item x="216"/>
        <item x="798"/>
        <item x="154"/>
        <item x="659"/>
        <item x="99"/>
        <item x="852"/>
        <item x="692"/>
        <item x="563"/>
        <item x="328"/>
        <item x="854"/>
        <item x="837"/>
        <item x="693"/>
        <item x="849"/>
        <item x="519"/>
        <item x="169"/>
        <item x="499"/>
        <item x="225"/>
        <item x="587"/>
        <item x="127"/>
        <item x="687"/>
        <item x="811"/>
        <item x="845"/>
        <item x="653"/>
        <item x="126"/>
        <item x="280"/>
        <item x="726"/>
        <item x="272"/>
        <item x="801"/>
        <item x="502"/>
        <item x="191"/>
        <item x="164"/>
        <item x="138"/>
        <item x="100"/>
        <item x="840"/>
        <item x="485"/>
        <item x="124"/>
        <item x="30"/>
        <item x="75"/>
        <item x="130"/>
        <item x="846"/>
        <item x="888"/>
        <item x="383"/>
        <item x="245"/>
        <item x="269"/>
        <item x="273"/>
        <item x="365"/>
        <item x="205"/>
        <item x="157"/>
        <item x="606"/>
        <item x="524"/>
        <item x="339"/>
        <item x="132"/>
        <item x="567"/>
        <item x="508"/>
        <item x="479"/>
        <item x="405"/>
        <item x="822"/>
        <item x="622"/>
        <item x="395"/>
        <item x="776"/>
        <item x="444"/>
        <item x="740"/>
        <item x="333"/>
        <item x="436"/>
        <item x="860"/>
        <item x="121"/>
        <item x="593"/>
        <item x="96"/>
        <item x="240"/>
        <item x="224"/>
        <item x="27"/>
        <item x="192"/>
        <item x="431"/>
        <item x="314"/>
        <item x="315"/>
        <item x="522"/>
        <item x="669"/>
        <item x="789"/>
        <item x="290"/>
        <item x="408"/>
        <item x="135"/>
        <item x="23"/>
        <item x="667"/>
        <item x="50"/>
        <item x="285"/>
        <item x="712"/>
        <item x="650"/>
        <item x="851"/>
        <item x="421"/>
        <item x="129"/>
        <item x="685"/>
        <item x="590"/>
        <item x="677"/>
        <item x="380"/>
        <item x="540"/>
        <item x="750"/>
        <item x="439"/>
        <item x="352"/>
        <item x="500"/>
        <item x="61"/>
        <item x="655"/>
        <item x="697"/>
        <item x="620"/>
        <item x="542"/>
        <item x="560"/>
        <item x="97"/>
        <item x="249"/>
        <item x="331"/>
        <item x="52"/>
        <item x="663"/>
        <item x="410"/>
        <item x="363"/>
        <item x="767"/>
        <item x="353"/>
        <item x="401"/>
        <item x="455"/>
        <item x="337"/>
        <item x="412"/>
        <item x="277"/>
        <item x="873"/>
        <item x="111"/>
        <item x="672"/>
        <item x="648"/>
        <item x="18"/>
        <item x="116"/>
        <item x="195"/>
        <item x="366"/>
        <item x="152"/>
        <item x="719"/>
        <item x="321"/>
        <item x="588"/>
        <item x="673"/>
        <item x="233"/>
        <item x="332"/>
        <item x="304"/>
        <item x="450"/>
        <item x="67"/>
        <item x="102"/>
        <item x="871"/>
        <item x="305"/>
        <item x="9"/>
        <item x="434"/>
        <item x="718"/>
        <item x="883"/>
        <item x="262"/>
        <item x="644"/>
        <item x="44"/>
        <item x="39"/>
        <item x="630"/>
        <item x="600"/>
        <item x="88"/>
        <item x="723"/>
        <item x="834"/>
        <item x="402"/>
        <item x="230"/>
        <item x="839"/>
        <item x="838"/>
        <item x="287"/>
        <item x="279"/>
        <item x="65"/>
        <item x="758"/>
        <item x="488"/>
        <item x="105"/>
        <item x="125"/>
        <item x="465"/>
        <item x="201"/>
        <item x="564"/>
        <item x="190"/>
        <item x="282"/>
        <item x="497"/>
        <item x="94"/>
        <item x="11"/>
        <item x="671"/>
        <item x="786"/>
        <item x="513"/>
        <item x="601"/>
        <item x="396"/>
        <item x="57"/>
        <item x="683"/>
        <item x="668"/>
        <item x="869"/>
        <item x="569"/>
        <item x="187"/>
        <item x="267"/>
        <item x="391"/>
        <item x="603"/>
        <item x="329"/>
        <item x="430"/>
        <item x="237"/>
        <item x="385"/>
        <item x="275"/>
        <item x="29"/>
        <item x="632"/>
        <item x="248"/>
        <item x="858"/>
        <item x="143"/>
        <item x="805"/>
        <item x="255"/>
        <item x="32"/>
        <item x="830"/>
        <item x="525"/>
        <item x="585"/>
        <item x="549"/>
        <item x="865"/>
        <item x="539"/>
        <item x="476"/>
        <item x="322"/>
        <item x="722"/>
        <item x="354"/>
        <item x="313"/>
        <item x="428"/>
        <item x="226"/>
        <item x="140"/>
        <item x="739"/>
        <item x="19"/>
        <item x="457"/>
        <item x="893"/>
        <item x="0"/>
        <item x="795"/>
        <item x="110"/>
        <item x="582"/>
        <item x="680"/>
        <item x="266"/>
        <item x="411"/>
        <item x="104"/>
        <item x="7"/>
        <item x="342"/>
        <item x="787"/>
        <item x="378"/>
        <item x="263"/>
        <item x="186"/>
        <item x="63"/>
        <item x="170"/>
        <item x="419"/>
        <item x="149"/>
        <item x="355"/>
        <item x="398"/>
        <item x="755"/>
        <item x="596"/>
        <item x="774"/>
        <item x="358"/>
        <item x="109"/>
        <item x="724"/>
        <item x="699"/>
        <item x="386"/>
        <item x="311"/>
        <item x="171"/>
        <item x="41"/>
        <item x="526"/>
        <item x="466"/>
        <item x="874"/>
        <item x="551"/>
        <item x="238"/>
        <item x="651"/>
        <item x="665"/>
        <item x="752"/>
        <item x="417"/>
        <item x="640"/>
        <item x="556"/>
        <item x="296"/>
        <item x="371"/>
        <item x="185"/>
        <item x="645"/>
        <item x="746"/>
        <item x="828"/>
        <item x="559"/>
        <item x="451"/>
        <item x="335"/>
        <item x="235"/>
        <item x="666"/>
        <item x="574"/>
        <item x="794"/>
        <item x="416"/>
        <item x="707"/>
        <item x="220"/>
        <item x="162"/>
        <item x="89"/>
        <item x="862"/>
        <item x="799"/>
        <item x="392"/>
        <item x="362"/>
        <item x="268"/>
        <item x="609"/>
        <item x="612"/>
        <item x="652"/>
        <item x="831"/>
        <item x="892"/>
        <item x="641"/>
        <item x="880"/>
        <item x="373"/>
        <item x="536"/>
        <item x="357"/>
        <item x="713"/>
        <item x="578"/>
        <item x="134"/>
        <item x="369"/>
        <item x="158"/>
        <item x="13"/>
        <item x="188"/>
        <item x="26"/>
        <item x="414"/>
        <item x="203"/>
        <item x="98"/>
        <item x="227"/>
        <item x="886"/>
        <item x="716"/>
        <item x="614"/>
        <item x="403"/>
        <item x="607"/>
        <item x="325"/>
        <item x="399"/>
        <item x="246"/>
        <item x="128"/>
        <item x="756"/>
        <item x="728"/>
        <item x="24"/>
        <item x="338"/>
        <item x="856"/>
        <item x="219"/>
        <item x="151"/>
        <item x="602"/>
        <item x="461"/>
        <item x="592"/>
        <item x="694"/>
        <item x="823"/>
        <item x="627"/>
        <item x="744"/>
        <item x="449"/>
        <item x="264"/>
        <item x="217"/>
        <item x="742"/>
        <item x="691"/>
        <item x="55"/>
        <item x="289"/>
        <item x="662"/>
        <item x="848"/>
        <item x="827"/>
        <item x="257"/>
        <item x="260"/>
        <item x="806"/>
        <item x="850"/>
        <item x="568"/>
        <item x="595"/>
        <item x="293"/>
        <item x="626"/>
        <item x="866"/>
        <item x="295"/>
        <item x="123"/>
        <item x="598"/>
        <item x="175"/>
        <item x="306"/>
        <item x="59"/>
        <item x="83"/>
        <item x="204"/>
        <item x="113"/>
        <item x="48"/>
        <item x="649"/>
        <item x="387"/>
        <item x="47"/>
        <item x="510"/>
        <item x="101"/>
        <item x="509"/>
        <item x="407"/>
        <item x="368"/>
        <item x="810"/>
        <item x="400"/>
        <item x="875"/>
        <item x="108"/>
        <item x="308"/>
        <item x="661"/>
        <item x="345"/>
        <item x="721"/>
        <item x="2"/>
        <item x="194"/>
        <item x="435"/>
        <item x="356"/>
        <item x="496"/>
        <item x="763"/>
        <item x="85"/>
        <item x="599"/>
        <item x="733"/>
        <item x="90"/>
        <item x="815"/>
        <item x="118"/>
        <item x="174"/>
        <item x="232"/>
        <item x="529"/>
        <item x="71"/>
        <item x="361"/>
        <item x="316"/>
        <item x="682"/>
        <item x="211"/>
        <item x="292"/>
        <item x="91"/>
        <item x="207"/>
        <item x="482"/>
        <item x="64"/>
        <item x="256"/>
        <item x="491"/>
        <item x="276"/>
        <item x="21"/>
        <item x="759"/>
        <item x="717"/>
        <item x="76"/>
        <item x="771"/>
        <item x="425"/>
        <item x="861"/>
        <item x="291"/>
        <item x="377"/>
        <item x="1"/>
        <item x="895"/>
        <item t="default"/>
      </items>
    </pivotField>
    <pivotField showAll="0">
      <items count="6">
        <item x="2"/>
        <item x="3"/>
        <item x="1"/>
        <item x="0"/>
        <item x="4"/>
        <item t="default"/>
      </items>
    </pivotField>
    <pivotField showAll="0"/>
    <pivotField showAll="0"/>
    <pivotField dataField="1" showAll="0"/>
    <pivotField showAll="0"/>
    <pivotField showAll="0"/>
    <pivotField showAll="0"/>
    <pivotField showAll="0"/>
    <pivotField showAll="0"/>
    <pivotField axis="axisRow"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  <pivotField axis="axisRow" showAll="0">
      <items count="7">
        <item h="1" sd="0" x="0"/>
        <item sd="0" x="1"/>
        <item sd="0" x="2"/>
        <item sd="0" x="3"/>
        <item sd="0" x="4"/>
        <item h="1" sd="0" x="5"/>
        <item t="default"/>
      </items>
    </pivotField>
    <pivotField axis="axisRow" showAll="0">
      <items count="7">
        <item sd="0" x="0"/>
        <item sd="0" x="1"/>
        <item sd="0" x="2"/>
        <item sd="0" x="3"/>
        <item sd="0" x="4"/>
        <item sd="0" x="5"/>
        <item t="default"/>
      </items>
    </pivotField>
  </pivotFields>
  <rowFields count="4">
    <field x="11"/>
    <field x="10"/>
    <field x="0"/>
    <field x="12"/>
  </rowFields>
  <rowItems count="5"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Sum of Revenue" fld="4" baseField="0" baseItem="0"/>
  </dataFields>
  <chartFormats count="6">
    <chartFormat chart="4" format="7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8">
      <pivotArea type="data" outline="0" fieldPosition="0">
        <references count="2">
          <reference field="4294967294" count="1" selected="0">
            <x v="0"/>
          </reference>
          <reference field="11" count="1" selected="0">
            <x v="0"/>
          </reference>
        </references>
      </pivotArea>
    </chartFormat>
    <chartFormat chart="4" format="9">
      <pivotArea type="data" outline="0" fieldPosition="0">
        <references count="2">
          <reference field="4294967294" count="1" selected="0">
            <x v="0"/>
          </reference>
          <reference field="11" count="1" selected="0">
            <x v="1"/>
          </reference>
        </references>
      </pivotArea>
    </chartFormat>
    <chartFormat chart="4" format="10">
      <pivotArea type="data" outline="0" fieldPosition="0">
        <references count="2">
          <reference field="4294967294" count="1" selected="0">
            <x v="0"/>
          </reference>
          <reference field="11" count="1" selected="0">
            <x v="2"/>
          </reference>
        </references>
      </pivotArea>
    </chartFormat>
    <chartFormat chart="4" format="11">
      <pivotArea type="data" outline="0" fieldPosition="0">
        <references count="2">
          <reference field="4294967294" count="1" selected="0">
            <x v="0"/>
          </reference>
          <reference field="11" count="1" selected="0">
            <x v="3"/>
          </reference>
        </references>
      </pivotArea>
    </chartFormat>
    <chartFormat chart="4" format="12">
      <pivotArea type="data" outline="0" fieldPosition="0">
        <references count="2">
          <reference field="4294967294" count="1" selected="0">
            <x v="0"/>
          </reference>
          <reference field="11" count="1" selected="0">
            <x v="4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D68A34A-148E-4B48-A114-ED0F7272DB61}" name="PivotTable1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2">
  <location ref="A3:B8" firstHeaderRow="1" firstDataRow="1" firstDataCol="1"/>
  <pivotFields count="13">
    <pivotField showAll="0">
      <items count="897">
        <item x="438"/>
        <item x="137"/>
        <item x="710"/>
        <item x="534"/>
        <item x="261"/>
        <item x="532"/>
        <item x="642"/>
        <item x="498"/>
        <item x="176"/>
        <item x="423"/>
        <item x="589"/>
        <item x="319"/>
        <item x="554"/>
        <item x="37"/>
        <item x="72"/>
        <item x="698"/>
        <item x="208"/>
        <item x="222"/>
        <item x="826"/>
        <item x="241"/>
        <item x="31"/>
        <item x="16"/>
        <item x="302"/>
        <item x="797"/>
        <item x="516"/>
        <item x="199"/>
        <item x="505"/>
        <item x="374"/>
        <item x="621"/>
        <item x="441"/>
        <item x="45"/>
        <item x="239"/>
        <item x="340"/>
        <item x="196"/>
        <item x="381"/>
        <item x="727"/>
        <item x="84"/>
        <item x="660"/>
        <item x="474"/>
        <item x="265"/>
        <item x="494"/>
        <item x="842"/>
        <item x="250"/>
        <item x="471"/>
        <item x="180"/>
        <item x="629"/>
        <item x="503"/>
        <item x="394"/>
        <item x="654"/>
        <item x="481"/>
        <item x="343"/>
        <item x="429"/>
        <item x="73"/>
        <item x="807"/>
        <item x="517"/>
        <item x="469"/>
        <item x="772"/>
        <item x="676"/>
        <item x="452"/>
        <item x="349"/>
        <item x="506"/>
        <item x="753"/>
        <item x="397"/>
        <item x="463"/>
        <item x="646"/>
        <item x="437"/>
        <item x="757"/>
        <item x="832"/>
        <item x="512"/>
        <item x="631"/>
        <item x="6"/>
        <item x="562"/>
        <item x="323"/>
        <item x="379"/>
        <item x="42"/>
        <item x="480"/>
        <item x="294"/>
        <item x="442"/>
        <item x="114"/>
        <item x="456"/>
        <item x="95"/>
        <item x="803"/>
        <item x="868"/>
        <item x="679"/>
        <item x="454"/>
        <item x="182"/>
        <item x="432"/>
        <item x="778"/>
        <item x="493"/>
        <item x="678"/>
        <item x="360"/>
        <item x="475"/>
        <item x="136"/>
        <item x="628"/>
        <item x="327"/>
        <item x="777"/>
        <item x="278"/>
        <item x="445"/>
        <item x="814"/>
        <item x="274"/>
        <item x="3"/>
        <item x="145"/>
        <item x="870"/>
        <item x="473"/>
        <item x="597"/>
        <item x="221"/>
        <item x="821"/>
        <item x="586"/>
        <item x="8"/>
        <item x="561"/>
        <item x="464"/>
        <item x="393"/>
        <item x="86"/>
        <item x="688"/>
        <item x="467"/>
        <item x="548"/>
        <item x="545"/>
        <item x="591"/>
        <item x="566"/>
        <item x="153"/>
        <item x="515"/>
        <item x="426"/>
        <item x="160"/>
        <item x="615"/>
        <item x="670"/>
        <item x="252"/>
        <item x="166"/>
        <item x="179"/>
        <item x="184"/>
        <item x="288"/>
        <item x="228"/>
        <item x="613"/>
        <item x="576"/>
        <item x="209"/>
        <item x="796"/>
        <item x="312"/>
        <item x="189"/>
        <item x="53"/>
        <item x="863"/>
        <item x="637"/>
        <item x="460"/>
        <item x="33"/>
        <item x="664"/>
        <item x="887"/>
        <item x="372"/>
        <item x="553"/>
        <item x="382"/>
        <item x="346"/>
        <item x="215"/>
        <item x="638"/>
        <item x="695"/>
        <item x="468"/>
        <item x="800"/>
        <item x="155"/>
        <item x="68"/>
        <item x="25"/>
        <item x="218"/>
        <item x="336"/>
        <item x="538"/>
        <item x="579"/>
        <item x="150"/>
        <item x="764"/>
        <item x="879"/>
        <item x="87"/>
        <item x="54"/>
        <item x="144"/>
        <item x="472"/>
        <item x="46"/>
        <item x="107"/>
        <item x="177"/>
        <item x="748"/>
        <item x="876"/>
        <item x="489"/>
        <item x="619"/>
        <item x="583"/>
        <item x="66"/>
        <item x="297"/>
        <item x="139"/>
        <item x="781"/>
        <item x="427"/>
        <item x="543"/>
        <item x="200"/>
        <item x="518"/>
        <item x="530"/>
        <item x="197"/>
        <item x="82"/>
        <item x="878"/>
        <item x="486"/>
        <item x="364"/>
        <item x="447"/>
        <item x="657"/>
        <item x="864"/>
        <item x="490"/>
        <item x="38"/>
        <item x="527"/>
        <item x="610"/>
        <item x="703"/>
        <item x="231"/>
        <item x="142"/>
        <item x="459"/>
        <item x="443"/>
        <item x="702"/>
        <item x="17"/>
        <item x="172"/>
        <item x="420"/>
        <item x="310"/>
        <item x="550"/>
        <item x="552"/>
        <item x="859"/>
        <item x="167"/>
        <item x="259"/>
        <item x="350"/>
        <item x="706"/>
        <item x="446"/>
        <item x="270"/>
        <item x="56"/>
        <item x="704"/>
        <item x="891"/>
        <item x="773"/>
        <item x="681"/>
        <item x="816"/>
        <item x="14"/>
        <item x="745"/>
        <item x="341"/>
        <item x="148"/>
        <item x="478"/>
        <item x="813"/>
        <item x="894"/>
        <item x="202"/>
        <item x="317"/>
        <item x="624"/>
        <item x="809"/>
        <item x="790"/>
        <item x="80"/>
        <item x="829"/>
        <item x="711"/>
        <item x="147"/>
        <item x="737"/>
        <item x="60"/>
        <item x="841"/>
        <item x="808"/>
        <item x="214"/>
        <item x="501"/>
        <item x="833"/>
        <item x="254"/>
        <item x="749"/>
        <item x="791"/>
        <item x="820"/>
        <item x="788"/>
        <item x="700"/>
        <item x="793"/>
        <item x="608"/>
        <item x="253"/>
        <item x="523"/>
        <item x="36"/>
        <item x="780"/>
        <item x="131"/>
        <item x="547"/>
        <item x="242"/>
        <item x="584"/>
        <item x="541"/>
        <item x="618"/>
        <item x="634"/>
        <item x="555"/>
        <item x="643"/>
        <item x="5"/>
        <item x="557"/>
        <item x="686"/>
        <item x="309"/>
        <item x="495"/>
        <item x="62"/>
        <item x="375"/>
        <item x="708"/>
        <item x="300"/>
        <item x="616"/>
        <item x="835"/>
        <item x="10"/>
        <item x="824"/>
        <item x="168"/>
        <item x="611"/>
        <item x="389"/>
        <item x="730"/>
        <item x="492"/>
        <item x="889"/>
        <item x="731"/>
        <item x="853"/>
        <item x="594"/>
        <item x="301"/>
        <item x="404"/>
        <item x="477"/>
        <item x="825"/>
        <item x="511"/>
        <item x="696"/>
        <item x="507"/>
        <item x="881"/>
        <item x="884"/>
        <item x="271"/>
        <item x="605"/>
        <item x="690"/>
        <item x="406"/>
        <item x="424"/>
        <item x="804"/>
        <item x="558"/>
        <item x="705"/>
        <item x="765"/>
        <item x="81"/>
        <item x="69"/>
        <item x="751"/>
        <item x="867"/>
        <item x="783"/>
        <item x="819"/>
        <item x="141"/>
        <item x="12"/>
        <item x="388"/>
        <item x="34"/>
        <item x="448"/>
        <item x="418"/>
        <item x="571"/>
        <item x="78"/>
        <item x="106"/>
        <item x="770"/>
        <item x="347"/>
        <item x="318"/>
        <item x="103"/>
        <item x="715"/>
        <item x="244"/>
        <item x="146"/>
        <item x="51"/>
        <item x="159"/>
        <item x="178"/>
        <item x="433"/>
        <item x="674"/>
        <item x="93"/>
        <item x="236"/>
        <item x="784"/>
        <item x="330"/>
        <item x="701"/>
        <item x="326"/>
        <item x="79"/>
        <item x="575"/>
        <item x="565"/>
        <item x="521"/>
        <item x="735"/>
        <item x="818"/>
        <item x="779"/>
        <item x="623"/>
        <item x="760"/>
        <item x="299"/>
        <item x="453"/>
        <item x="882"/>
        <item x="198"/>
        <item x="847"/>
        <item x="133"/>
        <item x="633"/>
        <item x="258"/>
        <item x="348"/>
        <item x="855"/>
        <item x="458"/>
        <item x="738"/>
        <item x="440"/>
        <item x="422"/>
        <item x="636"/>
        <item x="173"/>
        <item x="729"/>
        <item x="351"/>
        <item x="58"/>
        <item x="334"/>
        <item x="754"/>
        <item x="15"/>
        <item x="415"/>
        <item x="885"/>
        <item x="156"/>
        <item x="877"/>
        <item x="684"/>
        <item x="4"/>
        <item x="533"/>
        <item x="639"/>
        <item x="193"/>
        <item x="247"/>
        <item x="165"/>
        <item x="298"/>
        <item x="20"/>
        <item x="384"/>
        <item x="210"/>
        <item x="573"/>
        <item x="857"/>
        <item x="675"/>
        <item x="844"/>
        <item x="747"/>
        <item x="115"/>
        <item x="284"/>
        <item x="161"/>
        <item x="229"/>
        <item x="635"/>
        <item x="370"/>
        <item x="70"/>
        <item x="658"/>
        <item x="817"/>
        <item x="213"/>
        <item x="836"/>
        <item x="320"/>
        <item x="376"/>
        <item x="768"/>
        <item x="413"/>
        <item x="92"/>
        <item x="535"/>
        <item x="390"/>
        <item x="720"/>
        <item x="43"/>
        <item x="183"/>
        <item x="22"/>
        <item x="243"/>
        <item x="281"/>
        <item x="647"/>
        <item x="785"/>
        <item x="307"/>
        <item x="581"/>
        <item x="212"/>
        <item x="872"/>
        <item x="761"/>
        <item x="74"/>
        <item x="303"/>
        <item x="890"/>
        <item x="487"/>
        <item x="119"/>
        <item x="504"/>
        <item x="766"/>
        <item x="802"/>
        <item x="843"/>
        <item x="544"/>
        <item x="484"/>
        <item x="734"/>
        <item x="514"/>
        <item x="234"/>
        <item x="409"/>
        <item x="117"/>
        <item x="462"/>
        <item x="528"/>
        <item x="470"/>
        <item x="206"/>
        <item x="531"/>
        <item x="792"/>
        <item x="577"/>
        <item x="163"/>
        <item x="656"/>
        <item x="782"/>
        <item x="572"/>
        <item x="122"/>
        <item x="546"/>
        <item x="283"/>
        <item x="617"/>
        <item x="28"/>
        <item x="112"/>
        <item x="40"/>
        <item x="49"/>
        <item x="604"/>
        <item x="359"/>
        <item x="223"/>
        <item x="732"/>
        <item x="743"/>
        <item x="537"/>
        <item x="251"/>
        <item x="812"/>
        <item x="709"/>
        <item x="120"/>
        <item x="570"/>
        <item x="725"/>
        <item x="286"/>
        <item x="769"/>
        <item x="714"/>
        <item x="741"/>
        <item x="181"/>
        <item x="367"/>
        <item x="736"/>
        <item x="625"/>
        <item x="762"/>
        <item x="775"/>
        <item x="77"/>
        <item x="689"/>
        <item x="520"/>
        <item x="344"/>
        <item x="580"/>
        <item x="35"/>
        <item x="483"/>
        <item x="324"/>
        <item x="216"/>
        <item x="798"/>
        <item x="154"/>
        <item x="659"/>
        <item x="99"/>
        <item x="852"/>
        <item x="692"/>
        <item x="563"/>
        <item x="328"/>
        <item x="854"/>
        <item x="837"/>
        <item x="693"/>
        <item x="849"/>
        <item x="519"/>
        <item x="169"/>
        <item x="499"/>
        <item x="225"/>
        <item x="587"/>
        <item x="127"/>
        <item x="687"/>
        <item x="811"/>
        <item x="845"/>
        <item x="653"/>
        <item x="126"/>
        <item x="280"/>
        <item x="726"/>
        <item x="272"/>
        <item x="801"/>
        <item x="502"/>
        <item x="191"/>
        <item x="164"/>
        <item x="138"/>
        <item x="100"/>
        <item x="840"/>
        <item x="485"/>
        <item x="124"/>
        <item x="30"/>
        <item x="75"/>
        <item x="130"/>
        <item x="846"/>
        <item x="888"/>
        <item x="383"/>
        <item x="245"/>
        <item x="269"/>
        <item x="273"/>
        <item x="365"/>
        <item x="205"/>
        <item x="157"/>
        <item x="606"/>
        <item x="524"/>
        <item x="339"/>
        <item x="132"/>
        <item x="567"/>
        <item x="508"/>
        <item x="479"/>
        <item x="405"/>
        <item x="822"/>
        <item x="622"/>
        <item x="395"/>
        <item x="776"/>
        <item x="444"/>
        <item x="740"/>
        <item x="333"/>
        <item x="436"/>
        <item x="860"/>
        <item x="121"/>
        <item x="593"/>
        <item x="96"/>
        <item x="240"/>
        <item x="224"/>
        <item x="27"/>
        <item x="192"/>
        <item x="431"/>
        <item x="314"/>
        <item x="315"/>
        <item x="522"/>
        <item x="669"/>
        <item x="789"/>
        <item x="290"/>
        <item x="408"/>
        <item x="135"/>
        <item x="23"/>
        <item x="667"/>
        <item x="50"/>
        <item x="285"/>
        <item x="712"/>
        <item x="650"/>
        <item x="851"/>
        <item x="421"/>
        <item x="129"/>
        <item x="685"/>
        <item x="590"/>
        <item x="677"/>
        <item x="380"/>
        <item x="540"/>
        <item x="750"/>
        <item x="439"/>
        <item x="352"/>
        <item x="500"/>
        <item x="61"/>
        <item x="655"/>
        <item x="697"/>
        <item x="620"/>
        <item x="542"/>
        <item x="560"/>
        <item x="97"/>
        <item x="249"/>
        <item x="331"/>
        <item x="52"/>
        <item x="663"/>
        <item x="410"/>
        <item x="363"/>
        <item x="767"/>
        <item x="353"/>
        <item x="401"/>
        <item x="455"/>
        <item x="337"/>
        <item x="412"/>
        <item x="277"/>
        <item x="873"/>
        <item x="111"/>
        <item x="672"/>
        <item x="648"/>
        <item x="18"/>
        <item x="116"/>
        <item x="195"/>
        <item x="366"/>
        <item x="152"/>
        <item x="719"/>
        <item x="321"/>
        <item x="588"/>
        <item x="673"/>
        <item x="233"/>
        <item x="332"/>
        <item x="304"/>
        <item x="450"/>
        <item x="67"/>
        <item x="102"/>
        <item x="871"/>
        <item x="305"/>
        <item x="9"/>
        <item x="434"/>
        <item x="718"/>
        <item x="883"/>
        <item x="262"/>
        <item x="644"/>
        <item x="44"/>
        <item x="39"/>
        <item x="630"/>
        <item x="600"/>
        <item x="88"/>
        <item x="723"/>
        <item x="834"/>
        <item x="402"/>
        <item x="230"/>
        <item x="839"/>
        <item x="838"/>
        <item x="287"/>
        <item x="279"/>
        <item x="65"/>
        <item x="758"/>
        <item x="488"/>
        <item x="105"/>
        <item x="125"/>
        <item x="465"/>
        <item x="201"/>
        <item x="564"/>
        <item x="190"/>
        <item x="282"/>
        <item x="497"/>
        <item x="94"/>
        <item x="11"/>
        <item x="671"/>
        <item x="786"/>
        <item x="513"/>
        <item x="601"/>
        <item x="396"/>
        <item x="57"/>
        <item x="683"/>
        <item x="668"/>
        <item x="869"/>
        <item x="569"/>
        <item x="187"/>
        <item x="267"/>
        <item x="391"/>
        <item x="603"/>
        <item x="329"/>
        <item x="430"/>
        <item x="237"/>
        <item x="385"/>
        <item x="275"/>
        <item x="29"/>
        <item x="632"/>
        <item x="248"/>
        <item x="858"/>
        <item x="143"/>
        <item x="805"/>
        <item x="255"/>
        <item x="32"/>
        <item x="830"/>
        <item x="525"/>
        <item x="585"/>
        <item x="549"/>
        <item x="865"/>
        <item x="539"/>
        <item x="476"/>
        <item x="322"/>
        <item x="722"/>
        <item x="354"/>
        <item x="313"/>
        <item x="428"/>
        <item x="226"/>
        <item x="140"/>
        <item x="739"/>
        <item x="19"/>
        <item x="457"/>
        <item x="893"/>
        <item x="0"/>
        <item x="795"/>
        <item x="110"/>
        <item x="582"/>
        <item x="680"/>
        <item x="266"/>
        <item x="411"/>
        <item x="104"/>
        <item x="7"/>
        <item x="342"/>
        <item x="787"/>
        <item x="378"/>
        <item x="263"/>
        <item x="186"/>
        <item x="63"/>
        <item x="170"/>
        <item x="419"/>
        <item x="149"/>
        <item x="355"/>
        <item x="398"/>
        <item x="755"/>
        <item x="596"/>
        <item x="774"/>
        <item x="358"/>
        <item x="109"/>
        <item x="724"/>
        <item x="699"/>
        <item x="386"/>
        <item x="311"/>
        <item x="171"/>
        <item x="41"/>
        <item x="526"/>
        <item x="466"/>
        <item x="874"/>
        <item x="551"/>
        <item x="238"/>
        <item x="651"/>
        <item x="665"/>
        <item x="752"/>
        <item x="417"/>
        <item x="640"/>
        <item x="556"/>
        <item x="296"/>
        <item x="371"/>
        <item x="185"/>
        <item x="645"/>
        <item x="746"/>
        <item x="828"/>
        <item x="559"/>
        <item x="451"/>
        <item x="335"/>
        <item x="235"/>
        <item x="666"/>
        <item x="574"/>
        <item x="794"/>
        <item x="416"/>
        <item x="707"/>
        <item x="220"/>
        <item x="162"/>
        <item x="89"/>
        <item x="862"/>
        <item x="799"/>
        <item x="392"/>
        <item x="362"/>
        <item x="268"/>
        <item x="609"/>
        <item x="612"/>
        <item x="652"/>
        <item x="831"/>
        <item x="892"/>
        <item x="641"/>
        <item x="880"/>
        <item x="373"/>
        <item x="536"/>
        <item x="357"/>
        <item x="713"/>
        <item x="578"/>
        <item x="134"/>
        <item x="369"/>
        <item x="158"/>
        <item x="13"/>
        <item x="188"/>
        <item x="26"/>
        <item x="414"/>
        <item x="203"/>
        <item x="98"/>
        <item x="227"/>
        <item x="886"/>
        <item x="716"/>
        <item x="614"/>
        <item x="403"/>
        <item x="607"/>
        <item x="325"/>
        <item x="399"/>
        <item x="246"/>
        <item x="128"/>
        <item x="756"/>
        <item x="728"/>
        <item x="24"/>
        <item x="338"/>
        <item x="856"/>
        <item x="219"/>
        <item x="151"/>
        <item x="602"/>
        <item x="461"/>
        <item x="592"/>
        <item x="694"/>
        <item x="823"/>
        <item x="627"/>
        <item x="744"/>
        <item x="449"/>
        <item x="264"/>
        <item x="217"/>
        <item x="742"/>
        <item x="691"/>
        <item x="55"/>
        <item x="289"/>
        <item x="662"/>
        <item x="848"/>
        <item x="827"/>
        <item x="257"/>
        <item x="260"/>
        <item x="806"/>
        <item x="850"/>
        <item x="568"/>
        <item x="595"/>
        <item x="293"/>
        <item x="626"/>
        <item x="866"/>
        <item x="295"/>
        <item x="123"/>
        <item x="598"/>
        <item x="175"/>
        <item x="306"/>
        <item x="59"/>
        <item x="83"/>
        <item x="204"/>
        <item x="113"/>
        <item x="48"/>
        <item x="649"/>
        <item x="387"/>
        <item x="47"/>
        <item x="510"/>
        <item x="101"/>
        <item x="509"/>
        <item x="407"/>
        <item x="368"/>
        <item x="810"/>
        <item x="400"/>
        <item x="875"/>
        <item x="108"/>
        <item x="308"/>
        <item x="661"/>
        <item x="345"/>
        <item x="721"/>
        <item x="2"/>
        <item x="194"/>
        <item x="435"/>
        <item x="356"/>
        <item x="496"/>
        <item x="763"/>
        <item x="85"/>
        <item x="599"/>
        <item x="733"/>
        <item x="90"/>
        <item x="815"/>
        <item x="118"/>
        <item x="174"/>
        <item x="232"/>
        <item x="529"/>
        <item x="71"/>
        <item x="361"/>
        <item x="316"/>
        <item x="682"/>
        <item x="211"/>
        <item x="292"/>
        <item x="91"/>
        <item x="207"/>
        <item x="482"/>
        <item x="64"/>
        <item x="256"/>
        <item x="491"/>
        <item x="276"/>
        <item x="21"/>
        <item x="759"/>
        <item x="717"/>
        <item x="76"/>
        <item x="771"/>
        <item x="425"/>
        <item x="861"/>
        <item x="291"/>
        <item x="377"/>
        <item x="1"/>
        <item x="895"/>
        <item t="default"/>
      </items>
    </pivotField>
    <pivotField axis="axisRow" showAll="0" sortType="descending">
      <items count="6">
        <item x="2"/>
        <item x="3"/>
        <item x="1"/>
        <item x="0"/>
        <item h="1" x="4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</pivotFields>
  <rowFields count="1">
    <field x="1"/>
  </rowFields>
  <rowItems count="5">
    <i>
      <x v="1"/>
    </i>
    <i>
      <x/>
    </i>
    <i>
      <x v="2"/>
    </i>
    <i>
      <x v="3"/>
    </i>
    <i t="grand">
      <x/>
    </i>
  </rowItems>
  <colItems count="1">
    <i/>
  </colItems>
  <dataFields count="1">
    <dataField name="Sum of Revenue" fld="4" baseField="0" baseItem="0"/>
  </dataFields>
  <chartFormats count="1">
    <chartFormat chart="4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99E11940-828A-458D-9818-3C7CBB6863C7}" autoFormatId="16" applyNumberFormats="0" applyBorderFormats="0" applyFontFormats="0" applyPatternFormats="0" applyAlignmentFormats="0" applyWidthHeightFormats="0">
  <queryTableRefresh nextId="11" unboundColumnsRight="2">
    <queryTableFields count="10">
      <queryTableField id="1" name="Order Date" tableColumnId="1"/>
      <queryTableField id="2" name="Region" tableColumnId="2"/>
      <queryTableField id="3" name="Product Category" tableColumnId="3"/>
      <queryTableField id="4" name="Sales Rep" tableColumnId="4"/>
      <queryTableField id="5" name="Revenue" tableColumnId="5"/>
      <queryTableField id="6" name="Cost" tableColumnId="6"/>
      <queryTableField id="7" name="Discount %" tableColumnId="7"/>
      <queryTableField id="8" name="Profit" tableColumnId="8"/>
      <queryTableField id="9" dataBound="0" tableColumnId="9"/>
      <queryTableField id="10" dataBound="0" tableColumnId="10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31E912C-A6B1-40A4-8F91-B31834802E3C}" name="sa_retail_sales" displayName="sa_retail_sales" ref="A1:J2001" tableType="queryTable" totalsRowShown="0">
  <autoFilter ref="A1:J2001" xr:uid="{531E912C-A6B1-40A4-8F91-B31834802E3C}"/>
  <tableColumns count="10">
    <tableColumn id="1" xr3:uid="{F11B0E15-A2E1-4446-8CD1-F5E7DE28CE5B}" uniqueName="1" name="Order Date" queryTableFieldId="1" dataDxfId="5"/>
    <tableColumn id="2" xr3:uid="{275283A6-C544-4ADC-AB83-33C44A5B42C1}" uniqueName="2" name="Region" queryTableFieldId="2" dataDxfId="4"/>
    <tableColumn id="3" xr3:uid="{843F1C5F-744E-4B17-96AC-5285DD418B9B}" uniqueName="3" name="Product Category" queryTableFieldId="3" dataDxfId="3"/>
    <tableColumn id="4" xr3:uid="{B05819B3-0364-402F-96F7-D59F4A7827B6}" uniqueName="4" name="Sales Rep" queryTableFieldId="4" dataDxfId="2"/>
    <tableColumn id="5" xr3:uid="{D077C2C1-9FFE-41EA-93B8-063D7DD70D0B}" uniqueName="5" name="Revenue" queryTableFieldId="5"/>
    <tableColumn id="6" xr3:uid="{4EB45B71-1163-4D50-B57C-EB5911574B0D}" uniqueName="6" name="Cost" queryTableFieldId="6"/>
    <tableColumn id="7" xr3:uid="{A218DD40-8829-4629-AA1F-3708497C7779}" uniqueName="7" name="Discount %" queryTableFieldId="7"/>
    <tableColumn id="8" xr3:uid="{23513D85-E3B2-4F6C-9268-2D764529B387}" uniqueName="8" name="Profit" queryTableFieldId="8"/>
    <tableColumn id="9" xr3:uid="{6858B5F5-5E5E-4C18-B948-A0AED6636E26}" uniqueName="9" name="Profit Margin =Profit / Revenue" queryTableFieldId="9" dataCellStyle="Percent">
      <calculatedColumnFormula>sa_retail_sales[[#This Row],[Profit]] / sa_retail_sales[[#This Row],[Revenue]]</calculatedColumnFormula>
    </tableColumn>
    <tableColumn id="10" xr3:uid="{E334C5D3-5703-4C1A-B9D5-4AA909A0E780}" uniqueName="10" name="Year" queryTableFieldId="10" dataDxfId="1">
      <calculatedColumnFormula xml:space="preserve"> YEAR(sa_retail_sales[[#This Row],[Order Date]])</calculatedColumnFormula>
    </tableColumn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Red Violet">
      <a:dk1>
        <a:sysClr val="windowText" lastClr="000000"/>
      </a:dk1>
      <a:lt1>
        <a:sysClr val="window" lastClr="FFFFFF"/>
      </a:lt1>
      <a:dk2>
        <a:srgbClr val="454551"/>
      </a:dk2>
      <a:lt2>
        <a:srgbClr val="D8D9DC"/>
      </a:lt2>
      <a:accent1>
        <a:srgbClr val="E32D91"/>
      </a:accent1>
      <a:accent2>
        <a:srgbClr val="C830CC"/>
      </a:accent2>
      <a:accent3>
        <a:srgbClr val="4EA6DC"/>
      </a:accent3>
      <a:accent4>
        <a:srgbClr val="4775E7"/>
      </a:accent4>
      <a:accent5>
        <a:srgbClr val="8971E1"/>
      </a:accent5>
      <a:accent6>
        <a:srgbClr val="D54773"/>
      </a:accent6>
      <a:hlink>
        <a:srgbClr val="6B9F25"/>
      </a:hlink>
      <a:folHlink>
        <a:srgbClr val="8C8C8C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9.xml"/><Relationship Id="rId2" Type="http://schemas.openxmlformats.org/officeDocument/2006/relationships/pivotTable" Target="../pivotTables/pivotTable8.xml"/><Relationship Id="rId1" Type="http://schemas.openxmlformats.org/officeDocument/2006/relationships/pivotTable" Target="../pivotTables/pivotTable7.xml"/><Relationship Id="rId5" Type="http://schemas.openxmlformats.org/officeDocument/2006/relationships/pivotTable" Target="../pivotTables/pivotTable11.xml"/><Relationship Id="rId4" Type="http://schemas.openxmlformats.org/officeDocument/2006/relationships/pivotTable" Target="../pivotTables/pivotTable10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DD2FF4-B1CC-435D-BD9A-A996578C998E}">
  <dimension ref="B3:J33"/>
  <sheetViews>
    <sheetView workbookViewId="0">
      <selection activeCell="I10" sqref="I10"/>
    </sheetView>
  </sheetViews>
  <sheetFormatPr defaultRowHeight="14.4" x14ac:dyDescent="0.3"/>
  <cols>
    <col min="2" max="2" width="11.5546875" bestFit="1" customWidth="1"/>
    <col min="3" max="3" width="14.109375" bestFit="1" customWidth="1"/>
    <col min="4" max="4" width="17.6640625" bestFit="1" customWidth="1"/>
    <col min="5" max="5" width="15.77734375" bestFit="1" customWidth="1"/>
    <col min="6" max="6" width="10.5546875" bestFit="1" customWidth="1"/>
    <col min="7" max="8" width="4" bestFit="1" customWidth="1"/>
    <col min="9" max="9" width="14.109375" bestFit="1" customWidth="1"/>
    <col min="10" max="10" width="15.5546875" bestFit="1" customWidth="1"/>
    <col min="11" max="22" width="6.6640625" bestFit="1" customWidth="1"/>
    <col min="23" max="236" width="5.6640625" bestFit="1" customWidth="1"/>
    <col min="237" max="237" width="6" bestFit="1" customWidth="1"/>
    <col min="238" max="302" width="5.6640625" bestFit="1" customWidth="1"/>
    <col min="303" max="303" width="6" bestFit="1" customWidth="1"/>
    <col min="304" max="308" width="5.6640625" bestFit="1" customWidth="1"/>
    <col min="309" max="309" width="6" bestFit="1" customWidth="1"/>
    <col min="310" max="317" width="5.6640625" bestFit="1" customWidth="1"/>
    <col min="318" max="318" width="6" bestFit="1" customWidth="1"/>
    <col min="319" max="332" width="5.6640625" bestFit="1" customWidth="1"/>
    <col min="333" max="334" width="6" bestFit="1" customWidth="1"/>
    <col min="335" max="355" width="5.6640625" bestFit="1" customWidth="1"/>
    <col min="356" max="356" width="6" bestFit="1" customWidth="1"/>
    <col min="357" max="414" width="5.6640625" bestFit="1" customWidth="1"/>
    <col min="415" max="415" width="6" bestFit="1" customWidth="1"/>
    <col min="416" max="432" width="5.6640625" bestFit="1" customWidth="1"/>
    <col min="433" max="433" width="6" bestFit="1" customWidth="1"/>
    <col min="434" max="475" width="5.6640625" bestFit="1" customWidth="1"/>
    <col min="476" max="476" width="6" bestFit="1" customWidth="1"/>
    <col min="477" max="542" width="5.6640625" bestFit="1" customWidth="1"/>
    <col min="543" max="543" width="6" bestFit="1" customWidth="1"/>
    <col min="544" max="557" width="5.6640625" bestFit="1" customWidth="1"/>
    <col min="558" max="558" width="6" bestFit="1" customWidth="1"/>
    <col min="559" max="580" width="5.6640625" bestFit="1" customWidth="1"/>
    <col min="581" max="581" width="6" bestFit="1" customWidth="1"/>
    <col min="582" max="583" width="5.6640625" bestFit="1" customWidth="1"/>
    <col min="584" max="584" width="6" bestFit="1" customWidth="1"/>
    <col min="585" max="585" width="5.6640625" bestFit="1" customWidth="1"/>
    <col min="586" max="586" width="6" bestFit="1" customWidth="1"/>
    <col min="587" max="587" width="5.6640625" bestFit="1" customWidth="1"/>
    <col min="588" max="588" width="6" bestFit="1" customWidth="1"/>
    <col min="589" max="593" width="5.6640625" bestFit="1" customWidth="1"/>
    <col min="594" max="594" width="6" bestFit="1" customWidth="1"/>
    <col min="595" max="595" width="5.6640625" bestFit="1" customWidth="1"/>
    <col min="596" max="596" width="6" bestFit="1" customWidth="1"/>
    <col min="597" max="599" width="5.6640625" bestFit="1" customWidth="1"/>
    <col min="600" max="600" width="6" bestFit="1" customWidth="1"/>
    <col min="601" max="601" width="5.6640625" bestFit="1" customWidth="1"/>
    <col min="602" max="602" width="6" bestFit="1" customWidth="1"/>
    <col min="603" max="604" width="5.6640625" bestFit="1" customWidth="1"/>
    <col min="605" max="605" width="6" bestFit="1" customWidth="1"/>
    <col min="606" max="621" width="5.6640625" bestFit="1" customWidth="1"/>
    <col min="622" max="622" width="6" bestFit="1" customWidth="1"/>
    <col min="623" max="629" width="5.6640625" bestFit="1" customWidth="1"/>
    <col min="630" max="630" width="6" bestFit="1" customWidth="1"/>
    <col min="631" max="639" width="5.6640625" bestFit="1" customWidth="1"/>
    <col min="640" max="641" width="5" bestFit="1" customWidth="1"/>
    <col min="642" max="642" width="6" bestFit="1" customWidth="1"/>
    <col min="643" max="651" width="5" bestFit="1" customWidth="1"/>
    <col min="652" max="652" width="4.6640625" bestFit="1" customWidth="1"/>
    <col min="653" max="654" width="5" bestFit="1" customWidth="1"/>
    <col min="655" max="655" width="4.6640625" bestFit="1" customWidth="1"/>
    <col min="656" max="659" width="5" bestFit="1" customWidth="1"/>
    <col min="660" max="660" width="4.6640625" bestFit="1" customWidth="1"/>
    <col min="661" max="661" width="5" bestFit="1" customWidth="1"/>
    <col min="662" max="662" width="6" bestFit="1" customWidth="1"/>
    <col min="663" max="664" width="5" bestFit="1" customWidth="1"/>
    <col min="665" max="665" width="6" bestFit="1" customWidth="1"/>
    <col min="666" max="666" width="4.6640625" bestFit="1" customWidth="1"/>
    <col min="667" max="674" width="5" bestFit="1" customWidth="1"/>
    <col min="675" max="675" width="6" bestFit="1" customWidth="1"/>
    <col min="676" max="681" width="5" bestFit="1" customWidth="1"/>
    <col min="682" max="683" width="6" bestFit="1" customWidth="1"/>
    <col min="684" max="684" width="5" bestFit="1" customWidth="1"/>
    <col min="685" max="686" width="6" bestFit="1" customWidth="1"/>
    <col min="687" max="687" width="4.6640625" bestFit="1" customWidth="1"/>
    <col min="688" max="688" width="5" bestFit="1" customWidth="1"/>
    <col min="689" max="689" width="6" bestFit="1" customWidth="1"/>
    <col min="690" max="690" width="5" bestFit="1" customWidth="1"/>
    <col min="691" max="691" width="6" bestFit="1" customWidth="1"/>
    <col min="692" max="703" width="5" bestFit="1" customWidth="1"/>
    <col min="704" max="704" width="6" bestFit="1" customWidth="1"/>
    <col min="705" max="707" width="5" bestFit="1" customWidth="1"/>
    <col min="708" max="709" width="6" bestFit="1" customWidth="1"/>
    <col min="710" max="711" width="5" bestFit="1" customWidth="1"/>
    <col min="712" max="712" width="6" bestFit="1" customWidth="1"/>
    <col min="713" max="715" width="5" bestFit="1" customWidth="1"/>
    <col min="716" max="716" width="6" bestFit="1" customWidth="1"/>
    <col min="717" max="718" width="5" bestFit="1" customWidth="1"/>
    <col min="719" max="720" width="6" bestFit="1" customWidth="1"/>
    <col min="721" max="724" width="5" bestFit="1" customWidth="1"/>
    <col min="725" max="725" width="6" bestFit="1" customWidth="1"/>
    <col min="726" max="729" width="5" bestFit="1" customWidth="1"/>
    <col min="730" max="730" width="6" bestFit="1" customWidth="1"/>
    <col min="731" max="733" width="5" bestFit="1" customWidth="1"/>
    <col min="734" max="734" width="6" bestFit="1" customWidth="1"/>
    <col min="735" max="735" width="5" bestFit="1" customWidth="1"/>
    <col min="736" max="737" width="6" bestFit="1" customWidth="1"/>
    <col min="738" max="738" width="5" bestFit="1" customWidth="1"/>
    <col min="739" max="739" width="6" bestFit="1" customWidth="1"/>
    <col min="740" max="744" width="5" bestFit="1" customWidth="1"/>
    <col min="745" max="745" width="6" bestFit="1" customWidth="1"/>
    <col min="746" max="753" width="5" bestFit="1" customWidth="1"/>
    <col min="754" max="754" width="6" bestFit="1" customWidth="1"/>
    <col min="755" max="756" width="5" bestFit="1" customWidth="1"/>
    <col min="757" max="757" width="6" bestFit="1" customWidth="1"/>
    <col min="758" max="759" width="5" bestFit="1" customWidth="1"/>
    <col min="760" max="760" width="6" bestFit="1" customWidth="1"/>
    <col min="761" max="769" width="5" bestFit="1" customWidth="1"/>
    <col min="770" max="770" width="4" bestFit="1" customWidth="1"/>
    <col min="771" max="796" width="5" bestFit="1" customWidth="1"/>
    <col min="797" max="798" width="6" bestFit="1" customWidth="1"/>
    <col min="799" max="800" width="5" bestFit="1" customWidth="1"/>
    <col min="801" max="803" width="6" bestFit="1" customWidth="1"/>
    <col min="804" max="806" width="5" bestFit="1" customWidth="1"/>
    <col min="807" max="807" width="6" bestFit="1" customWidth="1"/>
    <col min="808" max="817" width="5" bestFit="1" customWidth="1"/>
    <col min="818" max="819" width="6" bestFit="1" customWidth="1"/>
    <col min="820" max="823" width="5" bestFit="1" customWidth="1"/>
    <col min="824" max="824" width="6" bestFit="1" customWidth="1"/>
    <col min="825" max="827" width="5" bestFit="1" customWidth="1"/>
    <col min="828" max="828" width="6" bestFit="1" customWidth="1"/>
    <col min="829" max="829" width="5" bestFit="1" customWidth="1"/>
    <col min="830" max="830" width="6" bestFit="1" customWidth="1"/>
    <col min="831" max="831" width="5" bestFit="1" customWidth="1"/>
    <col min="832" max="832" width="6" bestFit="1" customWidth="1"/>
    <col min="833" max="843" width="5" bestFit="1" customWidth="1"/>
    <col min="844" max="844" width="6" bestFit="1" customWidth="1"/>
    <col min="845" max="847" width="5" bestFit="1" customWidth="1"/>
    <col min="848" max="848" width="6" bestFit="1" customWidth="1"/>
    <col min="849" max="859" width="5" bestFit="1" customWidth="1"/>
    <col min="860" max="860" width="6" bestFit="1" customWidth="1"/>
    <col min="861" max="872" width="5" bestFit="1" customWidth="1"/>
    <col min="873" max="873" width="6" bestFit="1" customWidth="1"/>
    <col min="874" max="875" width="5" bestFit="1" customWidth="1"/>
    <col min="876" max="876" width="6" bestFit="1" customWidth="1"/>
    <col min="877" max="877" width="5" bestFit="1" customWidth="1"/>
    <col min="878" max="878" width="6" bestFit="1" customWidth="1"/>
    <col min="879" max="880" width="5" bestFit="1" customWidth="1"/>
    <col min="881" max="881" width="6" bestFit="1" customWidth="1"/>
    <col min="882" max="883" width="5" bestFit="1" customWidth="1"/>
    <col min="884" max="884" width="6" bestFit="1" customWidth="1"/>
    <col min="885" max="885" width="5" bestFit="1" customWidth="1"/>
    <col min="886" max="886" width="6" bestFit="1" customWidth="1"/>
    <col min="887" max="887" width="5" bestFit="1" customWidth="1"/>
    <col min="888" max="888" width="6" bestFit="1" customWidth="1"/>
    <col min="889" max="890" width="5" bestFit="1" customWidth="1"/>
    <col min="891" max="892" width="6" bestFit="1" customWidth="1"/>
    <col min="893" max="893" width="5" bestFit="1" customWidth="1"/>
    <col min="894" max="894" width="6" bestFit="1" customWidth="1"/>
    <col min="895" max="895" width="5" bestFit="1" customWidth="1"/>
    <col min="896" max="896" width="6" bestFit="1" customWidth="1"/>
    <col min="897" max="897" width="5" bestFit="1" customWidth="1"/>
    <col min="898" max="898" width="6" bestFit="1" customWidth="1"/>
    <col min="899" max="899" width="5" bestFit="1" customWidth="1"/>
    <col min="900" max="900" width="6" bestFit="1" customWidth="1"/>
    <col min="901" max="902" width="5" bestFit="1" customWidth="1"/>
    <col min="903" max="903" width="6" bestFit="1" customWidth="1"/>
    <col min="904" max="905" width="5" bestFit="1" customWidth="1"/>
    <col min="906" max="906" width="6" bestFit="1" customWidth="1"/>
    <col min="907" max="910" width="5" bestFit="1" customWidth="1"/>
    <col min="911" max="913" width="6" bestFit="1" customWidth="1"/>
    <col min="914" max="917" width="5" bestFit="1" customWidth="1"/>
    <col min="918" max="919" width="6" bestFit="1" customWidth="1"/>
    <col min="920" max="921" width="5" bestFit="1" customWidth="1"/>
    <col min="922" max="922" width="6" bestFit="1" customWidth="1"/>
    <col min="923" max="923" width="5" bestFit="1" customWidth="1"/>
    <col min="924" max="924" width="6" bestFit="1" customWidth="1"/>
    <col min="925" max="927" width="5" bestFit="1" customWidth="1"/>
    <col min="928" max="928" width="6" bestFit="1" customWidth="1"/>
    <col min="929" max="931" width="5" bestFit="1" customWidth="1"/>
    <col min="932" max="932" width="6" bestFit="1" customWidth="1"/>
    <col min="933" max="936" width="5" bestFit="1" customWidth="1"/>
    <col min="937" max="937" width="6" bestFit="1" customWidth="1"/>
    <col min="938" max="938" width="5" bestFit="1" customWidth="1"/>
    <col min="939" max="940" width="6" bestFit="1" customWidth="1"/>
    <col min="941" max="946" width="5" bestFit="1" customWidth="1"/>
    <col min="947" max="949" width="6" bestFit="1" customWidth="1"/>
    <col min="950" max="953" width="5" bestFit="1" customWidth="1"/>
    <col min="954" max="954" width="6" bestFit="1" customWidth="1"/>
    <col min="955" max="958" width="5" bestFit="1" customWidth="1"/>
    <col min="959" max="959" width="6" bestFit="1" customWidth="1"/>
    <col min="960" max="964" width="5" bestFit="1" customWidth="1"/>
    <col min="965" max="967" width="6" bestFit="1" customWidth="1"/>
    <col min="968" max="971" width="5" bestFit="1" customWidth="1"/>
    <col min="972" max="977" width="6" bestFit="1" customWidth="1"/>
    <col min="978" max="983" width="5" bestFit="1" customWidth="1"/>
    <col min="984" max="984" width="6" bestFit="1" customWidth="1"/>
    <col min="985" max="987" width="5" bestFit="1" customWidth="1"/>
    <col min="988" max="990" width="6" bestFit="1" customWidth="1"/>
    <col min="991" max="994" width="5" bestFit="1" customWidth="1"/>
    <col min="995" max="996" width="6" bestFit="1" customWidth="1"/>
    <col min="997" max="998" width="5" bestFit="1" customWidth="1"/>
    <col min="999" max="1000" width="6" bestFit="1" customWidth="1"/>
    <col min="1001" max="1001" width="5" bestFit="1" customWidth="1"/>
    <col min="1002" max="1004" width="6" bestFit="1" customWidth="1"/>
    <col min="1005" max="1007" width="5" bestFit="1" customWidth="1"/>
    <col min="1008" max="1009" width="6" bestFit="1" customWidth="1"/>
    <col min="1010" max="1015" width="5" bestFit="1" customWidth="1"/>
    <col min="1016" max="1017" width="6" bestFit="1" customWidth="1"/>
    <col min="1018" max="1018" width="5" bestFit="1" customWidth="1"/>
    <col min="1019" max="1020" width="6" bestFit="1" customWidth="1"/>
    <col min="1021" max="1022" width="5" bestFit="1" customWidth="1"/>
    <col min="1023" max="1023" width="6" bestFit="1" customWidth="1"/>
    <col min="1024" max="1025" width="5" bestFit="1" customWidth="1"/>
    <col min="1026" max="1026" width="6" bestFit="1" customWidth="1"/>
    <col min="1027" max="1033" width="5" bestFit="1" customWidth="1"/>
    <col min="1034" max="1035" width="6" bestFit="1" customWidth="1"/>
    <col min="1036" max="1037" width="5" bestFit="1" customWidth="1"/>
    <col min="1038" max="1038" width="6" bestFit="1" customWidth="1"/>
    <col min="1039" max="1042" width="5" bestFit="1" customWidth="1"/>
    <col min="1043" max="1045" width="6" bestFit="1" customWidth="1"/>
    <col min="1046" max="1046" width="5" bestFit="1" customWidth="1"/>
    <col min="1047" max="1049" width="6" bestFit="1" customWidth="1"/>
    <col min="1050" max="1050" width="5" bestFit="1" customWidth="1"/>
    <col min="1051" max="1051" width="6" bestFit="1" customWidth="1"/>
    <col min="1052" max="1052" width="5" bestFit="1" customWidth="1"/>
    <col min="1053" max="1054" width="6" bestFit="1" customWidth="1"/>
    <col min="1055" max="1055" width="5" bestFit="1" customWidth="1"/>
    <col min="1056" max="1057" width="6" bestFit="1" customWidth="1"/>
    <col min="1058" max="1058" width="5" bestFit="1" customWidth="1"/>
    <col min="1059" max="1060" width="6" bestFit="1" customWidth="1"/>
    <col min="1061" max="1063" width="5" bestFit="1" customWidth="1"/>
    <col min="1064" max="1064" width="6" bestFit="1" customWidth="1"/>
    <col min="1065" max="1065" width="5" bestFit="1" customWidth="1"/>
    <col min="1066" max="1067" width="6" bestFit="1" customWidth="1"/>
    <col min="1068" max="1071" width="5" bestFit="1" customWidth="1"/>
    <col min="1072" max="1073" width="6" bestFit="1" customWidth="1"/>
    <col min="1074" max="1077" width="5" bestFit="1" customWidth="1"/>
    <col min="1078" max="1082" width="6" bestFit="1" customWidth="1"/>
    <col min="1083" max="1083" width="5" bestFit="1" customWidth="1"/>
    <col min="1084" max="1084" width="6" bestFit="1" customWidth="1"/>
    <col min="1085" max="1085" width="5" bestFit="1" customWidth="1"/>
    <col min="1086" max="1086" width="6" bestFit="1" customWidth="1"/>
    <col min="1087" max="1089" width="5" bestFit="1" customWidth="1"/>
    <col min="1090" max="1090" width="6" bestFit="1" customWidth="1"/>
    <col min="1091" max="1091" width="5" bestFit="1" customWidth="1"/>
    <col min="1092" max="1092" width="6" bestFit="1" customWidth="1"/>
    <col min="1093" max="1093" width="5" bestFit="1" customWidth="1"/>
    <col min="1094" max="1094" width="6" bestFit="1" customWidth="1"/>
    <col min="1095" max="1097" width="5" bestFit="1" customWidth="1"/>
    <col min="1098" max="1098" width="6" bestFit="1" customWidth="1"/>
    <col min="1099" max="1101" width="5" bestFit="1" customWidth="1"/>
    <col min="1102" max="1102" width="6" bestFit="1" customWidth="1"/>
    <col min="1103" max="1107" width="5" bestFit="1" customWidth="1"/>
    <col min="1108" max="1108" width="6" bestFit="1" customWidth="1"/>
    <col min="1109" max="1111" width="5" bestFit="1" customWidth="1"/>
    <col min="1112" max="1114" width="6" bestFit="1" customWidth="1"/>
    <col min="1115" max="1115" width="5" bestFit="1" customWidth="1"/>
    <col min="1116" max="1116" width="6" bestFit="1" customWidth="1"/>
    <col min="1117" max="1127" width="5" bestFit="1" customWidth="1"/>
    <col min="1128" max="1129" width="6" bestFit="1" customWidth="1"/>
    <col min="1130" max="1131" width="5" bestFit="1" customWidth="1"/>
    <col min="1132" max="1134" width="6" bestFit="1" customWidth="1"/>
    <col min="1135" max="1137" width="5" bestFit="1" customWidth="1"/>
    <col min="1138" max="1139" width="6" bestFit="1" customWidth="1"/>
    <col min="1140" max="1140" width="5" bestFit="1" customWidth="1"/>
    <col min="1141" max="1141" width="6" bestFit="1" customWidth="1"/>
    <col min="1142" max="1142" width="5" bestFit="1" customWidth="1"/>
    <col min="1143" max="1143" width="6" bestFit="1" customWidth="1"/>
    <col min="1144" max="1145" width="5" bestFit="1" customWidth="1"/>
    <col min="1146" max="1148" width="6" bestFit="1" customWidth="1"/>
    <col min="1149" max="1151" width="5" bestFit="1" customWidth="1"/>
    <col min="1152" max="1152" width="6" bestFit="1" customWidth="1"/>
    <col min="1153" max="1154" width="5" bestFit="1" customWidth="1"/>
    <col min="1155" max="1156" width="6" bestFit="1" customWidth="1"/>
    <col min="1157" max="1157" width="5" bestFit="1" customWidth="1"/>
    <col min="1158" max="1158" width="6" bestFit="1" customWidth="1"/>
    <col min="1159" max="1162" width="5" bestFit="1" customWidth="1"/>
    <col min="1163" max="1163" width="6" bestFit="1" customWidth="1"/>
    <col min="1164" max="1167" width="5" bestFit="1" customWidth="1"/>
    <col min="1168" max="1168" width="6" bestFit="1" customWidth="1"/>
    <col min="1169" max="1170" width="5" bestFit="1" customWidth="1"/>
    <col min="1171" max="1172" width="6" bestFit="1" customWidth="1"/>
    <col min="1173" max="1175" width="5" bestFit="1" customWidth="1"/>
    <col min="1176" max="1176" width="6" bestFit="1" customWidth="1"/>
    <col min="1177" max="1178" width="5" bestFit="1" customWidth="1"/>
    <col min="1179" max="1180" width="6" bestFit="1" customWidth="1"/>
    <col min="1181" max="1183" width="5" bestFit="1" customWidth="1"/>
    <col min="1184" max="1184" width="6" bestFit="1" customWidth="1"/>
    <col min="1185" max="1185" width="5" bestFit="1" customWidth="1"/>
    <col min="1186" max="1188" width="6" bestFit="1" customWidth="1"/>
    <col min="1189" max="1189" width="5" bestFit="1" customWidth="1"/>
    <col min="1190" max="1190" width="6" bestFit="1" customWidth="1"/>
    <col min="1191" max="1191" width="5" bestFit="1" customWidth="1"/>
    <col min="1192" max="1192" width="6" bestFit="1" customWidth="1"/>
    <col min="1193" max="1194" width="5" bestFit="1" customWidth="1"/>
    <col min="1195" max="1196" width="6" bestFit="1" customWidth="1"/>
    <col min="1197" max="1201" width="5" bestFit="1" customWidth="1"/>
    <col min="1202" max="1204" width="6" bestFit="1" customWidth="1"/>
    <col min="1205" max="1206" width="5" bestFit="1" customWidth="1"/>
    <col min="1207" max="1207" width="6" bestFit="1" customWidth="1"/>
    <col min="1208" max="1209" width="5" bestFit="1" customWidth="1"/>
    <col min="1210" max="1211" width="6" bestFit="1" customWidth="1"/>
    <col min="1212" max="1215" width="5" bestFit="1" customWidth="1"/>
    <col min="1216" max="1216" width="6" bestFit="1" customWidth="1"/>
    <col min="1217" max="1217" width="5" bestFit="1" customWidth="1"/>
    <col min="1218" max="1218" width="6" bestFit="1" customWidth="1"/>
    <col min="1219" max="1219" width="5" bestFit="1" customWidth="1"/>
    <col min="1220" max="1220" width="6" bestFit="1" customWidth="1"/>
    <col min="1221" max="1223" width="5" bestFit="1" customWidth="1"/>
    <col min="1224" max="1224" width="6" bestFit="1" customWidth="1"/>
    <col min="1225" max="1225" width="5" bestFit="1" customWidth="1"/>
    <col min="1226" max="1226" width="6" bestFit="1" customWidth="1"/>
    <col min="1227" max="1228" width="5" bestFit="1" customWidth="1"/>
    <col min="1229" max="1229" width="6" bestFit="1" customWidth="1"/>
    <col min="1230" max="1231" width="5" bestFit="1" customWidth="1"/>
    <col min="1232" max="1232" width="6" bestFit="1" customWidth="1"/>
    <col min="1233" max="1234" width="5" bestFit="1" customWidth="1"/>
    <col min="1235" max="1236" width="6" bestFit="1" customWidth="1"/>
    <col min="1237" max="1238" width="5" bestFit="1" customWidth="1"/>
    <col min="1239" max="1240" width="6" bestFit="1" customWidth="1"/>
    <col min="1241" max="1244" width="5" bestFit="1" customWidth="1"/>
    <col min="1245" max="1245" width="6" bestFit="1" customWidth="1"/>
    <col min="1246" max="1248" width="5" bestFit="1" customWidth="1"/>
    <col min="1249" max="1249" width="6" bestFit="1" customWidth="1"/>
    <col min="1250" max="1250" width="5" bestFit="1" customWidth="1"/>
    <col min="1251" max="1251" width="6" bestFit="1" customWidth="1"/>
    <col min="1252" max="1252" width="5" bestFit="1" customWidth="1"/>
    <col min="1253" max="1253" width="6" bestFit="1" customWidth="1"/>
    <col min="1254" max="1254" width="5" bestFit="1" customWidth="1"/>
    <col min="1255" max="1256" width="6" bestFit="1" customWidth="1"/>
    <col min="1257" max="1258" width="5" bestFit="1" customWidth="1"/>
    <col min="1259" max="1259" width="6" bestFit="1" customWidth="1"/>
    <col min="1260" max="1260" width="5" bestFit="1" customWidth="1"/>
    <col min="1261" max="1261" width="6" bestFit="1" customWidth="1"/>
    <col min="1262" max="1262" width="5" bestFit="1" customWidth="1"/>
    <col min="1263" max="1263" width="6" bestFit="1" customWidth="1"/>
    <col min="1264" max="1265" width="5" bestFit="1" customWidth="1"/>
    <col min="1266" max="1266" width="6" bestFit="1" customWidth="1"/>
    <col min="1267" max="1267" width="5" bestFit="1" customWidth="1"/>
    <col min="1268" max="1268" width="6" bestFit="1" customWidth="1"/>
    <col min="1269" max="1269" width="5" bestFit="1" customWidth="1"/>
    <col min="1270" max="1271" width="6" bestFit="1" customWidth="1"/>
    <col min="1272" max="1272" width="5" bestFit="1" customWidth="1"/>
    <col min="1273" max="1274" width="6" bestFit="1" customWidth="1"/>
    <col min="1275" max="1277" width="5" bestFit="1" customWidth="1"/>
    <col min="1278" max="1278" width="6" bestFit="1" customWidth="1"/>
    <col min="1279" max="1279" width="5" bestFit="1" customWidth="1"/>
    <col min="1280" max="1283" width="6" bestFit="1" customWidth="1"/>
    <col min="1284" max="1288" width="5" bestFit="1" customWidth="1"/>
    <col min="1289" max="1294" width="6" bestFit="1" customWidth="1"/>
    <col min="1295" max="1295" width="5" bestFit="1" customWidth="1"/>
    <col min="1296" max="1297" width="6" bestFit="1" customWidth="1"/>
    <col min="1298" max="1298" width="5" bestFit="1" customWidth="1"/>
    <col min="1299" max="1299" width="6" bestFit="1" customWidth="1"/>
    <col min="1300" max="1300" width="5" bestFit="1" customWidth="1"/>
    <col min="1301" max="1301" width="6" bestFit="1" customWidth="1"/>
    <col min="1302" max="1303" width="5" bestFit="1" customWidth="1"/>
    <col min="1304" max="1304" width="6" bestFit="1" customWidth="1"/>
    <col min="1305" max="1305" width="5" bestFit="1" customWidth="1"/>
    <col min="1306" max="1312" width="6" bestFit="1" customWidth="1"/>
    <col min="1313" max="1313" width="5" bestFit="1" customWidth="1"/>
    <col min="1314" max="1318" width="6" bestFit="1" customWidth="1"/>
    <col min="1319" max="1320" width="5" bestFit="1" customWidth="1"/>
    <col min="1321" max="1326" width="6" bestFit="1" customWidth="1"/>
    <col min="1327" max="1328" width="5" bestFit="1" customWidth="1"/>
    <col min="1329" max="1330" width="6" bestFit="1" customWidth="1"/>
    <col min="1331" max="1331" width="5" bestFit="1" customWidth="1"/>
    <col min="1332" max="1332" width="6" bestFit="1" customWidth="1"/>
    <col min="1333" max="1333" width="5" bestFit="1" customWidth="1"/>
    <col min="1334" max="1334" width="6" bestFit="1" customWidth="1"/>
    <col min="1335" max="1335" width="5" bestFit="1" customWidth="1"/>
    <col min="1336" max="1337" width="6" bestFit="1" customWidth="1"/>
    <col min="1338" max="1338" width="5" bestFit="1" customWidth="1"/>
    <col min="1339" max="1340" width="6" bestFit="1" customWidth="1"/>
    <col min="1341" max="1342" width="5" bestFit="1" customWidth="1"/>
    <col min="1343" max="1345" width="6" bestFit="1" customWidth="1"/>
    <col min="1346" max="1347" width="5" bestFit="1" customWidth="1"/>
    <col min="1348" max="1348" width="6" bestFit="1" customWidth="1"/>
    <col min="1349" max="1350" width="5" bestFit="1" customWidth="1"/>
    <col min="1351" max="1351" width="6" bestFit="1" customWidth="1"/>
    <col min="1352" max="1352" width="5" bestFit="1" customWidth="1"/>
    <col min="1353" max="1355" width="6" bestFit="1" customWidth="1"/>
    <col min="1356" max="1356" width="5" bestFit="1" customWidth="1"/>
    <col min="1357" max="1360" width="6" bestFit="1" customWidth="1"/>
    <col min="1361" max="1361" width="5" bestFit="1" customWidth="1"/>
    <col min="1362" max="1362" width="6" bestFit="1" customWidth="1"/>
    <col min="1363" max="1364" width="5" bestFit="1" customWidth="1"/>
    <col min="1365" max="1366" width="6" bestFit="1" customWidth="1"/>
    <col min="1367" max="1367" width="5" bestFit="1" customWidth="1"/>
    <col min="1368" max="1368" width="6" bestFit="1" customWidth="1"/>
    <col min="1369" max="1369" width="5" bestFit="1" customWidth="1"/>
    <col min="1370" max="1371" width="6" bestFit="1" customWidth="1"/>
    <col min="1372" max="1373" width="5" bestFit="1" customWidth="1"/>
    <col min="1374" max="1374" width="6" bestFit="1" customWidth="1"/>
    <col min="1375" max="1377" width="5" bestFit="1" customWidth="1"/>
    <col min="1378" max="1380" width="6" bestFit="1" customWidth="1"/>
    <col min="1381" max="1383" width="5" bestFit="1" customWidth="1"/>
    <col min="1384" max="1388" width="6" bestFit="1" customWidth="1"/>
    <col min="1389" max="1389" width="5" bestFit="1" customWidth="1"/>
    <col min="1390" max="1395" width="6" bestFit="1" customWidth="1"/>
    <col min="1396" max="1398" width="5" bestFit="1" customWidth="1"/>
    <col min="1399" max="1401" width="6" bestFit="1" customWidth="1"/>
    <col min="1402" max="1402" width="5" bestFit="1" customWidth="1"/>
    <col min="1403" max="1404" width="6" bestFit="1" customWidth="1"/>
    <col min="1405" max="1405" width="5" bestFit="1" customWidth="1"/>
    <col min="1406" max="1406" width="6" bestFit="1" customWidth="1"/>
    <col min="1407" max="1407" width="5" bestFit="1" customWidth="1"/>
    <col min="1408" max="1408" width="6" bestFit="1" customWidth="1"/>
    <col min="1409" max="1410" width="5" bestFit="1" customWidth="1"/>
    <col min="1411" max="1411" width="6" bestFit="1" customWidth="1"/>
    <col min="1412" max="1413" width="5" bestFit="1" customWidth="1"/>
    <col min="1414" max="1414" width="6" bestFit="1" customWidth="1"/>
    <col min="1415" max="1415" width="5" bestFit="1" customWidth="1"/>
    <col min="1416" max="1416" width="6" bestFit="1" customWidth="1"/>
    <col min="1417" max="1417" width="5" bestFit="1" customWidth="1"/>
    <col min="1418" max="1419" width="6" bestFit="1" customWidth="1"/>
    <col min="1420" max="1422" width="5" bestFit="1" customWidth="1"/>
    <col min="1423" max="1423" width="6" bestFit="1" customWidth="1"/>
    <col min="1424" max="1424" width="5" bestFit="1" customWidth="1"/>
    <col min="1425" max="1425" width="6" bestFit="1" customWidth="1"/>
    <col min="1426" max="1426" width="5" bestFit="1" customWidth="1"/>
    <col min="1427" max="1431" width="6" bestFit="1" customWidth="1"/>
    <col min="1432" max="1432" width="5" bestFit="1" customWidth="1"/>
    <col min="1433" max="1434" width="6" bestFit="1" customWidth="1"/>
    <col min="1435" max="1437" width="5" bestFit="1" customWidth="1"/>
    <col min="1438" max="1441" width="6" bestFit="1" customWidth="1"/>
    <col min="1442" max="1443" width="5" bestFit="1" customWidth="1"/>
    <col min="1444" max="1447" width="6" bestFit="1" customWidth="1"/>
    <col min="1448" max="1448" width="5" bestFit="1" customWidth="1"/>
    <col min="1449" max="1452" width="6" bestFit="1" customWidth="1"/>
    <col min="1453" max="1453" width="5" bestFit="1" customWidth="1"/>
    <col min="1454" max="1454" width="6" bestFit="1" customWidth="1"/>
    <col min="1455" max="1455" width="5" bestFit="1" customWidth="1"/>
    <col min="1456" max="1457" width="6" bestFit="1" customWidth="1"/>
    <col min="1458" max="1458" width="5" bestFit="1" customWidth="1"/>
    <col min="1459" max="1459" width="6" bestFit="1" customWidth="1"/>
    <col min="1460" max="1461" width="5" bestFit="1" customWidth="1"/>
    <col min="1462" max="1462" width="6" bestFit="1" customWidth="1"/>
    <col min="1463" max="1464" width="5" bestFit="1" customWidth="1"/>
    <col min="1465" max="1465" width="6" bestFit="1" customWidth="1"/>
    <col min="1466" max="1466" width="5" bestFit="1" customWidth="1"/>
    <col min="1467" max="1467" width="6" bestFit="1" customWidth="1"/>
    <col min="1468" max="1468" width="5" bestFit="1" customWidth="1"/>
    <col min="1469" max="1471" width="6" bestFit="1" customWidth="1"/>
    <col min="1472" max="1472" width="5" bestFit="1" customWidth="1"/>
    <col min="1473" max="1473" width="6" bestFit="1" customWidth="1"/>
    <col min="1474" max="1474" width="5" bestFit="1" customWidth="1"/>
    <col min="1475" max="1475" width="6" bestFit="1" customWidth="1"/>
    <col min="1476" max="1483" width="5" bestFit="1" customWidth="1"/>
    <col min="1484" max="1490" width="6" bestFit="1" customWidth="1"/>
    <col min="1491" max="1492" width="5" bestFit="1" customWidth="1"/>
    <col min="1493" max="1496" width="6" bestFit="1" customWidth="1"/>
    <col min="1497" max="1497" width="5" bestFit="1" customWidth="1"/>
    <col min="1498" max="1500" width="6" bestFit="1" customWidth="1"/>
    <col min="1501" max="1503" width="5" bestFit="1" customWidth="1"/>
    <col min="1504" max="1509" width="6" bestFit="1" customWidth="1"/>
    <col min="1510" max="1511" width="5" bestFit="1" customWidth="1"/>
    <col min="1512" max="1514" width="6" bestFit="1" customWidth="1"/>
    <col min="1515" max="1515" width="5" bestFit="1" customWidth="1"/>
    <col min="1516" max="1517" width="6" bestFit="1" customWidth="1"/>
    <col min="1518" max="1518" width="5" bestFit="1" customWidth="1"/>
    <col min="1519" max="1519" width="6" bestFit="1" customWidth="1"/>
    <col min="1520" max="1521" width="5" bestFit="1" customWidth="1"/>
    <col min="1522" max="1525" width="6" bestFit="1" customWidth="1"/>
    <col min="1526" max="1526" width="5" bestFit="1" customWidth="1"/>
    <col min="1527" max="1528" width="6" bestFit="1" customWidth="1"/>
    <col min="1529" max="1529" width="5" bestFit="1" customWidth="1"/>
    <col min="1530" max="1532" width="6" bestFit="1" customWidth="1"/>
    <col min="1533" max="1534" width="5" bestFit="1" customWidth="1"/>
    <col min="1535" max="1535" width="6" bestFit="1" customWidth="1"/>
    <col min="1536" max="1537" width="5" bestFit="1" customWidth="1"/>
    <col min="1538" max="1542" width="6" bestFit="1" customWidth="1"/>
    <col min="1543" max="1544" width="5" bestFit="1" customWidth="1"/>
    <col min="1545" max="1546" width="6" bestFit="1" customWidth="1"/>
    <col min="1547" max="1547" width="5" bestFit="1" customWidth="1"/>
    <col min="1548" max="1549" width="6" bestFit="1" customWidth="1"/>
    <col min="1550" max="1550" width="5" bestFit="1" customWidth="1"/>
    <col min="1551" max="1551" width="6" bestFit="1" customWidth="1"/>
    <col min="1552" max="1552" width="5" bestFit="1" customWidth="1"/>
    <col min="1553" max="1553" width="6" bestFit="1" customWidth="1"/>
    <col min="1554" max="1554" width="5" bestFit="1" customWidth="1"/>
    <col min="1555" max="1557" width="6" bestFit="1" customWidth="1"/>
    <col min="1558" max="1560" width="5" bestFit="1" customWidth="1"/>
    <col min="1561" max="1564" width="6" bestFit="1" customWidth="1"/>
    <col min="1565" max="1565" width="5" bestFit="1" customWidth="1"/>
    <col min="1566" max="1572" width="6" bestFit="1" customWidth="1"/>
    <col min="1573" max="1573" width="5" bestFit="1" customWidth="1"/>
    <col min="1574" max="1574" width="6" bestFit="1" customWidth="1"/>
    <col min="1575" max="1575" width="5" bestFit="1" customWidth="1"/>
    <col min="1576" max="1579" width="6" bestFit="1" customWidth="1"/>
    <col min="1580" max="1580" width="5" bestFit="1" customWidth="1"/>
    <col min="1581" max="1581" width="6" bestFit="1" customWidth="1"/>
    <col min="1582" max="1584" width="5" bestFit="1" customWidth="1"/>
    <col min="1585" max="1585" width="6" bestFit="1" customWidth="1"/>
    <col min="1586" max="1586" width="5" bestFit="1" customWidth="1"/>
    <col min="1587" max="1595" width="6" bestFit="1" customWidth="1"/>
    <col min="1596" max="1596" width="5" bestFit="1" customWidth="1"/>
    <col min="1597" max="1598" width="6" bestFit="1" customWidth="1"/>
    <col min="1599" max="1599" width="5" bestFit="1" customWidth="1"/>
    <col min="1600" max="1601" width="6" bestFit="1" customWidth="1"/>
    <col min="1602" max="1602" width="5" bestFit="1" customWidth="1"/>
    <col min="1603" max="1609" width="6" bestFit="1" customWidth="1"/>
    <col min="1610" max="1610" width="5" bestFit="1" customWidth="1"/>
    <col min="1611" max="1612" width="6" bestFit="1" customWidth="1"/>
    <col min="1613" max="1614" width="5" bestFit="1" customWidth="1"/>
    <col min="1615" max="1617" width="6" bestFit="1" customWidth="1"/>
    <col min="1618" max="1618" width="5" bestFit="1" customWidth="1"/>
    <col min="1619" max="1619" width="6" bestFit="1" customWidth="1"/>
    <col min="1620" max="1620" width="5" bestFit="1" customWidth="1"/>
    <col min="1621" max="1621" width="6" bestFit="1" customWidth="1"/>
    <col min="1622" max="1622" width="5" bestFit="1" customWidth="1"/>
    <col min="1623" max="1627" width="6" bestFit="1" customWidth="1"/>
    <col min="1628" max="1630" width="5" bestFit="1" customWidth="1"/>
    <col min="1631" max="1631" width="6" bestFit="1" customWidth="1"/>
    <col min="1632" max="1632" width="5" bestFit="1" customWidth="1"/>
    <col min="1633" max="1633" width="6" bestFit="1" customWidth="1"/>
    <col min="1634" max="1634" width="5" bestFit="1" customWidth="1"/>
    <col min="1635" max="1635" width="6" bestFit="1" customWidth="1"/>
    <col min="1636" max="1638" width="5" bestFit="1" customWidth="1"/>
    <col min="1639" max="1641" width="6" bestFit="1" customWidth="1"/>
    <col min="1642" max="1642" width="5" bestFit="1" customWidth="1"/>
    <col min="1643" max="1648" width="6" bestFit="1" customWidth="1"/>
    <col min="1649" max="1650" width="5" bestFit="1" customWidth="1"/>
    <col min="1651" max="1653" width="6" bestFit="1" customWidth="1"/>
    <col min="1654" max="1654" width="5" bestFit="1" customWidth="1"/>
    <col min="1655" max="1655" width="6" bestFit="1" customWidth="1"/>
    <col min="1656" max="1656" width="5" bestFit="1" customWidth="1"/>
    <col min="1657" max="1661" width="6" bestFit="1" customWidth="1"/>
    <col min="1662" max="1662" width="5" bestFit="1" customWidth="1"/>
    <col min="1663" max="1669" width="6" bestFit="1" customWidth="1"/>
    <col min="1670" max="1671" width="5" bestFit="1" customWidth="1"/>
    <col min="1672" max="1672" width="6" bestFit="1" customWidth="1"/>
    <col min="1673" max="1673" width="5" bestFit="1" customWidth="1"/>
    <col min="1674" max="1676" width="6" bestFit="1" customWidth="1"/>
    <col min="1677" max="1677" width="5" bestFit="1" customWidth="1"/>
    <col min="1678" max="1679" width="6" bestFit="1" customWidth="1"/>
    <col min="1680" max="1680" width="5" bestFit="1" customWidth="1"/>
    <col min="1681" max="1686" width="6" bestFit="1" customWidth="1"/>
    <col min="1687" max="1688" width="5" bestFit="1" customWidth="1"/>
    <col min="1689" max="1703" width="6" bestFit="1" customWidth="1"/>
    <col min="1704" max="1705" width="5" bestFit="1" customWidth="1"/>
    <col min="1706" max="1716" width="6" bestFit="1" customWidth="1"/>
    <col min="1717" max="1717" width="5" bestFit="1" customWidth="1"/>
    <col min="1718" max="1895" width="6" bestFit="1" customWidth="1"/>
    <col min="1896" max="1896" width="10.5546875" bestFit="1" customWidth="1"/>
  </cols>
  <sheetData>
    <row r="3" spans="2:10" x14ac:dyDescent="0.3">
      <c r="B3" s="3" t="s">
        <v>22</v>
      </c>
      <c r="C3" t="s">
        <v>25</v>
      </c>
      <c r="I3" t="s">
        <v>25</v>
      </c>
    </row>
    <row r="4" spans="2:10" x14ac:dyDescent="0.3">
      <c r="B4" s="4" t="s">
        <v>17</v>
      </c>
      <c r="C4">
        <v>3908847</v>
      </c>
      <c r="I4">
        <v>15346417</v>
      </c>
    </row>
    <row r="5" spans="2:10" x14ac:dyDescent="0.3">
      <c r="B5" s="4" t="s">
        <v>18</v>
      </c>
      <c r="C5">
        <v>3963178</v>
      </c>
    </row>
    <row r="6" spans="2:10" x14ac:dyDescent="0.3">
      <c r="B6" s="4" t="s">
        <v>11</v>
      </c>
      <c r="C6">
        <v>3838481</v>
      </c>
      <c r="I6" t="s">
        <v>25</v>
      </c>
      <c r="J6" t="s">
        <v>28</v>
      </c>
    </row>
    <row r="7" spans="2:10" x14ac:dyDescent="0.3">
      <c r="B7" s="4" t="s">
        <v>8</v>
      </c>
      <c r="C7">
        <v>3635911</v>
      </c>
      <c r="I7">
        <v>15346417</v>
      </c>
      <c r="J7">
        <v>2000</v>
      </c>
    </row>
    <row r="8" spans="2:10" x14ac:dyDescent="0.3">
      <c r="B8" s="4" t="s">
        <v>23</v>
      </c>
      <c r="C8">
        <v>15346417</v>
      </c>
    </row>
    <row r="9" spans="2:10" x14ac:dyDescent="0.3">
      <c r="I9" t="s">
        <v>29</v>
      </c>
    </row>
    <row r="10" spans="2:10" x14ac:dyDescent="0.3">
      <c r="B10" t="s">
        <v>26</v>
      </c>
      <c r="C10" t="s">
        <v>25</v>
      </c>
      <c r="D10" t="s">
        <v>27</v>
      </c>
      <c r="E10" t="s">
        <v>30</v>
      </c>
      <c r="I10" s="7">
        <f>I7/J7</f>
        <v>7673.2084999999997</v>
      </c>
    </row>
    <row r="11" spans="2:10" x14ac:dyDescent="0.3">
      <c r="B11">
        <v>3081266</v>
      </c>
      <c r="C11">
        <v>15346417</v>
      </c>
      <c r="D11" s="5">
        <v>0.20078080766344353</v>
      </c>
      <c r="E11" s="6">
        <v>4046072</v>
      </c>
    </row>
    <row r="27" spans="2:6" x14ac:dyDescent="0.3">
      <c r="B27" s="3" t="s">
        <v>26</v>
      </c>
      <c r="C27" s="3" t="s">
        <v>24</v>
      </c>
    </row>
    <row r="28" spans="2:6" x14ac:dyDescent="0.3">
      <c r="B28" s="3" t="s">
        <v>3</v>
      </c>
      <c r="C28">
        <v>2022</v>
      </c>
      <c r="D28">
        <v>2023</v>
      </c>
      <c r="E28">
        <v>2024</v>
      </c>
      <c r="F28" t="s">
        <v>23</v>
      </c>
    </row>
    <row r="29" spans="2:6" x14ac:dyDescent="0.3">
      <c r="B29" s="4" t="s">
        <v>19</v>
      </c>
      <c r="C29">
        <v>349708</v>
      </c>
      <c r="D29">
        <v>161800</v>
      </c>
      <c r="E29">
        <v>190006</v>
      </c>
      <c r="F29">
        <v>701514</v>
      </c>
    </row>
    <row r="30" spans="2:6" x14ac:dyDescent="0.3">
      <c r="B30" s="4" t="s">
        <v>10</v>
      </c>
      <c r="C30">
        <v>216596</v>
      </c>
      <c r="D30">
        <v>217783</v>
      </c>
      <c r="E30">
        <v>255894</v>
      </c>
      <c r="F30">
        <v>690273</v>
      </c>
    </row>
    <row r="31" spans="2:6" x14ac:dyDescent="0.3">
      <c r="B31" s="4" t="s">
        <v>15</v>
      </c>
      <c r="C31">
        <v>319439</v>
      </c>
      <c r="D31">
        <v>243090</v>
      </c>
      <c r="E31">
        <v>249608</v>
      </c>
      <c r="F31">
        <v>812137</v>
      </c>
    </row>
    <row r="32" spans="2:6" x14ac:dyDescent="0.3">
      <c r="B32" s="4" t="s">
        <v>12</v>
      </c>
      <c r="C32">
        <v>273567</v>
      </c>
      <c r="D32">
        <v>326365</v>
      </c>
      <c r="E32">
        <v>277410</v>
      </c>
      <c r="F32">
        <v>877342</v>
      </c>
    </row>
    <row r="33" spans="2:6" x14ac:dyDescent="0.3">
      <c r="B33" s="4" t="s">
        <v>23</v>
      </c>
      <c r="C33">
        <v>1159310</v>
      </c>
      <c r="D33">
        <v>949038</v>
      </c>
      <c r="E33">
        <v>972918</v>
      </c>
      <c r="F33">
        <v>3081266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6A183E-916A-4F6C-8492-FBE8B9251F58}">
  <dimension ref="A1:J2001"/>
  <sheetViews>
    <sheetView topLeftCell="A1149" workbookViewId="0">
      <selection sqref="A1:J2001"/>
    </sheetView>
  </sheetViews>
  <sheetFormatPr defaultRowHeight="14.4" x14ac:dyDescent="0.3"/>
  <cols>
    <col min="1" max="1" width="12.21875" bestFit="1" customWidth="1"/>
    <col min="2" max="2" width="12.6640625" bestFit="1" customWidth="1"/>
    <col min="3" max="3" width="17.5546875" bestFit="1" customWidth="1"/>
    <col min="4" max="4" width="11.33203125" bestFit="1" customWidth="1"/>
    <col min="5" max="5" width="10.21875" bestFit="1" customWidth="1"/>
    <col min="6" max="6" width="7" bestFit="1" customWidth="1"/>
    <col min="7" max="7" width="12.44140625" bestFit="1" customWidth="1"/>
    <col min="8" max="8" width="7.77734375" bestFit="1" customWidth="1"/>
    <col min="9" max="9" width="9.5546875" style="2" bestFit="1" customWidth="1"/>
  </cols>
  <sheetData>
    <row r="1" spans="1:1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s="2" t="s">
        <v>20</v>
      </c>
      <c r="J1" t="s">
        <v>21</v>
      </c>
    </row>
    <row r="2" spans="1:10" x14ac:dyDescent="0.3">
      <c r="A2" s="1">
        <v>45422</v>
      </c>
      <c r="B2" t="s">
        <v>8</v>
      </c>
      <c r="C2" t="s">
        <v>9</v>
      </c>
      <c r="D2" t="s">
        <v>10</v>
      </c>
      <c r="E2">
        <v>7599</v>
      </c>
      <c r="F2">
        <v>1240</v>
      </c>
      <c r="G2">
        <v>15</v>
      </c>
      <c r="H2">
        <f>sa_retail_sales[[#This Row],[Revenue]]-sa_retail_sales[[#This Row],[Cost]]</f>
        <v>6359</v>
      </c>
      <c r="I2" s="2">
        <f>sa_retail_sales[[#This Row],[Profit]] / sa_retail_sales[[#This Row],[Revenue]]</f>
        <v>0.83682063429398601</v>
      </c>
      <c r="J2">
        <f xml:space="preserve"> YEAR(sa_retail_sales[[#This Row],[Order Date]])</f>
        <v>2024</v>
      </c>
    </row>
    <row r="3" spans="1:10" x14ac:dyDescent="0.3">
      <c r="A3" s="1">
        <v>45657</v>
      </c>
      <c r="B3" t="s">
        <v>11</v>
      </c>
      <c r="C3" t="s">
        <v>9</v>
      </c>
      <c r="D3" t="s">
        <v>12</v>
      </c>
      <c r="E3">
        <v>7876</v>
      </c>
      <c r="F3">
        <v>640</v>
      </c>
      <c r="G3">
        <v>20</v>
      </c>
      <c r="H3">
        <v>7236</v>
      </c>
      <c r="I3" s="2">
        <f>sa_retail_sales[[#This Row],[Profit]] / sa_retail_sales[[#This Row],[Revenue]]</f>
        <v>0.91874047739969533</v>
      </c>
      <c r="J3">
        <f xml:space="preserve"> YEAR(sa_retail_sales[[#This Row],[Order Date]])</f>
        <v>2024</v>
      </c>
    </row>
    <row r="4" spans="1:10" x14ac:dyDescent="0.3">
      <c r="A4" s="1">
        <v>45606</v>
      </c>
      <c r="B4" t="s">
        <v>11</v>
      </c>
      <c r="C4" t="s">
        <v>13</v>
      </c>
      <c r="D4" t="s">
        <v>12</v>
      </c>
      <c r="E4">
        <v>11860</v>
      </c>
      <c r="F4">
        <v>11400</v>
      </c>
      <c r="G4">
        <v>10</v>
      </c>
      <c r="H4">
        <v>460</v>
      </c>
      <c r="I4" s="2">
        <f>sa_retail_sales[[#This Row],[Profit]] / sa_retail_sales[[#This Row],[Revenue]]</f>
        <v>3.87858347386172E-2</v>
      </c>
      <c r="J4">
        <f xml:space="preserve"> YEAR(sa_retail_sales[[#This Row],[Order Date]])</f>
        <v>2024</v>
      </c>
    </row>
    <row r="5" spans="1:10" x14ac:dyDescent="0.3">
      <c r="A5" s="1">
        <v>44683</v>
      </c>
      <c r="B5" t="s">
        <v>11</v>
      </c>
      <c r="C5" t="s">
        <v>14</v>
      </c>
      <c r="D5" t="s">
        <v>15</v>
      </c>
      <c r="E5">
        <v>10813</v>
      </c>
      <c r="F5">
        <v>7722</v>
      </c>
      <c r="G5">
        <v>10</v>
      </c>
      <c r="H5">
        <v>3091</v>
      </c>
      <c r="I5" s="2">
        <f>sa_retail_sales[[#This Row],[Profit]] / sa_retail_sales[[#This Row],[Revenue]]</f>
        <v>0.28585961342828076</v>
      </c>
      <c r="J5">
        <f xml:space="preserve"> YEAR(sa_retail_sales[[#This Row],[Order Date]])</f>
        <v>2022</v>
      </c>
    </row>
    <row r="6" spans="1:10" x14ac:dyDescent="0.3">
      <c r="A6" s="1">
        <v>45028</v>
      </c>
      <c r="B6" t="s">
        <v>11</v>
      </c>
      <c r="C6" t="s">
        <v>16</v>
      </c>
      <c r="D6" t="s">
        <v>12</v>
      </c>
      <c r="E6">
        <v>14002</v>
      </c>
      <c r="F6">
        <v>4433</v>
      </c>
      <c r="G6">
        <v>0</v>
      </c>
      <c r="H6">
        <v>9569</v>
      </c>
      <c r="I6" s="2">
        <f>sa_retail_sales[[#This Row],[Profit]] / sa_retail_sales[[#This Row],[Revenue]]</f>
        <v>0.68340237108984436</v>
      </c>
      <c r="J6">
        <f xml:space="preserve"> YEAR(sa_retail_sales[[#This Row],[Order Date]])</f>
        <v>2023</v>
      </c>
    </row>
    <row r="7" spans="1:10" x14ac:dyDescent="0.3">
      <c r="A7" s="1">
        <v>44892</v>
      </c>
      <c r="B7" t="s">
        <v>17</v>
      </c>
      <c r="C7" t="s">
        <v>16</v>
      </c>
      <c r="D7" t="s">
        <v>12</v>
      </c>
      <c r="E7">
        <v>4578</v>
      </c>
      <c r="F7">
        <v>959</v>
      </c>
      <c r="G7">
        <v>10</v>
      </c>
      <c r="H7">
        <v>3619</v>
      </c>
      <c r="I7" s="2">
        <f>sa_retail_sales[[#This Row],[Profit]] / sa_retail_sales[[#This Row],[Revenue]]</f>
        <v>0.79051987767584098</v>
      </c>
      <c r="J7">
        <f xml:space="preserve"> YEAR(sa_retail_sales[[#This Row],[Order Date]])</f>
        <v>2022</v>
      </c>
    </row>
    <row r="8" spans="1:10" x14ac:dyDescent="0.3">
      <c r="A8" s="1">
        <v>44649</v>
      </c>
      <c r="B8" t="s">
        <v>17</v>
      </c>
      <c r="C8" t="s">
        <v>13</v>
      </c>
      <c r="D8" t="s">
        <v>12</v>
      </c>
      <c r="E8">
        <v>6301</v>
      </c>
      <c r="F8">
        <v>10525</v>
      </c>
      <c r="G8">
        <v>5</v>
      </c>
      <c r="H8">
        <v>-4224</v>
      </c>
      <c r="I8" s="2">
        <f>sa_retail_sales[[#This Row],[Profit]] / sa_retail_sales[[#This Row],[Revenue]]</f>
        <v>-0.67036978257419455</v>
      </c>
      <c r="J8">
        <f xml:space="preserve"> YEAR(sa_retail_sales[[#This Row],[Order Date]])</f>
        <v>2022</v>
      </c>
    </row>
    <row r="9" spans="1:10" x14ac:dyDescent="0.3">
      <c r="A9" s="1">
        <v>45433</v>
      </c>
      <c r="B9" t="s">
        <v>18</v>
      </c>
      <c r="C9" t="s">
        <v>14</v>
      </c>
      <c r="D9" t="s">
        <v>10</v>
      </c>
      <c r="E9">
        <v>14630</v>
      </c>
      <c r="F9">
        <v>10052</v>
      </c>
      <c r="G9">
        <v>10</v>
      </c>
      <c r="H9">
        <v>4578</v>
      </c>
      <c r="I9" s="2">
        <f>sa_retail_sales[[#This Row],[Profit]] / sa_retail_sales[[#This Row],[Revenue]]</f>
        <v>0.31291866028708132</v>
      </c>
      <c r="J9">
        <f xml:space="preserve"> YEAR(sa_retail_sales[[#This Row],[Order Date]])</f>
        <v>2024</v>
      </c>
    </row>
    <row r="10" spans="1:10" x14ac:dyDescent="0.3">
      <c r="A10" s="1">
        <v>44692</v>
      </c>
      <c r="B10" t="s">
        <v>8</v>
      </c>
      <c r="C10" t="s">
        <v>9</v>
      </c>
      <c r="D10" t="s">
        <v>12</v>
      </c>
      <c r="E10">
        <v>14771</v>
      </c>
      <c r="F10">
        <v>3757</v>
      </c>
      <c r="G10">
        <v>0</v>
      </c>
      <c r="H10">
        <v>11014</v>
      </c>
      <c r="I10" s="2">
        <f>sa_retail_sales[[#This Row],[Profit]] / sa_retail_sales[[#This Row],[Revenue]]</f>
        <v>0.74565026064586015</v>
      </c>
      <c r="J10">
        <f xml:space="preserve"> YEAR(sa_retail_sales[[#This Row],[Order Date]])</f>
        <v>2022</v>
      </c>
    </row>
    <row r="11" spans="1:10" x14ac:dyDescent="0.3">
      <c r="A11" s="1">
        <v>45331</v>
      </c>
      <c r="B11" t="s">
        <v>11</v>
      </c>
      <c r="C11" t="s">
        <v>13</v>
      </c>
      <c r="D11" t="s">
        <v>19</v>
      </c>
      <c r="E11">
        <v>4651</v>
      </c>
      <c r="F11">
        <v>10148</v>
      </c>
      <c r="G11">
        <v>0</v>
      </c>
      <c r="H11">
        <v>-5497</v>
      </c>
      <c r="I11" s="2">
        <f>sa_retail_sales[[#This Row],[Profit]] / sa_retail_sales[[#This Row],[Revenue]]</f>
        <v>-1.181896366372823</v>
      </c>
      <c r="J11">
        <f xml:space="preserve"> YEAR(sa_retail_sales[[#This Row],[Order Date]])</f>
        <v>2024</v>
      </c>
    </row>
    <row r="12" spans="1:10" x14ac:dyDescent="0.3">
      <c r="A12" s="1">
        <v>44905</v>
      </c>
      <c r="B12" t="s">
        <v>18</v>
      </c>
      <c r="C12" t="s">
        <v>14</v>
      </c>
      <c r="D12" t="s">
        <v>10</v>
      </c>
      <c r="E12">
        <v>9411</v>
      </c>
      <c r="F12">
        <v>3275</v>
      </c>
      <c r="G12">
        <v>5</v>
      </c>
      <c r="H12">
        <v>6136</v>
      </c>
      <c r="I12" s="2">
        <f>sa_retail_sales[[#This Row],[Profit]] / sa_retail_sales[[#This Row],[Revenue]]</f>
        <v>0.65200297524173834</v>
      </c>
      <c r="J12">
        <f xml:space="preserve"> YEAR(sa_retail_sales[[#This Row],[Order Date]])</f>
        <v>2022</v>
      </c>
    </row>
    <row r="13" spans="1:10" x14ac:dyDescent="0.3">
      <c r="A13" s="1">
        <v>45367</v>
      </c>
      <c r="B13" t="s">
        <v>18</v>
      </c>
      <c r="C13" t="s">
        <v>9</v>
      </c>
      <c r="D13" t="s">
        <v>12</v>
      </c>
      <c r="E13">
        <v>3100</v>
      </c>
      <c r="F13">
        <v>9541</v>
      </c>
      <c r="G13">
        <v>0</v>
      </c>
      <c r="H13">
        <v>-6441</v>
      </c>
      <c r="I13" s="2">
        <f>sa_retail_sales[[#This Row],[Profit]] / sa_retail_sales[[#This Row],[Revenue]]</f>
        <v>-2.0777419354838709</v>
      </c>
      <c r="J13">
        <f xml:space="preserve"> YEAR(sa_retail_sales[[#This Row],[Order Date]])</f>
        <v>2024</v>
      </c>
    </row>
    <row r="14" spans="1:10" x14ac:dyDescent="0.3">
      <c r="A14" s="1">
        <v>44947</v>
      </c>
      <c r="B14" t="s">
        <v>18</v>
      </c>
      <c r="C14" t="s">
        <v>13</v>
      </c>
      <c r="D14" t="s">
        <v>12</v>
      </c>
      <c r="E14">
        <v>6675</v>
      </c>
      <c r="F14">
        <v>753</v>
      </c>
      <c r="G14">
        <v>15</v>
      </c>
      <c r="H14">
        <v>5922</v>
      </c>
      <c r="I14" s="2">
        <f>sa_retail_sales[[#This Row],[Profit]] / sa_retail_sales[[#This Row],[Revenue]]</f>
        <v>0.88719101123595501</v>
      </c>
      <c r="J14">
        <f xml:space="preserve"> YEAR(sa_retail_sales[[#This Row],[Order Date]])</f>
        <v>2023</v>
      </c>
    </row>
    <row r="15" spans="1:10" x14ac:dyDescent="0.3">
      <c r="A15" s="1">
        <v>45517</v>
      </c>
      <c r="B15" t="s">
        <v>17</v>
      </c>
      <c r="C15" t="s">
        <v>14</v>
      </c>
      <c r="D15" t="s">
        <v>19</v>
      </c>
      <c r="E15">
        <v>12290</v>
      </c>
      <c r="F15">
        <v>10196</v>
      </c>
      <c r="G15">
        <v>20</v>
      </c>
      <c r="H15">
        <v>2094</v>
      </c>
      <c r="I15" s="2">
        <f>sa_retail_sales[[#This Row],[Profit]] / sa_retail_sales[[#This Row],[Revenue]]</f>
        <v>0.17038242473555737</v>
      </c>
      <c r="J15">
        <f xml:space="preserve"> YEAR(sa_retail_sales[[#This Row],[Order Date]])</f>
        <v>2024</v>
      </c>
    </row>
    <row r="16" spans="1:10" x14ac:dyDescent="0.3">
      <c r="A16" s="1">
        <v>44838</v>
      </c>
      <c r="B16" t="s">
        <v>11</v>
      </c>
      <c r="C16" t="s">
        <v>16</v>
      </c>
      <c r="D16" t="s">
        <v>10</v>
      </c>
      <c r="E16">
        <v>13361</v>
      </c>
      <c r="F16">
        <v>8484</v>
      </c>
      <c r="G16">
        <v>10</v>
      </c>
      <c r="H16">
        <v>4877</v>
      </c>
      <c r="I16" s="2">
        <f>sa_retail_sales[[#This Row],[Profit]] / sa_retail_sales[[#This Row],[Revenue]]</f>
        <v>0.36501758850385452</v>
      </c>
      <c r="J16">
        <f xml:space="preserve"> YEAR(sa_retail_sales[[#This Row],[Order Date]])</f>
        <v>2022</v>
      </c>
    </row>
    <row r="17" spans="1:10" x14ac:dyDescent="0.3">
      <c r="A17" s="1">
        <v>45021</v>
      </c>
      <c r="B17" t="s">
        <v>11</v>
      </c>
      <c r="C17" t="s">
        <v>16</v>
      </c>
      <c r="D17" t="s">
        <v>15</v>
      </c>
      <c r="E17">
        <v>1166</v>
      </c>
      <c r="F17">
        <v>5742</v>
      </c>
      <c r="G17">
        <v>15</v>
      </c>
      <c r="H17">
        <v>-4576</v>
      </c>
      <c r="I17" s="2">
        <f>sa_retail_sales[[#This Row],[Profit]] / sa_retail_sales[[#This Row],[Revenue]]</f>
        <v>-3.9245283018867925</v>
      </c>
      <c r="J17">
        <f xml:space="preserve"> YEAR(sa_retail_sales[[#This Row],[Order Date]])</f>
        <v>2023</v>
      </c>
    </row>
    <row r="18" spans="1:10" x14ac:dyDescent="0.3">
      <c r="A18" s="1">
        <v>44583</v>
      </c>
      <c r="B18" t="s">
        <v>8</v>
      </c>
      <c r="C18" t="s">
        <v>14</v>
      </c>
      <c r="D18" t="s">
        <v>15</v>
      </c>
      <c r="E18">
        <v>783</v>
      </c>
      <c r="F18">
        <v>11276</v>
      </c>
      <c r="G18">
        <v>10</v>
      </c>
      <c r="H18">
        <v>-10493</v>
      </c>
      <c r="I18" s="2">
        <f>sa_retail_sales[[#This Row],[Profit]] / sa_retail_sales[[#This Row],[Revenue]]</f>
        <v>-13.401021711366539</v>
      </c>
      <c r="J18">
        <f xml:space="preserve"> YEAR(sa_retail_sales[[#This Row],[Order Date]])</f>
        <v>2022</v>
      </c>
    </row>
    <row r="19" spans="1:10" x14ac:dyDescent="0.3">
      <c r="A19" s="1">
        <v>44814</v>
      </c>
      <c r="B19" t="s">
        <v>11</v>
      </c>
      <c r="C19" t="s">
        <v>16</v>
      </c>
      <c r="D19" t="s">
        <v>10</v>
      </c>
      <c r="E19">
        <v>6340</v>
      </c>
      <c r="F19">
        <v>1118</v>
      </c>
      <c r="G19">
        <v>15</v>
      </c>
      <c r="H19">
        <v>5222</v>
      </c>
      <c r="I19" s="2">
        <f>sa_retail_sales[[#This Row],[Profit]] / sa_retail_sales[[#This Row],[Revenue]]</f>
        <v>0.82365930599369086</v>
      </c>
      <c r="J19">
        <f xml:space="preserve"> YEAR(sa_retail_sales[[#This Row],[Order Date]])</f>
        <v>2022</v>
      </c>
    </row>
    <row r="20" spans="1:10" x14ac:dyDescent="0.3">
      <c r="A20" s="1">
        <v>45309</v>
      </c>
      <c r="B20" t="s">
        <v>11</v>
      </c>
      <c r="C20" t="s">
        <v>14</v>
      </c>
      <c r="D20" t="s">
        <v>12</v>
      </c>
      <c r="E20">
        <v>12595</v>
      </c>
      <c r="F20">
        <v>5168</v>
      </c>
      <c r="G20">
        <v>10</v>
      </c>
      <c r="H20">
        <v>7427</v>
      </c>
      <c r="I20" s="2">
        <f>sa_retail_sales[[#This Row],[Profit]] / sa_retail_sales[[#This Row],[Revenue]]</f>
        <v>0.58967844382691548</v>
      </c>
      <c r="J20">
        <f xml:space="preserve"> YEAR(sa_retail_sales[[#This Row],[Order Date]])</f>
        <v>2024</v>
      </c>
    </row>
    <row r="21" spans="1:10" x14ac:dyDescent="0.3">
      <c r="A21" s="1">
        <v>45418</v>
      </c>
      <c r="B21" t="s">
        <v>18</v>
      </c>
      <c r="C21" t="s">
        <v>9</v>
      </c>
      <c r="D21" t="s">
        <v>12</v>
      </c>
      <c r="E21">
        <v>4065</v>
      </c>
      <c r="F21">
        <v>312</v>
      </c>
      <c r="G21">
        <v>5</v>
      </c>
      <c r="H21">
        <v>3753</v>
      </c>
      <c r="I21" s="2">
        <f>sa_retail_sales[[#This Row],[Profit]] / sa_retail_sales[[#This Row],[Revenue]]</f>
        <v>0.92324723247232476</v>
      </c>
      <c r="J21">
        <f xml:space="preserve"> YEAR(sa_retail_sales[[#This Row],[Order Date]])</f>
        <v>2024</v>
      </c>
    </row>
    <row r="22" spans="1:10" x14ac:dyDescent="0.3">
      <c r="A22" s="1">
        <v>45036</v>
      </c>
      <c r="B22" t="s">
        <v>8</v>
      </c>
      <c r="C22" t="s">
        <v>14</v>
      </c>
      <c r="D22" t="s">
        <v>15</v>
      </c>
      <c r="E22">
        <v>10926</v>
      </c>
      <c r="F22">
        <v>8027</v>
      </c>
      <c r="G22">
        <v>0</v>
      </c>
      <c r="H22">
        <v>2899</v>
      </c>
      <c r="I22" s="2">
        <f>sa_retail_sales[[#This Row],[Profit]] / sa_retail_sales[[#This Row],[Revenue]]</f>
        <v>0.26533040453963025</v>
      </c>
      <c r="J22">
        <f xml:space="preserve"> YEAR(sa_retail_sales[[#This Row],[Order Date]])</f>
        <v>2023</v>
      </c>
    </row>
    <row r="23" spans="1:10" x14ac:dyDescent="0.3">
      <c r="A23" s="1">
        <v>45644</v>
      </c>
      <c r="B23" t="s">
        <v>11</v>
      </c>
      <c r="C23" t="s">
        <v>9</v>
      </c>
      <c r="D23" t="s">
        <v>15</v>
      </c>
      <c r="E23">
        <v>5093</v>
      </c>
      <c r="F23">
        <v>1220</v>
      </c>
      <c r="G23">
        <v>0</v>
      </c>
      <c r="H23">
        <v>3873</v>
      </c>
      <c r="I23" s="2">
        <f>sa_retail_sales[[#This Row],[Profit]] / sa_retail_sales[[#This Row],[Revenue]]</f>
        <v>0.76045552719418807</v>
      </c>
      <c r="J23">
        <f xml:space="preserve"> YEAR(sa_retail_sales[[#This Row],[Order Date]])</f>
        <v>2024</v>
      </c>
    </row>
    <row r="24" spans="1:10" x14ac:dyDescent="0.3">
      <c r="A24" s="1">
        <v>45072</v>
      </c>
      <c r="B24" t="s">
        <v>17</v>
      </c>
      <c r="C24" t="s">
        <v>13</v>
      </c>
      <c r="D24" t="s">
        <v>15</v>
      </c>
      <c r="E24">
        <v>1965</v>
      </c>
      <c r="F24">
        <v>5220</v>
      </c>
      <c r="G24">
        <v>5</v>
      </c>
      <c r="H24">
        <v>-3255</v>
      </c>
      <c r="I24" s="2">
        <f>sa_retail_sales[[#This Row],[Profit]] / sa_retail_sales[[#This Row],[Revenue]]</f>
        <v>-1.6564885496183206</v>
      </c>
      <c r="J24">
        <f xml:space="preserve"> YEAR(sa_retail_sales[[#This Row],[Order Date]])</f>
        <v>2023</v>
      </c>
    </row>
    <row r="25" spans="1:10" x14ac:dyDescent="0.3">
      <c r="A25" s="1">
        <v>45261</v>
      </c>
      <c r="B25" t="s">
        <v>11</v>
      </c>
      <c r="C25" t="s">
        <v>14</v>
      </c>
      <c r="D25" t="s">
        <v>19</v>
      </c>
      <c r="E25">
        <v>8821</v>
      </c>
      <c r="F25">
        <v>2718</v>
      </c>
      <c r="G25">
        <v>15</v>
      </c>
      <c r="H25">
        <v>6103</v>
      </c>
      <c r="I25" s="2">
        <f>sa_retail_sales[[#This Row],[Profit]] / sa_retail_sales[[#This Row],[Revenue]]</f>
        <v>0.69187166987869853</v>
      </c>
      <c r="J25">
        <f xml:space="preserve"> YEAR(sa_retail_sales[[#This Row],[Order Date]])</f>
        <v>2023</v>
      </c>
    </row>
    <row r="26" spans="1:10" x14ac:dyDescent="0.3">
      <c r="A26" s="1">
        <v>45537</v>
      </c>
      <c r="B26" t="s">
        <v>18</v>
      </c>
      <c r="C26" t="s">
        <v>13</v>
      </c>
      <c r="D26" t="s">
        <v>15</v>
      </c>
      <c r="E26">
        <v>5234</v>
      </c>
      <c r="F26">
        <v>9806</v>
      </c>
      <c r="G26">
        <v>20</v>
      </c>
      <c r="H26">
        <v>-4572</v>
      </c>
      <c r="I26" s="2">
        <f>sa_retail_sales[[#This Row],[Profit]] / sa_retail_sales[[#This Row],[Revenue]]</f>
        <v>-0.87351929690485286</v>
      </c>
      <c r="J26">
        <f xml:space="preserve"> YEAR(sa_retail_sales[[#This Row],[Order Date]])</f>
        <v>2024</v>
      </c>
    </row>
    <row r="27" spans="1:10" x14ac:dyDescent="0.3">
      <c r="A27" s="1">
        <v>44751</v>
      </c>
      <c r="B27" t="s">
        <v>17</v>
      </c>
      <c r="C27" t="s">
        <v>16</v>
      </c>
      <c r="D27" t="s">
        <v>19</v>
      </c>
      <c r="E27">
        <v>6757</v>
      </c>
      <c r="F27">
        <v>6775</v>
      </c>
      <c r="G27">
        <v>15</v>
      </c>
      <c r="H27">
        <v>-18</v>
      </c>
      <c r="I27" s="2">
        <f>sa_retail_sales[[#This Row],[Profit]] / sa_retail_sales[[#This Row],[Revenue]]</f>
        <v>-2.6639040994524197E-3</v>
      </c>
      <c r="J27">
        <f xml:space="preserve"> YEAR(sa_retail_sales[[#This Row],[Order Date]])</f>
        <v>2022</v>
      </c>
    </row>
    <row r="28" spans="1:10" x14ac:dyDescent="0.3">
      <c r="A28" s="1">
        <v>45519</v>
      </c>
      <c r="B28" t="s">
        <v>18</v>
      </c>
      <c r="C28" t="s">
        <v>9</v>
      </c>
      <c r="D28" t="s">
        <v>10</v>
      </c>
      <c r="E28">
        <v>7866</v>
      </c>
      <c r="F28">
        <v>2317</v>
      </c>
      <c r="G28">
        <v>0</v>
      </c>
      <c r="H28">
        <v>5549</v>
      </c>
      <c r="I28" s="2">
        <f>sa_retail_sales[[#This Row],[Profit]] / sa_retail_sales[[#This Row],[Revenue]]</f>
        <v>0.70544113907958306</v>
      </c>
      <c r="J28">
        <f xml:space="preserve"> YEAR(sa_retail_sales[[#This Row],[Order Date]])</f>
        <v>2024</v>
      </c>
    </row>
    <row r="29" spans="1:10" x14ac:dyDescent="0.3">
      <c r="A29" s="1">
        <v>45248</v>
      </c>
      <c r="B29" t="s">
        <v>11</v>
      </c>
      <c r="C29" t="s">
        <v>14</v>
      </c>
      <c r="D29" t="s">
        <v>12</v>
      </c>
      <c r="E29">
        <v>10752</v>
      </c>
      <c r="F29">
        <v>8257</v>
      </c>
      <c r="G29">
        <v>20</v>
      </c>
      <c r="H29">
        <v>2495</v>
      </c>
      <c r="I29" s="2">
        <f>sa_retail_sales[[#This Row],[Profit]] / sa_retail_sales[[#This Row],[Revenue]]</f>
        <v>0.23204985119047619</v>
      </c>
      <c r="J29">
        <f xml:space="preserve"> YEAR(sa_retail_sales[[#This Row],[Order Date]])</f>
        <v>2023</v>
      </c>
    </row>
    <row r="30" spans="1:10" x14ac:dyDescent="0.3">
      <c r="A30" s="1">
        <v>45519</v>
      </c>
      <c r="B30" t="s">
        <v>17</v>
      </c>
      <c r="C30" t="s">
        <v>13</v>
      </c>
      <c r="D30" t="s">
        <v>15</v>
      </c>
      <c r="E30">
        <v>4172</v>
      </c>
      <c r="F30">
        <v>9720</v>
      </c>
      <c r="G30">
        <v>10</v>
      </c>
      <c r="H30">
        <v>-5548</v>
      </c>
      <c r="I30" s="2">
        <f>sa_retail_sales[[#This Row],[Profit]] / sa_retail_sales[[#This Row],[Revenue]]</f>
        <v>-1.329817833173538</v>
      </c>
      <c r="J30">
        <f xml:space="preserve"> YEAR(sa_retail_sales[[#This Row],[Order Date]])</f>
        <v>2024</v>
      </c>
    </row>
    <row r="31" spans="1:10" x14ac:dyDescent="0.3">
      <c r="A31" s="1">
        <v>45124</v>
      </c>
      <c r="B31" t="s">
        <v>8</v>
      </c>
      <c r="C31" t="s">
        <v>9</v>
      </c>
      <c r="D31" t="s">
        <v>12</v>
      </c>
      <c r="E31">
        <v>7882</v>
      </c>
      <c r="F31">
        <v>5092</v>
      </c>
      <c r="G31">
        <v>20</v>
      </c>
      <c r="H31">
        <v>2790</v>
      </c>
      <c r="I31" s="2">
        <f>sa_retail_sales[[#This Row],[Profit]] / sa_retail_sales[[#This Row],[Revenue]]</f>
        <v>0.35397107333164174</v>
      </c>
      <c r="J31">
        <f xml:space="preserve"> YEAR(sa_retail_sales[[#This Row],[Order Date]])</f>
        <v>2023</v>
      </c>
    </row>
    <row r="32" spans="1:10" x14ac:dyDescent="0.3">
      <c r="A32" s="1">
        <v>45393</v>
      </c>
      <c r="B32" t="s">
        <v>8</v>
      </c>
      <c r="C32" t="s">
        <v>9</v>
      </c>
      <c r="D32" t="s">
        <v>12</v>
      </c>
      <c r="E32">
        <v>7087</v>
      </c>
      <c r="F32">
        <v>7130</v>
      </c>
      <c r="G32">
        <v>15</v>
      </c>
      <c r="H32">
        <v>-43</v>
      </c>
      <c r="I32" s="2">
        <f>sa_retail_sales[[#This Row],[Profit]] / sa_retail_sales[[#This Row],[Revenue]]</f>
        <v>-6.0674474389727671E-3</v>
      </c>
      <c r="J32">
        <f xml:space="preserve"> YEAR(sa_retail_sales[[#This Row],[Order Date]])</f>
        <v>2024</v>
      </c>
    </row>
    <row r="33" spans="1:10" x14ac:dyDescent="0.3">
      <c r="A33" s="1">
        <v>45208</v>
      </c>
      <c r="B33" t="s">
        <v>17</v>
      </c>
      <c r="C33" t="s">
        <v>16</v>
      </c>
      <c r="D33" t="s">
        <v>15</v>
      </c>
      <c r="E33">
        <v>11186</v>
      </c>
      <c r="F33">
        <v>2734</v>
      </c>
      <c r="G33">
        <v>5</v>
      </c>
      <c r="H33">
        <v>8452</v>
      </c>
      <c r="I33" s="2">
        <f>sa_retail_sales[[#This Row],[Profit]] / sa_retail_sales[[#This Row],[Revenue]]</f>
        <v>0.75558734131950656</v>
      </c>
      <c r="J33">
        <f xml:space="preserve"> YEAR(sa_retail_sales[[#This Row],[Order Date]])</f>
        <v>2023</v>
      </c>
    </row>
    <row r="34" spans="1:10" x14ac:dyDescent="0.3">
      <c r="A34" s="1">
        <v>44582</v>
      </c>
      <c r="B34" t="s">
        <v>17</v>
      </c>
      <c r="C34" t="s">
        <v>16</v>
      </c>
      <c r="D34" t="s">
        <v>15</v>
      </c>
      <c r="E34">
        <v>13773</v>
      </c>
      <c r="F34">
        <v>3168</v>
      </c>
      <c r="G34">
        <v>10</v>
      </c>
      <c r="H34">
        <v>10605</v>
      </c>
      <c r="I34" s="2">
        <f>sa_retail_sales[[#This Row],[Profit]] / sa_retail_sales[[#This Row],[Revenue]]</f>
        <v>0.76998475277717271</v>
      </c>
      <c r="J34">
        <f xml:space="preserve"> YEAR(sa_retail_sales[[#This Row],[Order Date]])</f>
        <v>2022</v>
      </c>
    </row>
    <row r="35" spans="1:10" x14ac:dyDescent="0.3">
      <c r="A35" s="1">
        <v>45402</v>
      </c>
      <c r="B35" t="s">
        <v>18</v>
      </c>
      <c r="C35" t="s">
        <v>9</v>
      </c>
      <c r="D35" t="s">
        <v>10</v>
      </c>
      <c r="E35">
        <v>1492</v>
      </c>
      <c r="F35">
        <v>11007</v>
      </c>
      <c r="G35">
        <v>15</v>
      </c>
      <c r="H35">
        <v>-9515</v>
      </c>
      <c r="I35" s="2">
        <f>sa_retail_sales[[#This Row],[Profit]] / sa_retail_sales[[#This Row],[Revenue]]</f>
        <v>-6.3773458445040214</v>
      </c>
      <c r="J35">
        <f xml:space="preserve"> YEAR(sa_retail_sales[[#This Row],[Order Date]])</f>
        <v>2024</v>
      </c>
    </row>
    <row r="36" spans="1:10" x14ac:dyDescent="0.3">
      <c r="A36" s="1">
        <v>44728</v>
      </c>
      <c r="B36" t="s">
        <v>17</v>
      </c>
      <c r="C36" t="s">
        <v>9</v>
      </c>
      <c r="D36" t="s">
        <v>19</v>
      </c>
      <c r="E36">
        <v>7358</v>
      </c>
      <c r="F36">
        <v>1738</v>
      </c>
      <c r="G36">
        <v>10</v>
      </c>
      <c r="H36">
        <v>5620</v>
      </c>
      <c r="I36" s="2">
        <f>sa_retail_sales[[#This Row],[Profit]] / sa_retail_sales[[#This Row],[Revenue]]</f>
        <v>0.76379450937754823</v>
      </c>
      <c r="J36">
        <f xml:space="preserve"> YEAR(sa_retail_sales[[#This Row],[Order Date]])</f>
        <v>2022</v>
      </c>
    </row>
    <row r="37" spans="1:10" x14ac:dyDescent="0.3">
      <c r="A37" s="1">
        <v>44949</v>
      </c>
      <c r="B37" t="s">
        <v>18</v>
      </c>
      <c r="C37" t="s">
        <v>14</v>
      </c>
      <c r="D37" t="s">
        <v>19</v>
      </c>
      <c r="E37">
        <v>2621</v>
      </c>
      <c r="F37">
        <v>3843</v>
      </c>
      <c r="G37">
        <v>20</v>
      </c>
      <c r="H37">
        <v>-1222</v>
      </c>
      <c r="I37" s="2">
        <f>sa_retail_sales[[#This Row],[Profit]] / sa_retail_sales[[#This Row],[Revenue]]</f>
        <v>-0.46623426173216331</v>
      </c>
      <c r="J37">
        <f xml:space="preserve"> YEAR(sa_retail_sales[[#This Row],[Order Date]])</f>
        <v>2023</v>
      </c>
    </row>
    <row r="38" spans="1:10" x14ac:dyDescent="0.3">
      <c r="A38" s="1">
        <v>45162</v>
      </c>
      <c r="B38" t="s">
        <v>11</v>
      </c>
      <c r="C38" t="s">
        <v>9</v>
      </c>
      <c r="D38" t="s">
        <v>12</v>
      </c>
      <c r="E38">
        <v>11276</v>
      </c>
      <c r="F38">
        <v>11667</v>
      </c>
      <c r="G38">
        <v>0</v>
      </c>
      <c r="H38">
        <v>-391</v>
      </c>
      <c r="I38" s="2">
        <f>sa_retail_sales[[#This Row],[Profit]] / sa_retail_sales[[#This Row],[Revenue]]</f>
        <v>-3.4675416814473219E-2</v>
      </c>
      <c r="J38">
        <f xml:space="preserve"> YEAR(sa_retail_sales[[#This Row],[Order Date]])</f>
        <v>2023</v>
      </c>
    </row>
    <row r="39" spans="1:10" x14ac:dyDescent="0.3">
      <c r="A39" s="1">
        <v>44877</v>
      </c>
      <c r="B39" t="s">
        <v>18</v>
      </c>
      <c r="C39" t="s">
        <v>14</v>
      </c>
      <c r="D39" t="s">
        <v>15</v>
      </c>
      <c r="E39">
        <v>12888</v>
      </c>
      <c r="F39">
        <v>2081</v>
      </c>
      <c r="G39">
        <v>15</v>
      </c>
      <c r="H39">
        <v>10807</v>
      </c>
      <c r="I39" s="2">
        <f>sa_retail_sales[[#This Row],[Profit]] / sa_retail_sales[[#This Row],[Revenue]]</f>
        <v>0.83853196772191185</v>
      </c>
      <c r="J39">
        <f xml:space="preserve"> YEAR(sa_retail_sales[[#This Row],[Order Date]])</f>
        <v>2022</v>
      </c>
    </row>
    <row r="40" spans="1:10" x14ac:dyDescent="0.3">
      <c r="A40" s="1">
        <v>44575</v>
      </c>
      <c r="B40" t="s">
        <v>17</v>
      </c>
      <c r="C40" t="s">
        <v>9</v>
      </c>
      <c r="D40" t="s">
        <v>10</v>
      </c>
      <c r="E40">
        <v>2723</v>
      </c>
      <c r="F40">
        <v>6643</v>
      </c>
      <c r="G40">
        <v>5</v>
      </c>
      <c r="H40">
        <v>-3920</v>
      </c>
      <c r="I40" s="2">
        <f>sa_retail_sales[[#This Row],[Profit]] / sa_retail_sales[[#This Row],[Revenue]]</f>
        <v>-1.4395886889460154</v>
      </c>
      <c r="J40">
        <f xml:space="preserve"> YEAR(sa_retail_sales[[#This Row],[Order Date]])</f>
        <v>2022</v>
      </c>
    </row>
    <row r="41" spans="1:10" x14ac:dyDescent="0.3">
      <c r="A41" s="1">
        <v>44803</v>
      </c>
      <c r="B41" t="s">
        <v>17</v>
      </c>
      <c r="C41" t="s">
        <v>16</v>
      </c>
      <c r="D41" t="s">
        <v>10</v>
      </c>
      <c r="E41">
        <v>5022</v>
      </c>
      <c r="F41">
        <v>2563</v>
      </c>
      <c r="G41">
        <v>20</v>
      </c>
      <c r="H41">
        <v>2459</v>
      </c>
      <c r="I41" s="2">
        <f>sa_retail_sales[[#This Row],[Profit]] / sa_retail_sales[[#This Row],[Revenue]]</f>
        <v>0.48964555953803268</v>
      </c>
      <c r="J41">
        <f xml:space="preserve"> YEAR(sa_retail_sales[[#This Row],[Order Date]])</f>
        <v>2022</v>
      </c>
    </row>
    <row r="42" spans="1:10" x14ac:dyDescent="0.3">
      <c r="A42" s="1">
        <v>45338</v>
      </c>
      <c r="B42" t="s">
        <v>11</v>
      </c>
      <c r="C42" t="s">
        <v>14</v>
      </c>
      <c r="D42" t="s">
        <v>10</v>
      </c>
      <c r="E42">
        <v>3688</v>
      </c>
      <c r="F42">
        <v>10461</v>
      </c>
      <c r="G42">
        <v>15</v>
      </c>
      <c r="H42">
        <v>-6773</v>
      </c>
      <c r="I42" s="2">
        <f>sa_retail_sales[[#This Row],[Profit]] / sa_retail_sales[[#This Row],[Revenue]]</f>
        <v>-1.8364967462039046</v>
      </c>
      <c r="J42">
        <f xml:space="preserve"> YEAR(sa_retail_sales[[#This Row],[Order Date]])</f>
        <v>2024</v>
      </c>
    </row>
    <row r="43" spans="1:10" x14ac:dyDescent="0.3">
      <c r="A43" s="1">
        <v>45126</v>
      </c>
      <c r="B43" t="s">
        <v>17</v>
      </c>
      <c r="C43" t="s">
        <v>13</v>
      </c>
      <c r="D43" t="s">
        <v>10</v>
      </c>
      <c r="E43">
        <v>3737</v>
      </c>
      <c r="F43">
        <v>511</v>
      </c>
      <c r="G43">
        <v>5</v>
      </c>
      <c r="H43">
        <v>3226</v>
      </c>
      <c r="I43" s="2">
        <f>sa_retail_sales[[#This Row],[Profit]] / sa_retail_sales[[#This Row],[Revenue]]</f>
        <v>0.86325929890286324</v>
      </c>
      <c r="J43">
        <f xml:space="preserve"> YEAR(sa_retail_sales[[#This Row],[Order Date]])</f>
        <v>2023</v>
      </c>
    </row>
    <row r="44" spans="1:10" x14ac:dyDescent="0.3">
      <c r="A44" s="1">
        <v>45459</v>
      </c>
      <c r="B44" t="s">
        <v>17</v>
      </c>
      <c r="C44" t="s">
        <v>16</v>
      </c>
      <c r="D44" t="s">
        <v>10</v>
      </c>
      <c r="E44">
        <v>4636</v>
      </c>
      <c r="F44">
        <v>8999</v>
      </c>
      <c r="G44">
        <v>15</v>
      </c>
      <c r="H44">
        <v>-4363</v>
      </c>
      <c r="I44" s="2">
        <f>sa_retail_sales[[#This Row],[Profit]] / sa_retail_sales[[#This Row],[Revenue]]</f>
        <v>-0.94111302847282141</v>
      </c>
      <c r="J44">
        <f xml:space="preserve"> YEAR(sa_retail_sales[[#This Row],[Order Date]])</f>
        <v>2024</v>
      </c>
    </row>
    <row r="45" spans="1:10" x14ac:dyDescent="0.3">
      <c r="A45" s="1">
        <v>44653</v>
      </c>
      <c r="B45" t="s">
        <v>8</v>
      </c>
      <c r="C45" t="s">
        <v>14</v>
      </c>
      <c r="D45" t="s">
        <v>19</v>
      </c>
      <c r="E45">
        <v>13216</v>
      </c>
      <c r="F45">
        <v>6459</v>
      </c>
      <c r="G45">
        <v>20</v>
      </c>
      <c r="H45">
        <v>6757</v>
      </c>
      <c r="I45" s="2">
        <f>sa_retail_sales[[#This Row],[Profit]] / sa_retail_sales[[#This Row],[Revenue]]</f>
        <v>0.51127421307506049</v>
      </c>
      <c r="J45">
        <f xml:space="preserve"> YEAR(sa_retail_sales[[#This Row],[Order Date]])</f>
        <v>2022</v>
      </c>
    </row>
    <row r="46" spans="1:10" x14ac:dyDescent="0.3">
      <c r="A46" s="1">
        <v>45517</v>
      </c>
      <c r="B46" t="s">
        <v>8</v>
      </c>
      <c r="C46" t="s">
        <v>14</v>
      </c>
      <c r="D46" t="s">
        <v>19</v>
      </c>
      <c r="E46">
        <v>843</v>
      </c>
      <c r="F46">
        <v>7327</v>
      </c>
      <c r="G46">
        <v>15</v>
      </c>
      <c r="H46">
        <v>-6484</v>
      </c>
      <c r="I46" s="2">
        <f>sa_retail_sales[[#This Row],[Profit]] / sa_retail_sales[[#This Row],[Revenue]]</f>
        <v>-7.6915776986951361</v>
      </c>
      <c r="J46">
        <f xml:space="preserve"> YEAR(sa_retail_sales[[#This Row],[Order Date]])</f>
        <v>2024</v>
      </c>
    </row>
    <row r="47" spans="1:10" x14ac:dyDescent="0.3">
      <c r="A47" s="1">
        <v>45070</v>
      </c>
      <c r="B47" t="s">
        <v>11</v>
      </c>
      <c r="C47" t="s">
        <v>13</v>
      </c>
      <c r="D47" t="s">
        <v>19</v>
      </c>
      <c r="E47">
        <v>13153</v>
      </c>
      <c r="F47">
        <v>631</v>
      </c>
      <c r="G47">
        <v>10</v>
      </c>
      <c r="H47">
        <v>12522</v>
      </c>
      <c r="I47" s="2">
        <f>sa_retail_sales[[#This Row],[Profit]] / sa_retail_sales[[#This Row],[Revenue]]</f>
        <v>0.95202615372918731</v>
      </c>
      <c r="J47">
        <f xml:space="preserve"> YEAR(sa_retail_sales[[#This Row],[Order Date]])</f>
        <v>2023</v>
      </c>
    </row>
    <row r="48" spans="1:10" x14ac:dyDescent="0.3">
      <c r="A48" s="1">
        <v>45337</v>
      </c>
      <c r="B48" t="s">
        <v>18</v>
      </c>
      <c r="C48" t="s">
        <v>14</v>
      </c>
      <c r="D48" t="s">
        <v>15</v>
      </c>
      <c r="E48">
        <v>5204</v>
      </c>
      <c r="F48">
        <v>7160</v>
      </c>
      <c r="G48">
        <v>20</v>
      </c>
      <c r="H48">
        <v>-1956</v>
      </c>
      <c r="I48" s="2">
        <f>sa_retail_sales[[#This Row],[Profit]] / sa_retail_sales[[#This Row],[Revenue]]</f>
        <v>-0.37586471944657956</v>
      </c>
      <c r="J48">
        <f xml:space="preserve"> YEAR(sa_retail_sales[[#This Row],[Order Date]])</f>
        <v>2024</v>
      </c>
    </row>
    <row r="49" spans="1:10" x14ac:dyDescent="0.3">
      <c r="A49" s="1">
        <v>44596</v>
      </c>
      <c r="B49" t="s">
        <v>8</v>
      </c>
      <c r="C49" t="s">
        <v>9</v>
      </c>
      <c r="D49" t="s">
        <v>12</v>
      </c>
      <c r="E49">
        <v>5323</v>
      </c>
      <c r="F49">
        <v>8344</v>
      </c>
      <c r="G49">
        <v>15</v>
      </c>
      <c r="H49">
        <v>-3021</v>
      </c>
      <c r="I49" s="2">
        <f>sa_retail_sales[[#This Row],[Profit]] / sa_retail_sales[[#This Row],[Revenue]]</f>
        <v>-0.56753710313732852</v>
      </c>
      <c r="J49">
        <f xml:space="preserve"> YEAR(sa_retail_sales[[#This Row],[Order Date]])</f>
        <v>2022</v>
      </c>
    </row>
    <row r="50" spans="1:10" x14ac:dyDescent="0.3">
      <c r="A50" s="1">
        <v>44767</v>
      </c>
      <c r="B50" t="s">
        <v>18</v>
      </c>
      <c r="C50" t="s">
        <v>13</v>
      </c>
      <c r="D50" t="s">
        <v>10</v>
      </c>
      <c r="E50">
        <v>10968</v>
      </c>
      <c r="F50">
        <v>8469</v>
      </c>
      <c r="G50">
        <v>0</v>
      </c>
      <c r="H50">
        <v>2499</v>
      </c>
      <c r="I50" s="2">
        <f>sa_retail_sales[[#This Row],[Profit]] / sa_retail_sales[[#This Row],[Revenue]]</f>
        <v>0.22784463894967177</v>
      </c>
      <c r="J50">
        <f xml:space="preserve"> YEAR(sa_retail_sales[[#This Row],[Order Date]])</f>
        <v>2022</v>
      </c>
    </row>
    <row r="51" spans="1:10" x14ac:dyDescent="0.3">
      <c r="A51" s="1">
        <v>45587</v>
      </c>
      <c r="B51" t="s">
        <v>17</v>
      </c>
      <c r="C51" t="s">
        <v>16</v>
      </c>
      <c r="D51" t="s">
        <v>15</v>
      </c>
      <c r="E51">
        <v>5420</v>
      </c>
      <c r="F51">
        <v>9042</v>
      </c>
      <c r="G51">
        <v>15</v>
      </c>
      <c r="H51">
        <v>-3622</v>
      </c>
      <c r="I51" s="2">
        <f>sa_retail_sales[[#This Row],[Profit]] / sa_retail_sales[[#This Row],[Revenue]]</f>
        <v>-0.66826568265682662</v>
      </c>
      <c r="J51">
        <f xml:space="preserve"> YEAR(sa_retail_sales[[#This Row],[Order Date]])</f>
        <v>2024</v>
      </c>
    </row>
    <row r="52" spans="1:10" x14ac:dyDescent="0.3">
      <c r="A52" s="1">
        <v>45583</v>
      </c>
      <c r="B52" t="s">
        <v>8</v>
      </c>
      <c r="C52" t="s">
        <v>16</v>
      </c>
      <c r="D52" t="s">
        <v>10</v>
      </c>
      <c r="E52">
        <v>3701</v>
      </c>
      <c r="F52">
        <v>6020</v>
      </c>
      <c r="G52">
        <v>10</v>
      </c>
      <c r="H52">
        <v>-2319</v>
      </c>
      <c r="I52" s="2">
        <f>sa_retail_sales[[#This Row],[Profit]] / sa_retail_sales[[#This Row],[Revenue]]</f>
        <v>-0.62658740880843011</v>
      </c>
      <c r="J52">
        <f xml:space="preserve"> YEAR(sa_retail_sales[[#This Row],[Order Date]])</f>
        <v>2024</v>
      </c>
    </row>
    <row r="53" spans="1:10" x14ac:dyDescent="0.3">
      <c r="A53" s="1">
        <v>45127</v>
      </c>
      <c r="B53" t="s">
        <v>11</v>
      </c>
      <c r="C53" t="s">
        <v>9</v>
      </c>
      <c r="D53" t="s">
        <v>19</v>
      </c>
      <c r="E53">
        <v>5971</v>
      </c>
      <c r="F53">
        <v>9433</v>
      </c>
      <c r="G53">
        <v>5</v>
      </c>
      <c r="H53">
        <v>-3462</v>
      </c>
      <c r="I53" s="2">
        <f>sa_retail_sales[[#This Row],[Profit]] / sa_retail_sales[[#This Row],[Revenue]]</f>
        <v>-0.57980237816111202</v>
      </c>
      <c r="J53">
        <f xml:space="preserve"> YEAR(sa_retail_sales[[#This Row],[Order Date]])</f>
        <v>2023</v>
      </c>
    </row>
    <row r="54" spans="1:10" x14ac:dyDescent="0.3">
      <c r="A54" s="1">
        <v>45264</v>
      </c>
      <c r="B54" t="s">
        <v>11</v>
      </c>
      <c r="C54" t="s">
        <v>16</v>
      </c>
      <c r="D54" t="s">
        <v>15</v>
      </c>
      <c r="E54">
        <v>1388</v>
      </c>
      <c r="F54">
        <v>1027</v>
      </c>
      <c r="G54">
        <v>5</v>
      </c>
      <c r="H54">
        <v>361</v>
      </c>
      <c r="I54" s="2">
        <f>sa_retail_sales[[#This Row],[Profit]] / sa_retail_sales[[#This Row],[Revenue]]</f>
        <v>0.26008645533141211</v>
      </c>
      <c r="J54">
        <f xml:space="preserve"> YEAR(sa_retail_sales[[#This Row],[Order Date]])</f>
        <v>2023</v>
      </c>
    </row>
    <row r="55" spans="1:10" x14ac:dyDescent="0.3">
      <c r="A55" s="1">
        <v>44963</v>
      </c>
      <c r="B55" t="s">
        <v>11</v>
      </c>
      <c r="C55" t="s">
        <v>14</v>
      </c>
      <c r="D55" t="s">
        <v>19</v>
      </c>
      <c r="E55">
        <v>10735</v>
      </c>
      <c r="F55">
        <v>5275</v>
      </c>
      <c r="G55">
        <v>5</v>
      </c>
      <c r="H55">
        <v>5460</v>
      </c>
      <c r="I55" s="2">
        <f>sa_retail_sales[[#This Row],[Profit]] / sa_retail_sales[[#This Row],[Revenue]]</f>
        <v>0.50861667442943648</v>
      </c>
      <c r="J55">
        <f xml:space="preserve"> YEAR(sa_retail_sales[[#This Row],[Order Date]])</f>
        <v>2023</v>
      </c>
    </row>
    <row r="56" spans="1:10" x14ac:dyDescent="0.3">
      <c r="A56" s="1">
        <v>45291</v>
      </c>
      <c r="B56" t="s">
        <v>8</v>
      </c>
      <c r="C56" t="s">
        <v>14</v>
      </c>
      <c r="D56" t="s">
        <v>10</v>
      </c>
      <c r="E56">
        <v>10033</v>
      </c>
      <c r="F56">
        <v>11354</v>
      </c>
      <c r="G56">
        <v>0</v>
      </c>
      <c r="H56">
        <v>-1321</v>
      </c>
      <c r="I56" s="2">
        <f>sa_retail_sales[[#This Row],[Profit]] / sa_retail_sales[[#This Row],[Revenue]]</f>
        <v>-0.1316655038373368</v>
      </c>
      <c r="J56">
        <f xml:space="preserve"> YEAR(sa_retail_sales[[#This Row],[Order Date]])</f>
        <v>2023</v>
      </c>
    </row>
    <row r="57" spans="1:10" x14ac:dyDescent="0.3">
      <c r="A57" s="1">
        <v>44723</v>
      </c>
      <c r="B57" t="s">
        <v>18</v>
      </c>
      <c r="C57" t="s">
        <v>9</v>
      </c>
      <c r="D57" t="s">
        <v>10</v>
      </c>
      <c r="E57">
        <v>7627</v>
      </c>
      <c r="F57">
        <v>3543</v>
      </c>
      <c r="G57">
        <v>10</v>
      </c>
      <c r="H57">
        <v>4084</v>
      </c>
      <c r="I57" s="2">
        <f>sa_retail_sales[[#This Row],[Profit]] / sa_retail_sales[[#This Row],[Revenue]]</f>
        <v>0.53546610725055721</v>
      </c>
      <c r="J57">
        <f xml:space="preserve"> YEAR(sa_retail_sales[[#This Row],[Order Date]])</f>
        <v>2022</v>
      </c>
    </row>
    <row r="58" spans="1:10" x14ac:dyDescent="0.3">
      <c r="A58" s="1">
        <v>44763</v>
      </c>
      <c r="B58" t="s">
        <v>17</v>
      </c>
      <c r="C58" t="s">
        <v>16</v>
      </c>
      <c r="D58" t="s">
        <v>12</v>
      </c>
      <c r="E58">
        <v>4220</v>
      </c>
      <c r="F58">
        <v>948</v>
      </c>
      <c r="G58">
        <v>20</v>
      </c>
      <c r="H58">
        <v>3272</v>
      </c>
      <c r="I58" s="2">
        <f>sa_retail_sales[[#This Row],[Profit]] / sa_retail_sales[[#This Row],[Revenue]]</f>
        <v>0.77535545023696684</v>
      </c>
      <c r="J58">
        <f xml:space="preserve"> YEAR(sa_retail_sales[[#This Row],[Order Date]])</f>
        <v>2022</v>
      </c>
    </row>
    <row r="59" spans="1:10" x14ac:dyDescent="0.3">
      <c r="A59" s="1">
        <v>45557</v>
      </c>
      <c r="B59" t="s">
        <v>18</v>
      </c>
      <c r="C59" t="s">
        <v>16</v>
      </c>
      <c r="D59" t="s">
        <v>10</v>
      </c>
      <c r="E59">
        <v>3383</v>
      </c>
      <c r="F59">
        <v>5395</v>
      </c>
      <c r="G59">
        <v>5</v>
      </c>
      <c r="H59">
        <v>-2012</v>
      </c>
      <c r="I59" s="2">
        <f>sa_retail_sales[[#This Row],[Profit]] / sa_retail_sales[[#This Row],[Revenue]]</f>
        <v>-0.59473839787171145</v>
      </c>
      <c r="J59">
        <f xml:space="preserve"> YEAR(sa_retail_sales[[#This Row],[Order Date]])</f>
        <v>2024</v>
      </c>
    </row>
    <row r="60" spans="1:10" x14ac:dyDescent="0.3">
      <c r="A60" s="1">
        <v>44831</v>
      </c>
      <c r="B60" t="s">
        <v>18</v>
      </c>
      <c r="C60" t="s">
        <v>9</v>
      </c>
      <c r="D60" t="s">
        <v>19</v>
      </c>
      <c r="E60">
        <v>14084</v>
      </c>
      <c r="F60">
        <v>6914</v>
      </c>
      <c r="G60">
        <v>10</v>
      </c>
      <c r="H60">
        <v>7170</v>
      </c>
      <c r="I60" s="2">
        <f>sa_retail_sales[[#This Row],[Profit]] / sa_retail_sales[[#This Row],[Revenue]]</f>
        <v>0.50908832717977848</v>
      </c>
      <c r="J60">
        <f xml:space="preserve"> YEAR(sa_retail_sales[[#This Row],[Order Date]])</f>
        <v>2022</v>
      </c>
    </row>
    <row r="61" spans="1:10" x14ac:dyDescent="0.3">
      <c r="A61" s="1">
        <v>45377</v>
      </c>
      <c r="B61" t="s">
        <v>17</v>
      </c>
      <c r="C61" t="s">
        <v>13</v>
      </c>
      <c r="D61" t="s">
        <v>10</v>
      </c>
      <c r="E61">
        <v>4712</v>
      </c>
      <c r="F61">
        <v>11229</v>
      </c>
      <c r="G61">
        <v>15</v>
      </c>
      <c r="H61">
        <v>-6517</v>
      </c>
      <c r="I61" s="2">
        <f>sa_retail_sales[[#This Row],[Profit]] / sa_retail_sales[[#This Row],[Revenue]]</f>
        <v>-1.3830645161290323</v>
      </c>
      <c r="J61">
        <f xml:space="preserve"> YEAR(sa_retail_sales[[#This Row],[Order Date]])</f>
        <v>2024</v>
      </c>
    </row>
    <row r="62" spans="1:10" x14ac:dyDescent="0.3">
      <c r="A62" s="1">
        <v>45017</v>
      </c>
      <c r="B62" t="s">
        <v>17</v>
      </c>
      <c r="C62" t="s">
        <v>16</v>
      </c>
      <c r="D62" t="s">
        <v>12</v>
      </c>
      <c r="E62">
        <v>7461</v>
      </c>
      <c r="F62">
        <v>11239</v>
      </c>
      <c r="G62">
        <v>0</v>
      </c>
      <c r="H62">
        <v>-3778</v>
      </c>
      <c r="I62" s="2">
        <f>sa_retail_sales[[#This Row],[Profit]] / sa_retail_sales[[#This Row],[Revenue]]</f>
        <v>-0.50636643881517218</v>
      </c>
      <c r="J62">
        <f xml:space="preserve"> YEAR(sa_retail_sales[[#This Row],[Order Date]])</f>
        <v>2023</v>
      </c>
    </row>
    <row r="63" spans="1:10" x14ac:dyDescent="0.3">
      <c r="A63" s="1">
        <v>45578</v>
      </c>
      <c r="B63" t="s">
        <v>8</v>
      </c>
      <c r="C63" t="s">
        <v>13</v>
      </c>
      <c r="D63" t="s">
        <v>12</v>
      </c>
      <c r="E63">
        <v>2915</v>
      </c>
      <c r="F63">
        <v>7435</v>
      </c>
      <c r="G63">
        <v>10</v>
      </c>
      <c r="H63">
        <v>-4520</v>
      </c>
      <c r="I63" s="2">
        <f>sa_retail_sales[[#This Row],[Profit]] / sa_retail_sales[[#This Row],[Revenue]]</f>
        <v>-1.5506003430531732</v>
      </c>
      <c r="J63">
        <f xml:space="preserve"> YEAR(sa_retail_sales[[#This Row],[Order Date]])</f>
        <v>2024</v>
      </c>
    </row>
    <row r="64" spans="1:10" x14ac:dyDescent="0.3">
      <c r="A64" s="1">
        <v>44857</v>
      </c>
      <c r="B64" t="s">
        <v>8</v>
      </c>
      <c r="C64" t="s">
        <v>16</v>
      </c>
      <c r="D64" t="s">
        <v>19</v>
      </c>
      <c r="E64">
        <v>9809</v>
      </c>
      <c r="F64">
        <v>1309</v>
      </c>
      <c r="G64">
        <v>10</v>
      </c>
      <c r="H64">
        <v>8500</v>
      </c>
      <c r="I64" s="2">
        <f>sa_retail_sales[[#This Row],[Profit]] / sa_retail_sales[[#This Row],[Revenue]]</f>
        <v>0.86655112651646449</v>
      </c>
      <c r="J64">
        <f xml:space="preserve"> YEAR(sa_retail_sales[[#This Row],[Order Date]])</f>
        <v>2022</v>
      </c>
    </row>
    <row r="65" spans="1:10" x14ac:dyDescent="0.3">
      <c r="A65" s="1">
        <v>45281</v>
      </c>
      <c r="B65" t="s">
        <v>8</v>
      </c>
      <c r="C65" t="s">
        <v>16</v>
      </c>
      <c r="D65" t="s">
        <v>15</v>
      </c>
      <c r="E65">
        <v>12955</v>
      </c>
      <c r="F65">
        <v>1850</v>
      </c>
      <c r="G65">
        <v>20</v>
      </c>
      <c r="H65">
        <v>11105</v>
      </c>
      <c r="I65" s="2">
        <f>sa_retail_sales[[#This Row],[Profit]] / sa_retail_sales[[#This Row],[Revenue]]</f>
        <v>0.85719799305287536</v>
      </c>
      <c r="J65">
        <f xml:space="preserve"> YEAR(sa_retail_sales[[#This Row],[Order Date]])</f>
        <v>2023</v>
      </c>
    </row>
    <row r="66" spans="1:10" x14ac:dyDescent="0.3">
      <c r="A66" s="1">
        <v>44899</v>
      </c>
      <c r="B66" t="s">
        <v>8</v>
      </c>
      <c r="C66" t="s">
        <v>16</v>
      </c>
      <c r="D66" t="s">
        <v>10</v>
      </c>
      <c r="E66">
        <v>3501</v>
      </c>
      <c r="F66">
        <v>9295</v>
      </c>
      <c r="G66">
        <v>10</v>
      </c>
      <c r="H66">
        <v>-5794</v>
      </c>
      <c r="I66" s="2">
        <f>sa_retail_sales[[#This Row],[Profit]] / sa_retail_sales[[#This Row],[Revenue]]</f>
        <v>-1.6549557269351614</v>
      </c>
      <c r="J66">
        <f xml:space="preserve"> YEAR(sa_retail_sales[[#This Row],[Order Date]])</f>
        <v>2022</v>
      </c>
    </row>
    <row r="67" spans="1:10" x14ac:dyDescent="0.3">
      <c r="A67" s="1">
        <v>45440</v>
      </c>
      <c r="B67" t="s">
        <v>8</v>
      </c>
      <c r="C67" t="s">
        <v>16</v>
      </c>
      <c r="D67" t="s">
        <v>12</v>
      </c>
      <c r="E67">
        <v>2238</v>
      </c>
      <c r="F67">
        <v>7792</v>
      </c>
      <c r="G67">
        <v>20</v>
      </c>
      <c r="H67">
        <v>-5554</v>
      </c>
      <c r="I67" s="2">
        <f>sa_retail_sales[[#This Row],[Profit]] / sa_retail_sales[[#This Row],[Revenue]]</f>
        <v>-2.4816800714924039</v>
      </c>
      <c r="J67">
        <f xml:space="preserve"> YEAR(sa_retail_sales[[#This Row],[Order Date]])</f>
        <v>2024</v>
      </c>
    </row>
    <row r="68" spans="1:10" x14ac:dyDescent="0.3">
      <c r="A68" s="1">
        <v>45638</v>
      </c>
      <c r="B68" t="s">
        <v>17</v>
      </c>
      <c r="C68" t="s">
        <v>14</v>
      </c>
      <c r="D68" t="s">
        <v>10</v>
      </c>
      <c r="E68">
        <v>1864</v>
      </c>
      <c r="F68">
        <v>3701</v>
      </c>
      <c r="G68">
        <v>0</v>
      </c>
      <c r="H68">
        <v>-1837</v>
      </c>
      <c r="I68" s="2">
        <f>sa_retail_sales[[#This Row],[Profit]] / sa_retail_sales[[#This Row],[Revenue]]</f>
        <v>-0.98551502145922742</v>
      </c>
      <c r="J68">
        <f xml:space="preserve"> YEAR(sa_retail_sales[[#This Row],[Order Date]])</f>
        <v>2024</v>
      </c>
    </row>
    <row r="69" spans="1:10" x14ac:dyDescent="0.3">
      <c r="A69" s="1">
        <v>45353</v>
      </c>
      <c r="B69" t="s">
        <v>18</v>
      </c>
      <c r="C69" t="s">
        <v>13</v>
      </c>
      <c r="D69" t="s">
        <v>10</v>
      </c>
      <c r="E69">
        <v>3208</v>
      </c>
      <c r="F69">
        <v>7747</v>
      </c>
      <c r="G69">
        <v>0</v>
      </c>
      <c r="H69">
        <v>-4539</v>
      </c>
      <c r="I69" s="2">
        <f>sa_retail_sales[[#This Row],[Profit]] / sa_retail_sales[[#This Row],[Revenue]]</f>
        <v>-1.4149002493765586</v>
      </c>
      <c r="J69">
        <f xml:space="preserve"> YEAR(sa_retail_sales[[#This Row],[Order Date]])</f>
        <v>2024</v>
      </c>
    </row>
    <row r="70" spans="1:10" x14ac:dyDescent="0.3">
      <c r="A70" s="1">
        <v>44778</v>
      </c>
      <c r="B70" t="s">
        <v>8</v>
      </c>
      <c r="C70" t="s">
        <v>13</v>
      </c>
      <c r="D70" t="s">
        <v>15</v>
      </c>
      <c r="E70">
        <v>13482</v>
      </c>
      <c r="F70">
        <v>5724</v>
      </c>
      <c r="G70">
        <v>15</v>
      </c>
      <c r="H70">
        <v>7758</v>
      </c>
      <c r="I70" s="2">
        <f>sa_retail_sales[[#This Row],[Profit]] / sa_retail_sales[[#This Row],[Revenue]]</f>
        <v>0.57543391188251003</v>
      </c>
      <c r="J70">
        <f xml:space="preserve"> YEAR(sa_retail_sales[[#This Row],[Order Date]])</f>
        <v>2022</v>
      </c>
    </row>
    <row r="71" spans="1:10" x14ac:dyDescent="0.3">
      <c r="A71" s="1">
        <v>45325</v>
      </c>
      <c r="B71" t="s">
        <v>8</v>
      </c>
      <c r="C71" t="s">
        <v>16</v>
      </c>
      <c r="D71" t="s">
        <v>12</v>
      </c>
      <c r="E71">
        <v>1424</v>
      </c>
      <c r="F71">
        <v>4541</v>
      </c>
      <c r="G71">
        <v>20</v>
      </c>
      <c r="H71">
        <v>-3117</v>
      </c>
      <c r="I71" s="2">
        <f>sa_retail_sales[[#This Row],[Profit]] / sa_retail_sales[[#This Row],[Revenue]]</f>
        <v>-2.1889044943820224</v>
      </c>
      <c r="J71">
        <f xml:space="preserve"> YEAR(sa_retail_sales[[#This Row],[Order Date]])</f>
        <v>2024</v>
      </c>
    </row>
    <row r="72" spans="1:10" x14ac:dyDescent="0.3">
      <c r="A72" s="1">
        <v>44749</v>
      </c>
      <c r="B72" t="s">
        <v>18</v>
      </c>
      <c r="C72" t="s">
        <v>16</v>
      </c>
      <c r="D72" t="s">
        <v>10</v>
      </c>
      <c r="E72">
        <v>651</v>
      </c>
      <c r="F72">
        <v>3461</v>
      </c>
      <c r="G72">
        <v>20</v>
      </c>
      <c r="H72">
        <v>-2810</v>
      </c>
      <c r="I72" s="2">
        <f>sa_retail_sales[[#This Row],[Profit]] / sa_retail_sales[[#This Row],[Revenue]]</f>
        <v>-4.3164362519201225</v>
      </c>
      <c r="J72">
        <f xml:space="preserve"> YEAR(sa_retail_sales[[#This Row],[Order Date]])</f>
        <v>2022</v>
      </c>
    </row>
    <row r="73" spans="1:10" x14ac:dyDescent="0.3">
      <c r="A73" s="1">
        <v>44941</v>
      </c>
      <c r="B73" t="s">
        <v>8</v>
      </c>
      <c r="C73" t="s">
        <v>13</v>
      </c>
      <c r="D73" t="s">
        <v>12</v>
      </c>
      <c r="E73">
        <v>9277</v>
      </c>
      <c r="F73">
        <v>4455</v>
      </c>
      <c r="G73">
        <v>5</v>
      </c>
      <c r="H73">
        <v>4822</v>
      </c>
      <c r="I73" s="2">
        <f>sa_retail_sales[[#This Row],[Profit]] / sa_retail_sales[[#This Row],[Revenue]]</f>
        <v>0.51978010132585961</v>
      </c>
      <c r="J73">
        <f xml:space="preserve"> YEAR(sa_retail_sales[[#This Row],[Order Date]])</f>
        <v>2023</v>
      </c>
    </row>
    <row r="74" spans="1:10" x14ac:dyDescent="0.3">
      <c r="A74" s="1">
        <v>45054</v>
      </c>
      <c r="B74" t="s">
        <v>18</v>
      </c>
      <c r="C74" t="s">
        <v>14</v>
      </c>
      <c r="D74" t="s">
        <v>19</v>
      </c>
      <c r="E74">
        <v>8544</v>
      </c>
      <c r="F74">
        <v>7778</v>
      </c>
      <c r="G74">
        <v>5</v>
      </c>
      <c r="H74">
        <v>766</v>
      </c>
      <c r="I74" s="2">
        <f>sa_retail_sales[[#This Row],[Profit]] / sa_retail_sales[[#This Row],[Revenue]]</f>
        <v>8.9653558052434454E-2</v>
      </c>
      <c r="J74">
        <f xml:space="preserve"> YEAR(sa_retail_sales[[#This Row],[Order Date]])</f>
        <v>2023</v>
      </c>
    </row>
    <row r="75" spans="1:10" x14ac:dyDescent="0.3">
      <c r="A75" s="1">
        <v>45626</v>
      </c>
      <c r="B75" t="s">
        <v>18</v>
      </c>
      <c r="C75" t="s">
        <v>9</v>
      </c>
      <c r="D75" t="s">
        <v>19</v>
      </c>
      <c r="E75">
        <v>1412</v>
      </c>
      <c r="F75">
        <v>9019</v>
      </c>
      <c r="G75">
        <v>15</v>
      </c>
      <c r="H75">
        <v>-7607</v>
      </c>
      <c r="I75" s="2">
        <f>sa_retail_sales[[#This Row],[Profit]] / sa_retail_sales[[#This Row],[Revenue]]</f>
        <v>-5.3873937677053823</v>
      </c>
      <c r="J75">
        <f xml:space="preserve"> YEAR(sa_retail_sales[[#This Row],[Order Date]])</f>
        <v>2024</v>
      </c>
    </row>
    <row r="76" spans="1:10" x14ac:dyDescent="0.3">
      <c r="A76" s="1">
        <v>44576</v>
      </c>
      <c r="B76" t="s">
        <v>17</v>
      </c>
      <c r="C76" t="s">
        <v>9</v>
      </c>
      <c r="D76" t="s">
        <v>10</v>
      </c>
      <c r="E76">
        <v>2821</v>
      </c>
      <c r="F76">
        <v>11790</v>
      </c>
      <c r="G76">
        <v>0</v>
      </c>
      <c r="H76">
        <v>-8969</v>
      </c>
      <c r="I76" s="2">
        <f>sa_retail_sales[[#This Row],[Profit]] / sa_retail_sales[[#This Row],[Revenue]]</f>
        <v>-3.1793690180786953</v>
      </c>
      <c r="J76">
        <f xml:space="preserve"> YEAR(sa_retail_sales[[#This Row],[Order Date]])</f>
        <v>2022</v>
      </c>
    </row>
    <row r="77" spans="1:10" x14ac:dyDescent="0.3">
      <c r="A77" s="1">
        <v>44626</v>
      </c>
      <c r="B77" t="s">
        <v>11</v>
      </c>
      <c r="C77" t="s">
        <v>13</v>
      </c>
      <c r="D77" t="s">
        <v>12</v>
      </c>
      <c r="E77">
        <v>14365</v>
      </c>
      <c r="F77">
        <v>9515</v>
      </c>
      <c r="G77">
        <v>5</v>
      </c>
      <c r="H77">
        <v>4850</v>
      </c>
      <c r="I77" s="2">
        <f>sa_retail_sales[[#This Row],[Profit]] / sa_retail_sales[[#This Row],[Revenue]]</f>
        <v>0.33762617473024714</v>
      </c>
      <c r="J77">
        <f xml:space="preserve"> YEAR(sa_retail_sales[[#This Row],[Order Date]])</f>
        <v>2022</v>
      </c>
    </row>
    <row r="78" spans="1:10" x14ac:dyDescent="0.3">
      <c r="A78" s="1">
        <v>45082</v>
      </c>
      <c r="B78" t="s">
        <v>17</v>
      </c>
      <c r="C78" t="s">
        <v>16</v>
      </c>
      <c r="D78" t="s">
        <v>10</v>
      </c>
      <c r="E78">
        <v>995</v>
      </c>
      <c r="F78">
        <v>6917</v>
      </c>
      <c r="G78">
        <v>10</v>
      </c>
      <c r="H78">
        <v>-5922</v>
      </c>
      <c r="I78" s="2">
        <f>sa_retail_sales[[#This Row],[Profit]] / sa_retail_sales[[#This Row],[Revenue]]</f>
        <v>-5.9517587939698489</v>
      </c>
      <c r="J78">
        <f xml:space="preserve"> YEAR(sa_retail_sales[[#This Row],[Order Date]])</f>
        <v>2023</v>
      </c>
    </row>
    <row r="79" spans="1:10" x14ac:dyDescent="0.3">
      <c r="A79" s="1">
        <v>45209</v>
      </c>
      <c r="B79" t="s">
        <v>11</v>
      </c>
      <c r="C79" t="s">
        <v>16</v>
      </c>
      <c r="D79" t="s">
        <v>12</v>
      </c>
      <c r="E79">
        <v>12487</v>
      </c>
      <c r="F79">
        <v>5960</v>
      </c>
      <c r="G79">
        <v>0</v>
      </c>
      <c r="H79">
        <v>6527</v>
      </c>
      <c r="I79" s="2">
        <f>sa_retail_sales[[#This Row],[Profit]] / sa_retail_sales[[#This Row],[Revenue]]</f>
        <v>0.52270361175622648</v>
      </c>
      <c r="J79">
        <f xml:space="preserve"> YEAR(sa_retail_sales[[#This Row],[Order Date]])</f>
        <v>2023</v>
      </c>
    </row>
    <row r="80" spans="1:10" x14ac:dyDescent="0.3">
      <c r="A80" s="1">
        <v>45648</v>
      </c>
      <c r="B80" t="s">
        <v>11</v>
      </c>
      <c r="C80" t="s">
        <v>14</v>
      </c>
      <c r="D80" t="s">
        <v>12</v>
      </c>
      <c r="E80">
        <v>2648</v>
      </c>
      <c r="F80">
        <v>8924</v>
      </c>
      <c r="G80">
        <v>10</v>
      </c>
      <c r="H80">
        <v>-6276</v>
      </c>
      <c r="I80" s="2">
        <f>sa_retail_sales[[#This Row],[Profit]] / sa_retail_sales[[#This Row],[Revenue]]</f>
        <v>-2.3700906344410875</v>
      </c>
      <c r="J80">
        <f xml:space="preserve"> YEAR(sa_retail_sales[[#This Row],[Order Date]])</f>
        <v>2024</v>
      </c>
    </row>
    <row r="81" spans="1:10" x14ac:dyDescent="0.3">
      <c r="A81" s="1">
        <v>45154</v>
      </c>
      <c r="B81" t="s">
        <v>11</v>
      </c>
      <c r="C81" t="s">
        <v>9</v>
      </c>
      <c r="D81" t="s">
        <v>15</v>
      </c>
      <c r="E81">
        <v>1056</v>
      </c>
      <c r="F81">
        <v>1476</v>
      </c>
      <c r="G81">
        <v>20</v>
      </c>
      <c r="H81">
        <v>-420</v>
      </c>
      <c r="I81" s="2">
        <f>sa_retail_sales[[#This Row],[Profit]] / sa_retail_sales[[#This Row],[Revenue]]</f>
        <v>-0.39772727272727271</v>
      </c>
      <c r="J81">
        <f xml:space="preserve"> YEAR(sa_retail_sales[[#This Row],[Order Date]])</f>
        <v>2023</v>
      </c>
    </row>
    <row r="82" spans="1:10" x14ac:dyDescent="0.3">
      <c r="A82" s="1">
        <v>44953</v>
      </c>
      <c r="B82" t="s">
        <v>8</v>
      </c>
      <c r="C82" t="s">
        <v>14</v>
      </c>
      <c r="D82" t="s">
        <v>15</v>
      </c>
      <c r="E82">
        <v>13893</v>
      </c>
      <c r="F82">
        <v>8256</v>
      </c>
      <c r="G82">
        <v>0</v>
      </c>
      <c r="H82">
        <v>5637</v>
      </c>
      <c r="I82" s="2">
        <f>sa_retail_sales[[#This Row],[Profit]] / sa_retail_sales[[#This Row],[Revenue]]</f>
        <v>0.4057438998056575</v>
      </c>
      <c r="J82">
        <f xml:space="preserve"> YEAR(sa_retail_sales[[#This Row],[Order Date]])</f>
        <v>2023</v>
      </c>
    </row>
    <row r="83" spans="1:10" x14ac:dyDescent="0.3">
      <c r="A83" s="1">
        <v>44980</v>
      </c>
      <c r="B83" t="s">
        <v>17</v>
      </c>
      <c r="C83" t="s">
        <v>9</v>
      </c>
      <c r="D83" t="s">
        <v>15</v>
      </c>
      <c r="E83">
        <v>2052</v>
      </c>
      <c r="F83">
        <v>8892</v>
      </c>
      <c r="G83">
        <v>15</v>
      </c>
      <c r="H83">
        <v>-6840</v>
      </c>
      <c r="I83" s="2">
        <f>sa_retail_sales[[#This Row],[Profit]] / sa_retail_sales[[#This Row],[Revenue]]</f>
        <v>-3.3333333333333335</v>
      </c>
      <c r="J83">
        <f xml:space="preserve"> YEAR(sa_retail_sales[[#This Row],[Order Date]])</f>
        <v>2023</v>
      </c>
    </row>
    <row r="84" spans="1:10" x14ac:dyDescent="0.3">
      <c r="A84" s="1">
        <v>44850</v>
      </c>
      <c r="B84" t="s">
        <v>11</v>
      </c>
      <c r="C84" t="s">
        <v>13</v>
      </c>
      <c r="D84" t="s">
        <v>10</v>
      </c>
      <c r="E84">
        <v>2620</v>
      </c>
      <c r="F84">
        <v>10596</v>
      </c>
      <c r="G84">
        <v>20</v>
      </c>
      <c r="H84">
        <v>-7976</v>
      </c>
      <c r="I84" s="2">
        <f>sa_retail_sales[[#This Row],[Profit]] / sa_retail_sales[[#This Row],[Revenue]]</f>
        <v>-3.0442748091603051</v>
      </c>
      <c r="J84">
        <f xml:space="preserve"> YEAR(sa_retail_sales[[#This Row],[Order Date]])</f>
        <v>2022</v>
      </c>
    </row>
    <row r="85" spans="1:10" x14ac:dyDescent="0.3">
      <c r="A85" s="1">
        <v>44940</v>
      </c>
      <c r="B85" t="s">
        <v>18</v>
      </c>
      <c r="C85" t="s">
        <v>9</v>
      </c>
      <c r="D85" t="s">
        <v>15</v>
      </c>
      <c r="E85">
        <v>3585</v>
      </c>
      <c r="F85">
        <v>11542</v>
      </c>
      <c r="G85">
        <v>20</v>
      </c>
      <c r="H85">
        <v>-7957</v>
      </c>
      <c r="I85" s="2">
        <f>sa_retail_sales[[#This Row],[Profit]] / sa_retail_sales[[#This Row],[Revenue]]</f>
        <v>-2.2195258019525803</v>
      </c>
      <c r="J85">
        <f xml:space="preserve"> YEAR(sa_retail_sales[[#This Row],[Order Date]])</f>
        <v>2023</v>
      </c>
    </row>
    <row r="86" spans="1:10" x14ac:dyDescent="0.3">
      <c r="A86" s="1">
        <v>44792</v>
      </c>
      <c r="B86" t="s">
        <v>8</v>
      </c>
      <c r="C86" t="s">
        <v>14</v>
      </c>
      <c r="D86" t="s">
        <v>15</v>
      </c>
      <c r="E86">
        <v>4004</v>
      </c>
      <c r="F86">
        <v>2533</v>
      </c>
      <c r="G86">
        <v>10</v>
      </c>
      <c r="H86">
        <v>1471</v>
      </c>
      <c r="I86" s="2">
        <f>sa_retail_sales[[#This Row],[Profit]] / sa_retail_sales[[#This Row],[Revenue]]</f>
        <v>0.3673826173826174</v>
      </c>
      <c r="J86">
        <f xml:space="preserve"> YEAR(sa_retail_sales[[#This Row],[Order Date]])</f>
        <v>2022</v>
      </c>
    </row>
    <row r="87" spans="1:10" x14ac:dyDescent="0.3">
      <c r="A87" s="1">
        <v>45579</v>
      </c>
      <c r="B87" t="s">
        <v>17</v>
      </c>
      <c r="C87" t="s">
        <v>14</v>
      </c>
      <c r="D87" t="s">
        <v>19</v>
      </c>
      <c r="E87">
        <v>656</v>
      </c>
      <c r="F87">
        <v>10937</v>
      </c>
      <c r="G87">
        <v>20</v>
      </c>
      <c r="H87">
        <v>-10281</v>
      </c>
      <c r="I87" s="2">
        <f>sa_retail_sales[[#This Row],[Profit]] / sa_retail_sales[[#This Row],[Revenue]]</f>
        <v>-15.672256097560975</v>
      </c>
      <c r="J87">
        <f xml:space="preserve"> YEAR(sa_retail_sales[[#This Row],[Order Date]])</f>
        <v>2024</v>
      </c>
    </row>
    <row r="88" spans="1:10" x14ac:dyDescent="0.3">
      <c r="A88" s="1">
        <v>44602</v>
      </c>
      <c r="B88" t="s">
        <v>11</v>
      </c>
      <c r="C88" t="s">
        <v>14</v>
      </c>
      <c r="D88" t="s">
        <v>12</v>
      </c>
      <c r="E88">
        <v>9426</v>
      </c>
      <c r="F88">
        <v>5000</v>
      </c>
      <c r="G88">
        <v>5</v>
      </c>
      <c r="H88">
        <v>4426</v>
      </c>
      <c r="I88" s="2">
        <f>sa_retail_sales[[#This Row],[Profit]] / sa_retail_sales[[#This Row],[Revenue]]</f>
        <v>0.46955230214300869</v>
      </c>
      <c r="J88">
        <f xml:space="preserve"> YEAR(sa_retail_sales[[#This Row],[Order Date]])</f>
        <v>2022</v>
      </c>
    </row>
    <row r="89" spans="1:10" x14ac:dyDescent="0.3">
      <c r="A89" s="1">
        <v>45613</v>
      </c>
      <c r="B89" t="s">
        <v>18</v>
      </c>
      <c r="C89" t="s">
        <v>13</v>
      </c>
      <c r="D89" t="s">
        <v>12</v>
      </c>
      <c r="E89">
        <v>14967</v>
      </c>
      <c r="F89">
        <v>11327</v>
      </c>
      <c r="G89">
        <v>0</v>
      </c>
      <c r="H89">
        <v>3640</v>
      </c>
      <c r="I89" s="2">
        <f>sa_retail_sales[[#This Row],[Profit]] / sa_retail_sales[[#This Row],[Revenue]]</f>
        <v>0.24320171042961181</v>
      </c>
      <c r="J89">
        <f xml:space="preserve"> YEAR(sa_retail_sales[[#This Row],[Order Date]])</f>
        <v>2024</v>
      </c>
    </row>
    <row r="90" spans="1:10" x14ac:dyDescent="0.3">
      <c r="A90" s="1">
        <v>44696</v>
      </c>
      <c r="B90" t="s">
        <v>17</v>
      </c>
      <c r="C90" t="s">
        <v>9</v>
      </c>
      <c r="D90" t="s">
        <v>15</v>
      </c>
      <c r="E90">
        <v>8005</v>
      </c>
      <c r="F90">
        <v>6206</v>
      </c>
      <c r="G90">
        <v>5</v>
      </c>
      <c r="H90">
        <v>1799</v>
      </c>
      <c r="I90" s="2">
        <f>sa_retail_sales[[#This Row],[Profit]] / sa_retail_sales[[#This Row],[Revenue]]</f>
        <v>0.22473454091193004</v>
      </c>
      <c r="J90">
        <f xml:space="preserve"> YEAR(sa_retail_sales[[#This Row],[Order Date]])</f>
        <v>2022</v>
      </c>
    </row>
    <row r="91" spans="1:10" x14ac:dyDescent="0.3">
      <c r="A91" s="1">
        <v>44762</v>
      </c>
      <c r="B91" t="s">
        <v>17</v>
      </c>
      <c r="C91" t="s">
        <v>9</v>
      </c>
      <c r="D91" t="s">
        <v>12</v>
      </c>
      <c r="E91">
        <v>7662</v>
      </c>
      <c r="F91">
        <v>8160</v>
      </c>
      <c r="G91">
        <v>10</v>
      </c>
      <c r="H91">
        <v>-498</v>
      </c>
      <c r="I91" s="2">
        <f>sa_retail_sales[[#This Row],[Profit]] / sa_retail_sales[[#This Row],[Revenue]]</f>
        <v>-6.4996084573218482E-2</v>
      </c>
      <c r="J91">
        <f xml:space="preserve"> YEAR(sa_retail_sales[[#This Row],[Order Date]])</f>
        <v>2022</v>
      </c>
    </row>
    <row r="92" spans="1:10" x14ac:dyDescent="0.3">
      <c r="A92" s="1">
        <v>45341</v>
      </c>
      <c r="B92" t="s">
        <v>8</v>
      </c>
      <c r="C92" t="s">
        <v>14</v>
      </c>
      <c r="D92" t="s">
        <v>19</v>
      </c>
      <c r="E92">
        <v>6023</v>
      </c>
      <c r="F92">
        <v>7826</v>
      </c>
      <c r="G92">
        <v>10</v>
      </c>
      <c r="H92">
        <v>-1803</v>
      </c>
      <c r="I92" s="2">
        <f>sa_retail_sales[[#This Row],[Profit]] / sa_retail_sales[[#This Row],[Revenue]]</f>
        <v>-0.29935248215175164</v>
      </c>
      <c r="J92">
        <f xml:space="preserve"> YEAR(sa_retail_sales[[#This Row],[Order Date]])</f>
        <v>2024</v>
      </c>
    </row>
    <row r="93" spans="1:10" x14ac:dyDescent="0.3">
      <c r="A93" s="1">
        <v>45491</v>
      </c>
      <c r="B93" t="s">
        <v>17</v>
      </c>
      <c r="C93" t="s">
        <v>9</v>
      </c>
      <c r="D93" t="s">
        <v>19</v>
      </c>
      <c r="E93">
        <v>8043</v>
      </c>
      <c r="F93">
        <v>5859</v>
      </c>
      <c r="G93">
        <v>0</v>
      </c>
      <c r="H93">
        <v>2184</v>
      </c>
      <c r="I93" s="2">
        <f>sa_retail_sales[[#This Row],[Profit]] / sa_retail_sales[[#This Row],[Revenue]]</f>
        <v>0.27154046997389036</v>
      </c>
      <c r="J93">
        <f xml:space="preserve"> YEAR(sa_retail_sales[[#This Row],[Order Date]])</f>
        <v>2024</v>
      </c>
    </row>
    <row r="94" spans="1:10" x14ac:dyDescent="0.3">
      <c r="A94" s="1">
        <v>45618</v>
      </c>
      <c r="B94" t="s">
        <v>8</v>
      </c>
      <c r="C94" t="s">
        <v>16</v>
      </c>
      <c r="D94" t="s">
        <v>15</v>
      </c>
      <c r="E94">
        <v>8555</v>
      </c>
      <c r="F94">
        <v>7032</v>
      </c>
      <c r="G94">
        <v>20</v>
      </c>
      <c r="H94">
        <v>1523</v>
      </c>
      <c r="I94" s="2">
        <f>sa_retail_sales[[#This Row],[Profit]] / sa_retail_sales[[#This Row],[Revenue]]</f>
        <v>0.17802454704850965</v>
      </c>
      <c r="J94">
        <f xml:space="preserve"> YEAR(sa_retail_sales[[#This Row],[Order Date]])</f>
        <v>2024</v>
      </c>
    </row>
    <row r="95" spans="1:10" x14ac:dyDescent="0.3">
      <c r="A95" s="1">
        <v>45633</v>
      </c>
      <c r="B95" t="s">
        <v>11</v>
      </c>
      <c r="C95" t="s">
        <v>16</v>
      </c>
      <c r="D95" t="s">
        <v>19</v>
      </c>
      <c r="E95">
        <v>5154</v>
      </c>
      <c r="F95">
        <v>2813</v>
      </c>
      <c r="G95">
        <v>15</v>
      </c>
      <c r="H95">
        <v>2341</v>
      </c>
      <c r="I95" s="2">
        <f>sa_retail_sales[[#This Row],[Profit]] / sa_retail_sales[[#This Row],[Revenue]]</f>
        <v>0.45421032207993789</v>
      </c>
      <c r="J95">
        <f xml:space="preserve"> YEAR(sa_retail_sales[[#This Row],[Order Date]])</f>
        <v>2024</v>
      </c>
    </row>
    <row r="96" spans="1:10" x14ac:dyDescent="0.3">
      <c r="A96" s="1">
        <v>45064</v>
      </c>
      <c r="B96" t="s">
        <v>8</v>
      </c>
      <c r="C96" t="s">
        <v>16</v>
      </c>
      <c r="D96" t="s">
        <v>12</v>
      </c>
      <c r="E96">
        <v>6750</v>
      </c>
      <c r="F96">
        <v>8130</v>
      </c>
      <c r="G96">
        <v>10</v>
      </c>
      <c r="H96">
        <v>-1380</v>
      </c>
      <c r="I96" s="2">
        <f>sa_retail_sales[[#This Row],[Profit]] / sa_retail_sales[[#This Row],[Revenue]]</f>
        <v>-0.20444444444444446</v>
      </c>
      <c r="J96">
        <f xml:space="preserve"> YEAR(sa_retail_sales[[#This Row],[Order Date]])</f>
        <v>2023</v>
      </c>
    </row>
    <row r="97" spans="1:10" x14ac:dyDescent="0.3">
      <c r="A97" s="1">
        <v>44968</v>
      </c>
      <c r="B97" t="s">
        <v>18</v>
      </c>
      <c r="C97" t="s">
        <v>9</v>
      </c>
      <c r="D97" t="s">
        <v>10</v>
      </c>
      <c r="E97">
        <v>11968</v>
      </c>
      <c r="F97">
        <v>10265</v>
      </c>
      <c r="G97">
        <v>0</v>
      </c>
      <c r="H97">
        <v>1703</v>
      </c>
      <c r="I97" s="2">
        <f>sa_retail_sales[[#This Row],[Profit]] / sa_retail_sales[[#This Row],[Revenue]]</f>
        <v>0.14229612299465241</v>
      </c>
      <c r="J97">
        <f xml:space="preserve"> YEAR(sa_retail_sales[[#This Row],[Order Date]])</f>
        <v>2023</v>
      </c>
    </row>
    <row r="98" spans="1:10" x14ac:dyDescent="0.3">
      <c r="A98" s="1">
        <v>45366</v>
      </c>
      <c r="B98" t="s">
        <v>8</v>
      </c>
      <c r="C98" t="s">
        <v>13</v>
      </c>
      <c r="D98" t="s">
        <v>12</v>
      </c>
      <c r="E98">
        <v>7746</v>
      </c>
      <c r="F98">
        <v>7244</v>
      </c>
      <c r="G98">
        <v>15</v>
      </c>
      <c r="H98">
        <v>502</v>
      </c>
      <c r="I98" s="2">
        <f>sa_retail_sales[[#This Row],[Profit]] / sa_retail_sales[[#This Row],[Revenue]]</f>
        <v>6.4807642654273176E-2</v>
      </c>
      <c r="J98">
        <f xml:space="preserve"> YEAR(sa_retail_sales[[#This Row],[Order Date]])</f>
        <v>2024</v>
      </c>
    </row>
    <row r="99" spans="1:10" x14ac:dyDescent="0.3">
      <c r="A99" s="1">
        <v>44660</v>
      </c>
      <c r="B99" t="s">
        <v>18</v>
      </c>
      <c r="C99" t="s">
        <v>13</v>
      </c>
      <c r="D99" t="s">
        <v>10</v>
      </c>
      <c r="E99">
        <v>654</v>
      </c>
      <c r="F99">
        <v>8210</v>
      </c>
      <c r="G99">
        <v>20</v>
      </c>
      <c r="H99">
        <v>-7556</v>
      </c>
      <c r="I99" s="2">
        <f>sa_retail_sales[[#This Row],[Profit]] / sa_retail_sales[[#This Row],[Revenue]]</f>
        <v>-11.553516819571865</v>
      </c>
      <c r="J99">
        <f xml:space="preserve"> YEAR(sa_retail_sales[[#This Row],[Order Date]])</f>
        <v>2022</v>
      </c>
    </row>
    <row r="100" spans="1:10" x14ac:dyDescent="0.3">
      <c r="A100" s="1">
        <v>45245</v>
      </c>
      <c r="B100" t="s">
        <v>8</v>
      </c>
      <c r="C100" t="s">
        <v>13</v>
      </c>
      <c r="D100" t="s">
        <v>15</v>
      </c>
      <c r="E100">
        <v>8450</v>
      </c>
      <c r="F100">
        <v>5949</v>
      </c>
      <c r="G100">
        <v>10</v>
      </c>
      <c r="H100">
        <v>2501</v>
      </c>
      <c r="I100" s="2">
        <f>sa_retail_sales[[#This Row],[Profit]] / sa_retail_sales[[#This Row],[Revenue]]</f>
        <v>0.29597633136094675</v>
      </c>
      <c r="J100">
        <f xml:space="preserve"> YEAR(sa_retail_sales[[#This Row],[Order Date]])</f>
        <v>2023</v>
      </c>
    </row>
    <row r="101" spans="1:10" x14ac:dyDescent="0.3">
      <c r="A101" s="1">
        <v>45287</v>
      </c>
      <c r="B101" t="s">
        <v>17</v>
      </c>
      <c r="C101" t="s">
        <v>13</v>
      </c>
      <c r="D101" t="s">
        <v>10</v>
      </c>
      <c r="E101">
        <v>1496</v>
      </c>
      <c r="F101">
        <v>1396</v>
      </c>
      <c r="G101">
        <v>0</v>
      </c>
      <c r="H101">
        <v>100</v>
      </c>
      <c r="I101" s="2">
        <f>sa_retail_sales[[#This Row],[Profit]] / sa_retail_sales[[#This Row],[Revenue]]</f>
        <v>6.684491978609626E-2</v>
      </c>
      <c r="J101">
        <f xml:space="preserve"> YEAR(sa_retail_sales[[#This Row],[Order Date]])</f>
        <v>2023</v>
      </c>
    </row>
    <row r="102" spans="1:10" x14ac:dyDescent="0.3">
      <c r="A102" s="1">
        <v>45522</v>
      </c>
      <c r="B102" t="s">
        <v>11</v>
      </c>
      <c r="C102" t="s">
        <v>16</v>
      </c>
      <c r="D102" t="s">
        <v>19</v>
      </c>
      <c r="E102">
        <v>10986</v>
      </c>
      <c r="F102">
        <v>9420</v>
      </c>
      <c r="G102">
        <v>0</v>
      </c>
      <c r="H102">
        <v>1566</v>
      </c>
      <c r="I102" s="2">
        <f>sa_retail_sales[[#This Row],[Profit]] / sa_retail_sales[[#This Row],[Revenue]]</f>
        <v>0.14254505734571274</v>
      </c>
      <c r="J102">
        <f xml:space="preserve"> YEAR(sa_retail_sales[[#This Row],[Order Date]])</f>
        <v>2024</v>
      </c>
    </row>
    <row r="103" spans="1:10" x14ac:dyDescent="0.3">
      <c r="A103" s="1">
        <v>45174</v>
      </c>
      <c r="B103" t="s">
        <v>18</v>
      </c>
      <c r="C103" t="s">
        <v>16</v>
      </c>
      <c r="D103" t="s">
        <v>12</v>
      </c>
      <c r="E103">
        <v>5126</v>
      </c>
      <c r="F103">
        <v>2251</v>
      </c>
      <c r="G103">
        <v>0</v>
      </c>
      <c r="H103">
        <v>2875</v>
      </c>
      <c r="I103" s="2">
        <f>sa_retail_sales[[#This Row],[Profit]] / sa_retail_sales[[#This Row],[Revenue]]</f>
        <v>0.56086617245415527</v>
      </c>
      <c r="J103">
        <f xml:space="preserve"> YEAR(sa_retail_sales[[#This Row],[Order Date]])</f>
        <v>2023</v>
      </c>
    </row>
    <row r="104" spans="1:10" x14ac:dyDescent="0.3">
      <c r="A104" s="1">
        <v>45204</v>
      </c>
      <c r="B104" t="s">
        <v>8</v>
      </c>
      <c r="C104" t="s">
        <v>14</v>
      </c>
      <c r="D104" t="s">
        <v>10</v>
      </c>
      <c r="E104">
        <v>3405</v>
      </c>
      <c r="F104">
        <v>10465</v>
      </c>
      <c r="G104">
        <v>10</v>
      </c>
      <c r="H104">
        <v>-7060</v>
      </c>
      <c r="I104" s="2">
        <f>sa_retail_sales[[#This Row],[Profit]] / sa_retail_sales[[#This Row],[Revenue]]</f>
        <v>-2.0734214390602057</v>
      </c>
      <c r="J104">
        <f xml:space="preserve"> YEAR(sa_retail_sales[[#This Row],[Order Date]])</f>
        <v>2023</v>
      </c>
    </row>
    <row r="105" spans="1:10" x14ac:dyDescent="0.3">
      <c r="A105" s="1">
        <v>45590</v>
      </c>
      <c r="B105" t="s">
        <v>8</v>
      </c>
      <c r="C105" t="s">
        <v>9</v>
      </c>
      <c r="D105" t="s">
        <v>12</v>
      </c>
      <c r="E105">
        <v>14759</v>
      </c>
      <c r="F105">
        <v>10046</v>
      </c>
      <c r="G105">
        <v>15</v>
      </c>
      <c r="H105">
        <v>4713</v>
      </c>
      <c r="I105" s="2">
        <f>sa_retail_sales[[#This Row],[Profit]] / sa_retail_sales[[#This Row],[Revenue]]</f>
        <v>0.3193305779524358</v>
      </c>
      <c r="J105">
        <f xml:space="preserve"> YEAR(sa_retail_sales[[#This Row],[Order Date]])</f>
        <v>2024</v>
      </c>
    </row>
    <row r="106" spans="1:10" x14ac:dyDescent="0.3">
      <c r="A106" s="1">
        <v>45064</v>
      </c>
      <c r="B106" t="s">
        <v>8</v>
      </c>
      <c r="C106" t="s">
        <v>9</v>
      </c>
      <c r="D106" t="s">
        <v>15</v>
      </c>
      <c r="E106">
        <v>13516</v>
      </c>
      <c r="F106">
        <v>11270</v>
      </c>
      <c r="G106">
        <v>0</v>
      </c>
      <c r="H106">
        <v>2246</v>
      </c>
      <c r="I106" s="2">
        <f>sa_retail_sales[[#This Row],[Profit]] / sa_retail_sales[[#This Row],[Revenue]]</f>
        <v>0.16617342408996744</v>
      </c>
      <c r="J106">
        <f xml:space="preserve"> YEAR(sa_retail_sales[[#This Row],[Order Date]])</f>
        <v>2023</v>
      </c>
    </row>
    <row r="107" spans="1:10" x14ac:dyDescent="0.3">
      <c r="A107" s="1">
        <v>45328</v>
      </c>
      <c r="B107" t="s">
        <v>17</v>
      </c>
      <c r="C107" t="s">
        <v>13</v>
      </c>
      <c r="D107" t="s">
        <v>15</v>
      </c>
      <c r="E107">
        <v>9869</v>
      </c>
      <c r="F107">
        <v>9486</v>
      </c>
      <c r="G107">
        <v>20</v>
      </c>
      <c r="H107">
        <v>383</v>
      </c>
      <c r="I107" s="2">
        <f>sa_retail_sales[[#This Row],[Profit]] / sa_retail_sales[[#This Row],[Revenue]]</f>
        <v>3.8808389907792076E-2</v>
      </c>
      <c r="J107">
        <f xml:space="preserve"> YEAR(sa_retail_sales[[#This Row],[Order Date]])</f>
        <v>2024</v>
      </c>
    </row>
    <row r="108" spans="1:10" x14ac:dyDescent="0.3">
      <c r="A108" s="1">
        <v>44959</v>
      </c>
      <c r="B108" t="s">
        <v>17</v>
      </c>
      <c r="C108" t="s">
        <v>16</v>
      </c>
      <c r="D108" t="s">
        <v>19</v>
      </c>
      <c r="E108">
        <v>653</v>
      </c>
      <c r="F108">
        <v>8099</v>
      </c>
      <c r="G108">
        <v>0</v>
      </c>
      <c r="H108">
        <v>-7446</v>
      </c>
      <c r="I108" s="2">
        <f>sa_retail_sales[[#This Row],[Profit]] / sa_retail_sales[[#This Row],[Revenue]]</f>
        <v>-11.402756508422664</v>
      </c>
      <c r="J108">
        <f xml:space="preserve"> YEAR(sa_retail_sales[[#This Row],[Order Date]])</f>
        <v>2023</v>
      </c>
    </row>
    <row r="109" spans="1:10" x14ac:dyDescent="0.3">
      <c r="A109" s="1">
        <v>45432</v>
      </c>
      <c r="B109" t="s">
        <v>18</v>
      </c>
      <c r="C109" t="s">
        <v>13</v>
      </c>
      <c r="D109" t="s">
        <v>15</v>
      </c>
      <c r="E109">
        <v>8353</v>
      </c>
      <c r="F109">
        <v>9104</v>
      </c>
      <c r="G109">
        <v>15</v>
      </c>
      <c r="H109">
        <v>-751</v>
      </c>
      <c r="I109" s="2">
        <f>sa_retail_sales[[#This Row],[Profit]] / sa_retail_sales[[#This Row],[Revenue]]</f>
        <v>-8.9907817550580624E-2</v>
      </c>
      <c r="J109">
        <f xml:space="preserve"> YEAR(sa_retail_sales[[#This Row],[Order Date]])</f>
        <v>2024</v>
      </c>
    </row>
    <row r="110" spans="1:10" x14ac:dyDescent="0.3">
      <c r="A110" s="1">
        <v>45356</v>
      </c>
      <c r="B110" t="s">
        <v>18</v>
      </c>
      <c r="C110" t="s">
        <v>14</v>
      </c>
      <c r="D110" t="s">
        <v>10</v>
      </c>
      <c r="E110">
        <v>12879</v>
      </c>
      <c r="F110">
        <v>11085</v>
      </c>
      <c r="G110">
        <v>10</v>
      </c>
      <c r="H110">
        <v>1794</v>
      </c>
      <c r="I110" s="2">
        <f>sa_retail_sales[[#This Row],[Profit]] / sa_retail_sales[[#This Row],[Revenue]]</f>
        <v>0.13929652923363614</v>
      </c>
      <c r="J110">
        <f xml:space="preserve"> YEAR(sa_retail_sales[[#This Row],[Order Date]])</f>
        <v>2024</v>
      </c>
    </row>
    <row r="111" spans="1:10" x14ac:dyDescent="0.3">
      <c r="A111" s="1">
        <v>44954</v>
      </c>
      <c r="B111" t="s">
        <v>17</v>
      </c>
      <c r="C111" t="s">
        <v>9</v>
      </c>
      <c r="D111" t="s">
        <v>15</v>
      </c>
      <c r="E111">
        <v>6981</v>
      </c>
      <c r="F111">
        <v>895</v>
      </c>
      <c r="G111">
        <v>0</v>
      </c>
      <c r="H111">
        <v>6086</v>
      </c>
      <c r="I111" s="2">
        <f>sa_retail_sales[[#This Row],[Profit]] / sa_retail_sales[[#This Row],[Revenue]]</f>
        <v>0.87179487179487181</v>
      </c>
      <c r="J111">
        <f xml:space="preserve"> YEAR(sa_retail_sales[[#This Row],[Order Date]])</f>
        <v>2023</v>
      </c>
    </row>
    <row r="112" spans="1:10" x14ac:dyDescent="0.3">
      <c r="A112" s="1">
        <v>44768</v>
      </c>
      <c r="B112" t="s">
        <v>18</v>
      </c>
      <c r="C112" t="s">
        <v>9</v>
      </c>
      <c r="D112" t="s">
        <v>19</v>
      </c>
      <c r="E112">
        <v>6099</v>
      </c>
      <c r="F112">
        <v>8175</v>
      </c>
      <c r="G112">
        <v>0</v>
      </c>
      <c r="H112">
        <v>-2076</v>
      </c>
      <c r="I112" s="2">
        <f>sa_retail_sales[[#This Row],[Profit]] / sa_retail_sales[[#This Row],[Revenue]]</f>
        <v>-0.34038366945400883</v>
      </c>
      <c r="J112">
        <f xml:space="preserve"> YEAR(sa_retail_sales[[#This Row],[Order Date]])</f>
        <v>2022</v>
      </c>
    </row>
    <row r="113" spans="1:10" x14ac:dyDescent="0.3">
      <c r="A113" s="1">
        <v>45600</v>
      </c>
      <c r="B113" t="s">
        <v>11</v>
      </c>
      <c r="C113" t="s">
        <v>13</v>
      </c>
      <c r="D113" t="s">
        <v>12</v>
      </c>
      <c r="E113">
        <v>2216</v>
      </c>
      <c r="F113">
        <v>9333</v>
      </c>
      <c r="G113">
        <v>20</v>
      </c>
      <c r="H113">
        <v>-7117</v>
      </c>
      <c r="I113" s="2">
        <f>sa_retail_sales[[#This Row],[Profit]] / sa_retail_sales[[#This Row],[Revenue]]</f>
        <v>-3.2116425992779782</v>
      </c>
      <c r="J113">
        <f xml:space="preserve"> YEAR(sa_retail_sales[[#This Row],[Order Date]])</f>
        <v>2024</v>
      </c>
    </row>
    <row r="114" spans="1:10" x14ac:dyDescent="0.3">
      <c r="A114" s="1">
        <v>45453</v>
      </c>
      <c r="B114" t="s">
        <v>11</v>
      </c>
      <c r="C114" t="s">
        <v>14</v>
      </c>
      <c r="D114" t="s">
        <v>12</v>
      </c>
      <c r="E114">
        <v>11894</v>
      </c>
      <c r="F114">
        <v>4739</v>
      </c>
      <c r="G114">
        <v>20</v>
      </c>
      <c r="H114">
        <v>7155</v>
      </c>
      <c r="I114" s="2">
        <f>sa_retail_sales[[#This Row],[Profit]] / sa_retail_sales[[#This Row],[Revenue]]</f>
        <v>0.60156381368757361</v>
      </c>
      <c r="J114">
        <f xml:space="preserve"> YEAR(sa_retail_sales[[#This Row],[Order Date]])</f>
        <v>2024</v>
      </c>
    </row>
    <row r="115" spans="1:10" x14ac:dyDescent="0.3">
      <c r="A115" s="1">
        <v>45425</v>
      </c>
      <c r="B115" t="s">
        <v>17</v>
      </c>
      <c r="C115" t="s">
        <v>9</v>
      </c>
      <c r="D115" t="s">
        <v>15</v>
      </c>
      <c r="E115">
        <v>14804</v>
      </c>
      <c r="F115">
        <v>6272</v>
      </c>
      <c r="G115">
        <v>0</v>
      </c>
      <c r="H115">
        <v>8532</v>
      </c>
      <c r="I115" s="2">
        <f>sa_retail_sales[[#This Row],[Profit]] / sa_retail_sales[[#This Row],[Revenue]]</f>
        <v>0.57633072142664143</v>
      </c>
      <c r="J115">
        <f xml:space="preserve"> YEAR(sa_retail_sales[[#This Row],[Order Date]])</f>
        <v>2024</v>
      </c>
    </row>
    <row r="116" spans="1:10" x14ac:dyDescent="0.3">
      <c r="A116" s="1">
        <v>45304</v>
      </c>
      <c r="B116" t="s">
        <v>18</v>
      </c>
      <c r="C116" t="s">
        <v>14</v>
      </c>
      <c r="D116" t="s">
        <v>10</v>
      </c>
      <c r="E116">
        <v>11549</v>
      </c>
      <c r="F116">
        <v>1158</v>
      </c>
      <c r="G116">
        <v>0</v>
      </c>
      <c r="H116">
        <v>10391</v>
      </c>
      <c r="I116" s="2">
        <f>sa_retail_sales[[#This Row],[Profit]] / sa_retail_sales[[#This Row],[Revenue]]</f>
        <v>0.89973157849164431</v>
      </c>
      <c r="J116">
        <f xml:space="preserve"> YEAR(sa_retail_sales[[#This Row],[Order Date]])</f>
        <v>2024</v>
      </c>
    </row>
    <row r="117" spans="1:10" x14ac:dyDescent="0.3">
      <c r="A117" s="1">
        <v>45125</v>
      </c>
      <c r="B117" t="s">
        <v>8</v>
      </c>
      <c r="C117" t="s">
        <v>14</v>
      </c>
      <c r="D117" t="s">
        <v>19</v>
      </c>
      <c r="E117">
        <v>1286</v>
      </c>
      <c r="F117">
        <v>5819</v>
      </c>
      <c r="G117">
        <v>20</v>
      </c>
      <c r="H117">
        <v>-4533</v>
      </c>
      <c r="I117" s="2">
        <f>sa_retail_sales[[#This Row],[Profit]] / sa_retail_sales[[#This Row],[Revenue]]</f>
        <v>-3.5248833592534994</v>
      </c>
      <c r="J117">
        <f xml:space="preserve"> YEAR(sa_retail_sales[[#This Row],[Order Date]])</f>
        <v>2023</v>
      </c>
    </row>
    <row r="118" spans="1:10" x14ac:dyDescent="0.3">
      <c r="A118" s="1">
        <v>45582</v>
      </c>
      <c r="B118" t="s">
        <v>11</v>
      </c>
      <c r="C118" t="s">
        <v>13</v>
      </c>
      <c r="D118" t="s">
        <v>10</v>
      </c>
      <c r="E118">
        <v>4868</v>
      </c>
      <c r="F118">
        <v>7685</v>
      </c>
      <c r="G118">
        <v>15</v>
      </c>
      <c r="H118">
        <v>-2817</v>
      </c>
      <c r="I118" s="2">
        <f>sa_retail_sales[[#This Row],[Profit]] / sa_retail_sales[[#This Row],[Revenue]]</f>
        <v>-0.57867707477403452</v>
      </c>
      <c r="J118">
        <f xml:space="preserve"> YEAR(sa_retail_sales[[#This Row],[Order Date]])</f>
        <v>2024</v>
      </c>
    </row>
    <row r="119" spans="1:10" x14ac:dyDescent="0.3">
      <c r="A119" s="1">
        <v>44657</v>
      </c>
      <c r="B119" t="s">
        <v>17</v>
      </c>
      <c r="C119" t="s">
        <v>16</v>
      </c>
      <c r="D119" t="s">
        <v>19</v>
      </c>
      <c r="E119">
        <v>14815</v>
      </c>
      <c r="F119">
        <v>8936</v>
      </c>
      <c r="G119">
        <v>5</v>
      </c>
      <c r="H119">
        <v>5879</v>
      </c>
      <c r="I119" s="2">
        <f>sa_retail_sales[[#This Row],[Profit]] / sa_retail_sales[[#This Row],[Revenue]]</f>
        <v>0.39682753965575429</v>
      </c>
      <c r="J119">
        <f xml:space="preserve"> YEAR(sa_retail_sales[[#This Row],[Order Date]])</f>
        <v>2022</v>
      </c>
    </row>
    <row r="120" spans="1:10" x14ac:dyDescent="0.3">
      <c r="A120" s="1">
        <v>45046</v>
      </c>
      <c r="B120" t="s">
        <v>18</v>
      </c>
      <c r="C120" t="s">
        <v>13</v>
      </c>
      <c r="D120" t="s">
        <v>15</v>
      </c>
      <c r="E120">
        <v>8596</v>
      </c>
      <c r="F120">
        <v>10280</v>
      </c>
      <c r="G120">
        <v>5</v>
      </c>
      <c r="H120">
        <v>-1684</v>
      </c>
      <c r="I120" s="2">
        <f>sa_retail_sales[[#This Row],[Profit]] / sa_retail_sales[[#This Row],[Revenue]]</f>
        <v>-0.19590507212657049</v>
      </c>
      <c r="J120">
        <f xml:space="preserve"> YEAR(sa_retail_sales[[#This Row],[Order Date]])</f>
        <v>2023</v>
      </c>
    </row>
    <row r="121" spans="1:10" x14ac:dyDescent="0.3">
      <c r="A121" s="1">
        <v>44792</v>
      </c>
      <c r="B121" t="s">
        <v>17</v>
      </c>
      <c r="C121" t="s">
        <v>16</v>
      </c>
      <c r="D121" t="s">
        <v>19</v>
      </c>
      <c r="E121">
        <v>4772</v>
      </c>
      <c r="F121">
        <v>4617</v>
      </c>
      <c r="G121">
        <v>0</v>
      </c>
      <c r="H121">
        <v>155</v>
      </c>
      <c r="I121" s="2">
        <f>sa_retail_sales[[#This Row],[Profit]] / sa_retail_sales[[#This Row],[Revenue]]</f>
        <v>3.2481139983235541E-2</v>
      </c>
      <c r="J121">
        <f xml:space="preserve"> YEAR(sa_retail_sales[[#This Row],[Order Date]])</f>
        <v>2022</v>
      </c>
    </row>
    <row r="122" spans="1:10" x14ac:dyDescent="0.3">
      <c r="A122" s="1">
        <v>45310</v>
      </c>
      <c r="B122" t="s">
        <v>8</v>
      </c>
      <c r="C122" t="s">
        <v>14</v>
      </c>
      <c r="D122" t="s">
        <v>19</v>
      </c>
      <c r="E122">
        <v>4267</v>
      </c>
      <c r="F122">
        <v>3754</v>
      </c>
      <c r="G122">
        <v>20</v>
      </c>
      <c r="H122">
        <v>513</v>
      </c>
      <c r="I122" s="2">
        <f>sa_retail_sales[[#This Row],[Profit]] / sa_retail_sales[[#This Row],[Revenue]]</f>
        <v>0.12022498242324818</v>
      </c>
      <c r="J122">
        <f xml:space="preserve"> YEAR(sa_retail_sales[[#This Row],[Order Date]])</f>
        <v>2024</v>
      </c>
    </row>
    <row r="123" spans="1:10" x14ac:dyDescent="0.3">
      <c r="A123" s="1">
        <v>45102</v>
      </c>
      <c r="B123" t="s">
        <v>11</v>
      </c>
      <c r="C123" t="s">
        <v>16</v>
      </c>
      <c r="D123" t="s">
        <v>15</v>
      </c>
      <c r="E123">
        <v>11570</v>
      </c>
      <c r="F123">
        <v>1330</v>
      </c>
      <c r="G123">
        <v>10</v>
      </c>
      <c r="H123">
        <v>10240</v>
      </c>
      <c r="I123" s="2">
        <f>sa_retail_sales[[#This Row],[Profit]] / sa_retail_sales[[#This Row],[Revenue]]</f>
        <v>0.88504753673293002</v>
      </c>
      <c r="J123">
        <f xml:space="preserve"> YEAR(sa_retail_sales[[#This Row],[Order Date]])</f>
        <v>2023</v>
      </c>
    </row>
    <row r="124" spans="1:10" x14ac:dyDescent="0.3">
      <c r="A124" s="1">
        <v>45621</v>
      </c>
      <c r="B124" t="s">
        <v>17</v>
      </c>
      <c r="C124" t="s">
        <v>14</v>
      </c>
      <c r="D124" t="s">
        <v>10</v>
      </c>
      <c r="E124">
        <v>9334</v>
      </c>
      <c r="F124">
        <v>9787</v>
      </c>
      <c r="G124">
        <v>10</v>
      </c>
      <c r="H124">
        <v>-453</v>
      </c>
      <c r="I124" s="2">
        <f>sa_retail_sales[[#This Row],[Profit]] / sa_retail_sales[[#This Row],[Revenue]]</f>
        <v>-4.8532247696593103E-2</v>
      </c>
      <c r="J124">
        <f xml:space="preserve"> YEAR(sa_retail_sales[[#This Row],[Order Date]])</f>
        <v>2024</v>
      </c>
    </row>
    <row r="125" spans="1:10" x14ac:dyDescent="0.3">
      <c r="A125" s="1">
        <v>45086</v>
      </c>
      <c r="B125" t="s">
        <v>17</v>
      </c>
      <c r="C125" t="s">
        <v>9</v>
      </c>
      <c r="D125" t="s">
        <v>15</v>
      </c>
      <c r="E125">
        <v>6494</v>
      </c>
      <c r="F125">
        <v>8206</v>
      </c>
      <c r="G125">
        <v>5</v>
      </c>
      <c r="H125">
        <v>-1712</v>
      </c>
      <c r="I125" s="2">
        <f>sa_retail_sales[[#This Row],[Profit]] / sa_retail_sales[[#This Row],[Revenue]]</f>
        <v>-0.26362796427471513</v>
      </c>
      <c r="J125">
        <f xml:space="preserve"> YEAR(sa_retail_sales[[#This Row],[Order Date]])</f>
        <v>2023</v>
      </c>
    </row>
    <row r="126" spans="1:10" x14ac:dyDescent="0.3">
      <c r="A126" s="1">
        <v>45139</v>
      </c>
      <c r="B126" t="s">
        <v>17</v>
      </c>
      <c r="C126" t="s">
        <v>9</v>
      </c>
      <c r="D126" t="s">
        <v>19</v>
      </c>
      <c r="E126">
        <v>7716</v>
      </c>
      <c r="F126">
        <v>10555</v>
      </c>
      <c r="G126">
        <v>15</v>
      </c>
      <c r="H126">
        <v>-2839</v>
      </c>
      <c r="I126" s="2">
        <f>sa_retail_sales[[#This Row],[Profit]] / sa_retail_sales[[#This Row],[Revenue]]</f>
        <v>-0.36793675479523069</v>
      </c>
      <c r="J126">
        <f xml:space="preserve"> YEAR(sa_retail_sales[[#This Row],[Order Date]])</f>
        <v>2023</v>
      </c>
    </row>
    <row r="127" spans="1:10" x14ac:dyDescent="0.3">
      <c r="A127" s="1">
        <v>45243</v>
      </c>
      <c r="B127" t="s">
        <v>8</v>
      </c>
      <c r="C127" t="s">
        <v>9</v>
      </c>
      <c r="D127" t="s">
        <v>15</v>
      </c>
      <c r="E127">
        <v>13354</v>
      </c>
      <c r="F127">
        <v>1747</v>
      </c>
      <c r="G127">
        <v>5</v>
      </c>
      <c r="H127">
        <v>11607</v>
      </c>
      <c r="I127" s="2">
        <f>sa_retail_sales[[#This Row],[Profit]] / sa_retail_sales[[#This Row],[Revenue]]</f>
        <v>0.86917777444960309</v>
      </c>
      <c r="J127">
        <f xml:space="preserve"> YEAR(sa_retail_sales[[#This Row],[Order Date]])</f>
        <v>2023</v>
      </c>
    </row>
    <row r="128" spans="1:10" x14ac:dyDescent="0.3">
      <c r="A128" s="1">
        <v>45118</v>
      </c>
      <c r="B128" t="s">
        <v>17</v>
      </c>
      <c r="C128" t="s">
        <v>13</v>
      </c>
      <c r="D128" t="s">
        <v>19</v>
      </c>
      <c r="E128">
        <v>9357</v>
      </c>
      <c r="F128">
        <v>10537</v>
      </c>
      <c r="G128">
        <v>0</v>
      </c>
      <c r="H128">
        <v>-1180</v>
      </c>
      <c r="I128" s="2">
        <f>sa_retail_sales[[#This Row],[Profit]] / sa_retail_sales[[#This Row],[Revenue]]</f>
        <v>-0.1261087955541306</v>
      </c>
      <c r="J128">
        <f xml:space="preserve"> YEAR(sa_retail_sales[[#This Row],[Order Date]])</f>
        <v>2023</v>
      </c>
    </row>
    <row r="129" spans="1:10" x14ac:dyDescent="0.3">
      <c r="A129" s="1">
        <v>45574</v>
      </c>
      <c r="B129" t="s">
        <v>8</v>
      </c>
      <c r="C129" t="s">
        <v>13</v>
      </c>
      <c r="D129" t="s">
        <v>15</v>
      </c>
      <c r="E129">
        <v>3926</v>
      </c>
      <c r="F129">
        <v>3150</v>
      </c>
      <c r="G129">
        <v>15</v>
      </c>
      <c r="H129">
        <v>776</v>
      </c>
      <c r="I129" s="2">
        <f>sa_retail_sales[[#This Row],[Profit]] / sa_retail_sales[[#This Row],[Revenue]]</f>
        <v>0.19765664798777383</v>
      </c>
      <c r="J129">
        <f xml:space="preserve"> YEAR(sa_retail_sales[[#This Row],[Order Date]])</f>
        <v>2024</v>
      </c>
    </row>
    <row r="130" spans="1:10" x14ac:dyDescent="0.3">
      <c r="A130" s="1">
        <v>45207</v>
      </c>
      <c r="B130" t="s">
        <v>8</v>
      </c>
      <c r="C130" t="s">
        <v>14</v>
      </c>
      <c r="D130" t="s">
        <v>12</v>
      </c>
      <c r="E130">
        <v>4283</v>
      </c>
      <c r="F130">
        <v>10560</v>
      </c>
      <c r="G130">
        <v>10</v>
      </c>
      <c r="H130">
        <v>-6277</v>
      </c>
      <c r="I130" s="2">
        <f>sa_retail_sales[[#This Row],[Profit]] / sa_retail_sales[[#This Row],[Revenue]]</f>
        <v>-1.465561522297455</v>
      </c>
      <c r="J130">
        <f xml:space="preserve"> YEAR(sa_retail_sales[[#This Row],[Order Date]])</f>
        <v>2023</v>
      </c>
    </row>
    <row r="131" spans="1:10" x14ac:dyDescent="0.3">
      <c r="A131" s="1">
        <v>45357</v>
      </c>
      <c r="B131" t="s">
        <v>8</v>
      </c>
      <c r="C131" t="s">
        <v>9</v>
      </c>
      <c r="D131" t="s">
        <v>12</v>
      </c>
      <c r="E131">
        <v>5927</v>
      </c>
      <c r="F131">
        <v>8406</v>
      </c>
      <c r="G131">
        <v>20</v>
      </c>
      <c r="H131">
        <v>-2479</v>
      </c>
      <c r="I131" s="2">
        <f>sa_retail_sales[[#This Row],[Profit]] / sa_retail_sales[[#This Row],[Revenue]]</f>
        <v>-0.41825544120128227</v>
      </c>
      <c r="J131">
        <f xml:space="preserve"> YEAR(sa_retail_sales[[#This Row],[Order Date]])</f>
        <v>2024</v>
      </c>
    </row>
    <row r="132" spans="1:10" x14ac:dyDescent="0.3">
      <c r="A132" s="1">
        <v>45613</v>
      </c>
      <c r="B132" t="s">
        <v>11</v>
      </c>
      <c r="C132" t="s">
        <v>13</v>
      </c>
      <c r="D132" t="s">
        <v>15</v>
      </c>
      <c r="E132">
        <v>7511</v>
      </c>
      <c r="F132">
        <v>10767</v>
      </c>
      <c r="G132">
        <v>20</v>
      </c>
      <c r="H132">
        <v>-3256</v>
      </c>
      <c r="I132" s="2">
        <f>sa_retail_sales[[#This Row],[Profit]] / sa_retail_sales[[#This Row],[Revenue]]</f>
        <v>-0.43349753694581283</v>
      </c>
      <c r="J132">
        <f xml:space="preserve"> YEAR(sa_retail_sales[[#This Row],[Order Date]])</f>
        <v>2024</v>
      </c>
    </row>
    <row r="133" spans="1:10" x14ac:dyDescent="0.3">
      <c r="A133" s="1">
        <v>44751</v>
      </c>
      <c r="B133" t="s">
        <v>11</v>
      </c>
      <c r="C133" t="s">
        <v>9</v>
      </c>
      <c r="D133" t="s">
        <v>10</v>
      </c>
      <c r="E133">
        <v>8552</v>
      </c>
      <c r="F133">
        <v>7451</v>
      </c>
      <c r="G133">
        <v>0</v>
      </c>
      <c r="H133">
        <v>1101</v>
      </c>
      <c r="I133" s="2">
        <f>sa_retail_sales[[#This Row],[Profit]] / sa_retail_sales[[#This Row],[Revenue]]</f>
        <v>0.12874181478016838</v>
      </c>
      <c r="J133">
        <f xml:space="preserve"> YEAR(sa_retail_sales[[#This Row],[Order Date]])</f>
        <v>2022</v>
      </c>
    </row>
    <row r="134" spans="1:10" x14ac:dyDescent="0.3">
      <c r="A134" s="1">
        <v>45194</v>
      </c>
      <c r="B134" t="s">
        <v>17</v>
      </c>
      <c r="C134" t="s">
        <v>13</v>
      </c>
      <c r="D134" t="s">
        <v>19</v>
      </c>
      <c r="E134">
        <v>4201</v>
      </c>
      <c r="F134">
        <v>10300</v>
      </c>
      <c r="G134">
        <v>5</v>
      </c>
      <c r="H134">
        <v>-6099</v>
      </c>
      <c r="I134" s="2">
        <f>sa_retail_sales[[#This Row],[Profit]] / sa_retail_sales[[#This Row],[Revenue]]</f>
        <v>-1.4517971911449654</v>
      </c>
      <c r="J134">
        <f xml:space="preserve"> YEAR(sa_retail_sales[[#This Row],[Order Date]])</f>
        <v>2023</v>
      </c>
    </row>
    <row r="135" spans="1:10" x14ac:dyDescent="0.3">
      <c r="A135" s="1">
        <v>45189</v>
      </c>
      <c r="B135" t="s">
        <v>17</v>
      </c>
      <c r="C135" t="s">
        <v>16</v>
      </c>
      <c r="D135" t="s">
        <v>12</v>
      </c>
      <c r="E135">
        <v>14586</v>
      </c>
      <c r="F135">
        <v>9803</v>
      </c>
      <c r="G135">
        <v>0</v>
      </c>
      <c r="H135">
        <v>4783</v>
      </c>
      <c r="I135" s="2">
        <f>sa_retail_sales[[#This Row],[Profit]] / sa_retail_sales[[#This Row],[Revenue]]</f>
        <v>0.3279171808583573</v>
      </c>
      <c r="J135">
        <f xml:space="preserve"> YEAR(sa_retail_sales[[#This Row],[Order Date]])</f>
        <v>2023</v>
      </c>
    </row>
    <row r="136" spans="1:10" x14ac:dyDescent="0.3">
      <c r="A136" s="1">
        <v>45534</v>
      </c>
      <c r="B136" t="s">
        <v>11</v>
      </c>
      <c r="C136" t="s">
        <v>16</v>
      </c>
      <c r="D136" t="s">
        <v>10</v>
      </c>
      <c r="E136">
        <v>9761</v>
      </c>
      <c r="F136">
        <v>7252</v>
      </c>
      <c r="G136">
        <v>20</v>
      </c>
      <c r="H136">
        <v>2509</v>
      </c>
      <c r="I136" s="2">
        <f>sa_retail_sales[[#This Row],[Profit]] / sa_retail_sales[[#This Row],[Revenue]]</f>
        <v>0.25704333572379878</v>
      </c>
      <c r="J136">
        <f xml:space="preserve"> YEAR(sa_retail_sales[[#This Row],[Order Date]])</f>
        <v>2024</v>
      </c>
    </row>
    <row r="137" spans="1:10" x14ac:dyDescent="0.3">
      <c r="A137" s="1">
        <v>45271</v>
      </c>
      <c r="B137" t="s">
        <v>18</v>
      </c>
      <c r="C137" t="s">
        <v>9</v>
      </c>
      <c r="D137" t="s">
        <v>19</v>
      </c>
      <c r="E137">
        <v>2849</v>
      </c>
      <c r="F137">
        <v>4355</v>
      </c>
      <c r="G137">
        <v>10</v>
      </c>
      <c r="H137">
        <v>-1506</v>
      </c>
      <c r="I137" s="2">
        <f>sa_retail_sales[[#This Row],[Profit]] / sa_retail_sales[[#This Row],[Revenue]]</f>
        <v>-0.52860652860652857</v>
      </c>
      <c r="J137">
        <f xml:space="preserve"> YEAR(sa_retail_sales[[#This Row],[Order Date]])</f>
        <v>2023</v>
      </c>
    </row>
    <row r="138" spans="1:10" x14ac:dyDescent="0.3">
      <c r="A138" s="1">
        <v>45210</v>
      </c>
      <c r="B138" t="s">
        <v>11</v>
      </c>
      <c r="C138" t="s">
        <v>14</v>
      </c>
      <c r="D138" t="s">
        <v>12</v>
      </c>
      <c r="E138">
        <v>7511</v>
      </c>
      <c r="F138">
        <v>5702</v>
      </c>
      <c r="G138">
        <v>20</v>
      </c>
      <c r="H138">
        <v>1809</v>
      </c>
      <c r="I138" s="2">
        <f>sa_retail_sales[[#This Row],[Profit]] / sa_retail_sales[[#This Row],[Revenue]]</f>
        <v>0.24084675808813741</v>
      </c>
      <c r="J138">
        <f xml:space="preserve"> YEAR(sa_retail_sales[[#This Row],[Order Date]])</f>
        <v>2023</v>
      </c>
    </row>
    <row r="139" spans="1:10" x14ac:dyDescent="0.3">
      <c r="A139" s="1">
        <v>44879</v>
      </c>
      <c r="B139" t="s">
        <v>8</v>
      </c>
      <c r="C139" t="s">
        <v>13</v>
      </c>
      <c r="D139" t="s">
        <v>12</v>
      </c>
      <c r="E139">
        <v>7555</v>
      </c>
      <c r="F139">
        <v>10943</v>
      </c>
      <c r="G139">
        <v>15</v>
      </c>
      <c r="H139">
        <v>-3388</v>
      </c>
      <c r="I139" s="2">
        <f>sa_retail_sales[[#This Row],[Profit]] / sa_retail_sales[[#This Row],[Revenue]]</f>
        <v>-0.44844473858371942</v>
      </c>
      <c r="J139">
        <f xml:space="preserve"> YEAR(sa_retail_sales[[#This Row],[Order Date]])</f>
        <v>2022</v>
      </c>
    </row>
    <row r="140" spans="1:10" x14ac:dyDescent="0.3">
      <c r="A140" s="1">
        <v>45245</v>
      </c>
      <c r="B140" t="s">
        <v>11</v>
      </c>
      <c r="C140" t="s">
        <v>13</v>
      </c>
      <c r="D140" t="s">
        <v>15</v>
      </c>
      <c r="E140">
        <v>13195</v>
      </c>
      <c r="F140">
        <v>9581</v>
      </c>
      <c r="G140">
        <v>20</v>
      </c>
      <c r="H140">
        <v>3614</v>
      </c>
      <c r="I140" s="2">
        <f>sa_retail_sales[[#This Row],[Profit]] / sa_retail_sales[[#This Row],[Revenue]]</f>
        <v>0.27389162561576352</v>
      </c>
      <c r="J140">
        <f xml:space="preserve"> YEAR(sa_retail_sales[[#This Row],[Order Date]])</f>
        <v>2023</v>
      </c>
    </row>
    <row r="141" spans="1:10" x14ac:dyDescent="0.3">
      <c r="A141" s="1">
        <v>45225</v>
      </c>
      <c r="B141" t="s">
        <v>8</v>
      </c>
      <c r="C141" t="s">
        <v>16</v>
      </c>
      <c r="D141" t="s">
        <v>19</v>
      </c>
      <c r="E141">
        <v>1712</v>
      </c>
      <c r="F141">
        <v>1972</v>
      </c>
      <c r="G141">
        <v>20</v>
      </c>
      <c r="H141">
        <v>-260</v>
      </c>
      <c r="I141" s="2">
        <f>sa_retail_sales[[#This Row],[Profit]] / sa_retail_sales[[#This Row],[Revenue]]</f>
        <v>-0.15186915887850466</v>
      </c>
      <c r="J141">
        <f xml:space="preserve"> YEAR(sa_retail_sales[[#This Row],[Order Date]])</f>
        <v>2023</v>
      </c>
    </row>
    <row r="142" spans="1:10" x14ac:dyDescent="0.3">
      <c r="A142" s="1">
        <v>45003</v>
      </c>
      <c r="B142" t="s">
        <v>17</v>
      </c>
      <c r="C142" t="s">
        <v>16</v>
      </c>
      <c r="D142" t="s">
        <v>10</v>
      </c>
      <c r="E142">
        <v>7465</v>
      </c>
      <c r="F142">
        <v>4832</v>
      </c>
      <c r="G142">
        <v>15</v>
      </c>
      <c r="H142">
        <v>2633</v>
      </c>
      <c r="I142" s="2">
        <f>sa_retail_sales[[#This Row],[Profit]] / sa_retail_sales[[#This Row],[Revenue]]</f>
        <v>0.35271265907568655</v>
      </c>
      <c r="J142">
        <f xml:space="preserve"> YEAR(sa_retail_sales[[#This Row],[Order Date]])</f>
        <v>2023</v>
      </c>
    </row>
    <row r="143" spans="1:10" x14ac:dyDescent="0.3">
      <c r="A143" s="1">
        <v>45125</v>
      </c>
      <c r="B143" t="s">
        <v>18</v>
      </c>
      <c r="C143" t="s">
        <v>14</v>
      </c>
      <c r="D143" t="s">
        <v>10</v>
      </c>
      <c r="E143">
        <v>14641</v>
      </c>
      <c r="F143">
        <v>5224</v>
      </c>
      <c r="G143">
        <v>5</v>
      </c>
      <c r="H143">
        <v>9417</v>
      </c>
      <c r="I143" s="2">
        <f>sa_retail_sales[[#This Row],[Profit]] / sa_retail_sales[[#This Row],[Revenue]]</f>
        <v>0.64319377091728702</v>
      </c>
      <c r="J143">
        <f xml:space="preserve"> YEAR(sa_retail_sales[[#This Row],[Order Date]])</f>
        <v>2023</v>
      </c>
    </row>
    <row r="144" spans="1:10" x14ac:dyDescent="0.3">
      <c r="A144" s="1">
        <v>45513</v>
      </c>
      <c r="B144" t="s">
        <v>17</v>
      </c>
      <c r="C144" t="s">
        <v>14</v>
      </c>
      <c r="D144" t="s">
        <v>10</v>
      </c>
      <c r="E144">
        <v>9844</v>
      </c>
      <c r="F144">
        <v>10495</v>
      </c>
      <c r="G144">
        <v>20</v>
      </c>
      <c r="H144">
        <v>-651</v>
      </c>
      <c r="I144" s="2">
        <f>sa_retail_sales[[#This Row],[Profit]] / sa_retail_sales[[#This Row],[Revenue]]</f>
        <v>-6.6131653799268594E-2</v>
      </c>
      <c r="J144">
        <f xml:space="preserve"> YEAR(sa_retail_sales[[#This Row],[Order Date]])</f>
        <v>2024</v>
      </c>
    </row>
    <row r="145" spans="1:10" x14ac:dyDescent="0.3">
      <c r="A145" s="1">
        <v>45260</v>
      </c>
      <c r="B145" t="s">
        <v>8</v>
      </c>
      <c r="C145" t="s">
        <v>14</v>
      </c>
      <c r="D145" t="s">
        <v>19</v>
      </c>
      <c r="E145">
        <v>7204</v>
      </c>
      <c r="F145">
        <v>6385</v>
      </c>
      <c r="G145">
        <v>0</v>
      </c>
      <c r="H145">
        <v>819</v>
      </c>
      <c r="I145" s="2">
        <f>sa_retail_sales[[#This Row],[Profit]] / sa_retail_sales[[#This Row],[Revenue]]</f>
        <v>0.11368684064408661</v>
      </c>
      <c r="J145">
        <f xml:space="preserve"> YEAR(sa_retail_sales[[#This Row],[Order Date]])</f>
        <v>2023</v>
      </c>
    </row>
    <row r="146" spans="1:10" x14ac:dyDescent="0.3">
      <c r="A146" s="1">
        <v>44674</v>
      </c>
      <c r="B146" t="s">
        <v>8</v>
      </c>
      <c r="C146" t="s">
        <v>9</v>
      </c>
      <c r="D146" t="s">
        <v>10</v>
      </c>
      <c r="E146">
        <v>7933</v>
      </c>
      <c r="F146">
        <v>8034</v>
      </c>
      <c r="G146">
        <v>20</v>
      </c>
      <c r="H146">
        <v>-101</v>
      </c>
      <c r="I146" s="2">
        <f>sa_retail_sales[[#This Row],[Profit]] / sa_retail_sales[[#This Row],[Revenue]]</f>
        <v>-1.2731627379301651E-2</v>
      </c>
      <c r="J146">
        <f xml:space="preserve"> YEAR(sa_retail_sales[[#This Row],[Order Date]])</f>
        <v>2022</v>
      </c>
    </row>
    <row r="147" spans="1:10" x14ac:dyDescent="0.3">
      <c r="A147" s="1">
        <v>44563</v>
      </c>
      <c r="B147" t="s">
        <v>8</v>
      </c>
      <c r="C147" t="s">
        <v>16</v>
      </c>
      <c r="D147" t="s">
        <v>10</v>
      </c>
      <c r="E147">
        <v>13929</v>
      </c>
      <c r="F147">
        <v>5164</v>
      </c>
      <c r="G147">
        <v>0</v>
      </c>
      <c r="H147">
        <v>8765</v>
      </c>
      <c r="I147" s="2">
        <f>sa_retail_sales[[#This Row],[Profit]] / sa_retail_sales[[#This Row],[Revenue]]</f>
        <v>0.62926268935314811</v>
      </c>
      <c r="J147">
        <f xml:space="preserve"> YEAR(sa_retail_sales[[#This Row],[Order Date]])</f>
        <v>2022</v>
      </c>
    </row>
    <row r="148" spans="1:10" x14ac:dyDescent="0.3">
      <c r="A148" s="1">
        <v>45203</v>
      </c>
      <c r="B148" t="s">
        <v>18</v>
      </c>
      <c r="C148" t="s">
        <v>9</v>
      </c>
      <c r="D148" t="s">
        <v>10</v>
      </c>
      <c r="E148">
        <v>3011</v>
      </c>
      <c r="F148">
        <v>9616</v>
      </c>
      <c r="G148">
        <v>15</v>
      </c>
      <c r="H148">
        <v>-6605</v>
      </c>
      <c r="I148" s="2">
        <f>sa_retail_sales[[#This Row],[Profit]] / sa_retail_sales[[#This Row],[Revenue]]</f>
        <v>-2.1936233809365659</v>
      </c>
      <c r="J148">
        <f xml:space="preserve"> YEAR(sa_retail_sales[[#This Row],[Order Date]])</f>
        <v>2023</v>
      </c>
    </row>
    <row r="149" spans="1:10" x14ac:dyDescent="0.3">
      <c r="A149" s="1">
        <v>44781</v>
      </c>
      <c r="B149" t="s">
        <v>11</v>
      </c>
      <c r="C149" t="s">
        <v>16</v>
      </c>
      <c r="D149" t="s">
        <v>15</v>
      </c>
      <c r="E149">
        <v>643</v>
      </c>
      <c r="F149">
        <v>1521</v>
      </c>
      <c r="G149">
        <v>20</v>
      </c>
      <c r="H149">
        <v>-878</v>
      </c>
      <c r="I149" s="2">
        <f>sa_retail_sales[[#This Row],[Profit]] / sa_retail_sales[[#This Row],[Revenue]]</f>
        <v>-1.3654743390357698</v>
      </c>
      <c r="J149">
        <f xml:space="preserve"> YEAR(sa_retail_sales[[#This Row],[Order Date]])</f>
        <v>2022</v>
      </c>
    </row>
    <row r="150" spans="1:10" x14ac:dyDescent="0.3">
      <c r="A150" s="1">
        <v>45416</v>
      </c>
      <c r="B150" t="s">
        <v>17</v>
      </c>
      <c r="C150" t="s">
        <v>16</v>
      </c>
      <c r="D150" t="s">
        <v>15</v>
      </c>
      <c r="E150">
        <v>11181</v>
      </c>
      <c r="F150">
        <v>3160</v>
      </c>
      <c r="G150">
        <v>15</v>
      </c>
      <c r="H150">
        <v>8021</v>
      </c>
      <c r="I150" s="2">
        <f>sa_retail_sales[[#This Row],[Profit]] / sa_retail_sales[[#This Row],[Revenue]]</f>
        <v>0.71737769430283516</v>
      </c>
      <c r="J150">
        <f xml:space="preserve"> YEAR(sa_retail_sales[[#This Row],[Order Date]])</f>
        <v>2024</v>
      </c>
    </row>
    <row r="151" spans="1:10" x14ac:dyDescent="0.3">
      <c r="A151" s="1">
        <v>44946</v>
      </c>
      <c r="B151" t="s">
        <v>17</v>
      </c>
      <c r="C151" t="s">
        <v>13</v>
      </c>
      <c r="D151" t="s">
        <v>19</v>
      </c>
      <c r="E151">
        <v>7867</v>
      </c>
      <c r="F151">
        <v>10765</v>
      </c>
      <c r="G151">
        <v>15</v>
      </c>
      <c r="H151">
        <v>-2898</v>
      </c>
      <c r="I151" s="2">
        <f>sa_retail_sales[[#This Row],[Profit]] / sa_retail_sales[[#This Row],[Revenue]]</f>
        <v>-0.36837422143129528</v>
      </c>
      <c r="J151">
        <f xml:space="preserve"> YEAR(sa_retail_sales[[#This Row],[Order Date]])</f>
        <v>2023</v>
      </c>
    </row>
    <row r="152" spans="1:10" x14ac:dyDescent="0.3">
      <c r="A152" s="1">
        <v>45638</v>
      </c>
      <c r="B152" t="s">
        <v>11</v>
      </c>
      <c r="C152" t="s">
        <v>16</v>
      </c>
      <c r="D152" t="s">
        <v>19</v>
      </c>
      <c r="E152">
        <v>3728</v>
      </c>
      <c r="F152">
        <v>11482</v>
      </c>
      <c r="G152">
        <v>5</v>
      </c>
      <c r="H152">
        <v>-7754</v>
      </c>
      <c r="I152" s="2">
        <f>sa_retail_sales[[#This Row],[Profit]] / sa_retail_sales[[#This Row],[Revenue]]</f>
        <v>-2.0799356223175964</v>
      </c>
      <c r="J152">
        <f xml:space="preserve"> YEAR(sa_retail_sales[[#This Row],[Order Date]])</f>
        <v>2024</v>
      </c>
    </row>
    <row r="153" spans="1:10" x14ac:dyDescent="0.3">
      <c r="A153" s="1">
        <v>45291</v>
      </c>
      <c r="B153" t="s">
        <v>17</v>
      </c>
      <c r="C153" t="s">
        <v>16</v>
      </c>
      <c r="D153" t="s">
        <v>10</v>
      </c>
      <c r="E153">
        <v>5082</v>
      </c>
      <c r="F153">
        <v>11002</v>
      </c>
      <c r="G153">
        <v>20</v>
      </c>
      <c r="H153">
        <v>-5920</v>
      </c>
      <c r="I153" s="2">
        <f>sa_retail_sales[[#This Row],[Profit]] / sa_retail_sales[[#This Row],[Revenue]]</f>
        <v>-1.1648957103502557</v>
      </c>
      <c r="J153">
        <f xml:space="preserve"> YEAR(sa_retail_sales[[#This Row],[Order Date]])</f>
        <v>2023</v>
      </c>
    </row>
    <row r="154" spans="1:10" x14ac:dyDescent="0.3">
      <c r="A154" s="1">
        <v>44808</v>
      </c>
      <c r="B154" t="s">
        <v>18</v>
      </c>
      <c r="C154" t="s">
        <v>9</v>
      </c>
      <c r="D154" t="s">
        <v>15</v>
      </c>
      <c r="E154">
        <v>13647</v>
      </c>
      <c r="F154">
        <v>8728</v>
      </c>
      <c r="G154">
        <v>0</v>
      </c>
      <c r="H154">
        <v>4919</v>
      </c>
      <c r="I154" s="2">
        <f>sa_retail_sales[[#This Row],[Profit]] / sa_retail_sales[[#This Row],[Revenue]]</f>
        <v>0.36044551916172052</v>
      </c>
      <c r="J154">
        <f xml:space="preserve"> YEAR(sa_retail_sales[[#This Row],[Order Date]])</f>
        <v>2022</v>
      </c>
    </row>
    <row r="155" spans="1:10" x14ac:dyDescent="0.3">
      <c r="A155" s="1">
        <v>45397</v>
      </c>
      <c r="B155" t="s">
        <v>17</v>
      </c>
      <c r="C155" t="s">
        <v>16</v>
      </c>
      <c r="D155" t="s">
        <v>12</v>
      </c>
      <c r="E155">
        <v>11897</v>
      </c>
      <c r="F155">
        <v>9636</v>
      </c>
      <c r="G155">
        <v>0</v>
      </c>
      <c r="H155">
        <v>2261</v>
      </c>
      <c r="I155" s="2">
        <f>sa_retail_sales[[#This Row],[Profit]] / sa_retail_sales[[#This Row],[Revenue]]</f>
        <v>0.19004791123812725</v>
      </c>
      <c r="J155">
        <f xml:space="preserve"> YEAR(sa_retail_sales[[#This Row],[Order Date]])</f>
        <v>2024</v>
      </c>
    </row>
    <row r="156" spans="1:10" x14ac:dyDescent="0.3">
      <c r="A156" s="1">
        <v>44764</v>
      </c>
      <c r="B156" t="s">
        <v>8</v>
      </c>
      <c r="C156" t="s">
        <v>9</v>
      </c>
      <c r="D156" t="s">
        <v>12</v>
      </c>
      <c r="E156">
        <v>6531</v>
      </c>
      <c r="F156">
        <v>3553</v>
      </c>
      <c r="G156">
        <v>20</v>
      </c>
      <c r="H156">
        <v>2978</v>
      </c>
      <c r="I156" s="2">
        <f>sa_retail_sales[[#This Row],[Profit]] / sa_retail_sales[[#This Row],[Revenue]]</f>
        <v>0.45597917623641099</v>
      </c>
      <c r="J156">
        <f xml:space="preserve"> YEAR(sa_retail_sales[[#This Row],[Order Date]])</f>
        <v>2022</v>
      </c>
    </row>
    <row r="157" spans="1:10" x14ac:dyDescent="0.3">
      <c r="A157" s="1">
        <v>44684</v>
      </c>
      <c r="B157" t="s">
        <v>11</v>
      </c>
      <c r="C157" t="s">
        <v>14</v>
      </c>
      <c r="D157" t="s">
        <v>10</v>
      </c>
      <c r="E157">
        <v>4743</v>
      </c>
      <c r="F157">
        <v>4082</v>
      </c>
      <c r="G157">
        <v>5</v>
      </c>
      <c r="H157">
        <v>661</v>
      </c>
      <c r="I157" s="2">
        <f>sa_retail_sales[[#This Row],[Profit]] / sa_retail_sales[[#This Row],[Revenue]]</f>
        <v>0.13936327219059666</v>
      </c>
      <c r="J157">
        <f xml:space="preserve"> YEAR(sa_retail_sales[[#This Row],[Order Date]])</f>
        <v>2022</v>
      </c>
    </row>
    <row r="158" spans="1:10" x14ac:dyDescent="0.3">
      <c r="A158" s="1">
        <v>44962</v>
      </c>
      <c r="B158" t="s">
        <v>18</v>
      </c>
      <c r="C158" t="s">
        <v>16</v>
      </c>
      <c r="D158" t="s">
        <v>10</v>
      </c>
      <c r="E158">
        <v>14147</v>
      </c>
      <c r="F158">
        <v>7257</v>
      </c>
      <c r="G158">
        <v>5</v>
      </c>
      <c r="H158">
        <v>6890</v>
      </c>
      <c r="I158" s="2">
        <f>sa_retail_sales[[#This Row],[Profit]] / sa_retail_sales[[#This Row],[Revenue]]</f>
        <v>0.48702905209585073</v>
      </c>
      <c r="J158">
        <f xml:space="preserve"> YEAR(sa_retail_sales[[#This Row],[Order Date]])</f>
        <v>2023</v>
      </c>
    </row>
    <row r="159" spans="1:10" x14ac:dyDescent="0.3">
      <c r="A159" s="1">
        <v>45328</v>
      </c>
      <c r="B159" t="s">
        <v>11</v>
      </c>
      <c r="C159" t="s">
        <v>16</v>
      </c>
      <c r="D159" t="s">
        <v>15</v>
      </c>
      <c r="E159">
        <v>11834</v>
      </c>
      <c r="F159">
        <v>1066</v>
      </c>
      <c r="G159">
        <v>5</v>
      </c>
      <c r="H159">
        <v>10768</v>
      </c>
      <c r="I159" s="2">
        <f>sa_retail_sales[[#This Row],[Profit]] / sa_retail_sales[[#This Row],[Revenue]]</f>
        <v>0.90992056785533204</v>
      </c>
      <c r="J159">
        <f xml:space="preserve"> YEAR(sa_retail_sales[[#This Row],[Order Date]])</f>
        <v>2024</v>
      </c>
    </row>
    <row r="160" spans="1:10" x14ac:dyDescent="0.3">
      <c r="A160" s="1">
        <v>44855</v>
      </c>
      <c r="B160" t="s">
        <v>18</v>
      </c>
      <c r="C160" t="s">
        <v>9</v>
      </c>
      <c r="D160" t="s">
        <v>15</v>
      </c>
      <c r="E160">
        <v>11996</v>
      </c>
      <c r="F160">
        <v>2981</v>
      </c>
      <c r="G160">
        <v>0</v>
      </c>
      <c r="H160">
        <v>9015</v>
      </c>
      <c r="I160" s="2">
        <f>sa_retail_sales[[#This Row],[Profit]] / sa_retail_sales[[#This Row],[Revenue]]</f>
        <v>0.75150050016672221</v>
      </c>
      <c r="J160">
        <f xml:space="preserve"> YEAR(sa_retail_sales[[#This Row],[Order Date]])</f>
        <v>2022</v>
      </c>
    </row>
    <row r="161" spans="1:10" x14ac:dyDescent="0.3">
      <c r="A161" s="1">
        <v>44841</v>
      </c>
      <c r="B161" t="s">
        <v>8</v>
      </c>
      <c r="C161" t="s">
        <v>14</v>
      </c>
      <c r="D161" t="s">
        <v>15</v>
      </c>
      <c r="E161">
        <v>10049</v>
      </c>
      <c r="F161">
        <v>8010</v>
      </c>
      <c r="G161">
        <v>15</v>
      </c>
      <c r="H161">
        <v>2039</v>
      </c>
      <c r="I161" s="2">
        <f>sa_retail_sales[[#This Row],[Profit]] / sa_retail_sales[[#This Row],[Revenue]]</f>
        <v>0.20290576176734004</v>
      </c>
      <c r="J161">
        <f xml:space="preserve"> YEAR(sa_retail_sales[[#This Row],[Order Date]])</f>
        <v>2022</v>
      </c>
    </row>
    <row r="162" spans="1:10" x14ac:dyDescent="0.3">
      <c r="A162" s="1">
        <v>45445</v>
      </c>
      <c r="B162" t="s">
        <v>11</v>
      </c>
      <c r="C162" t="s">
        <v>13</v>
      </c>
      <c r="D162" t="s">
        <v>19</v>
      </c>
      <c r="E162">
        <v>3213</v>
      </c>
      <c r="F162">
        <v>7782</v>
      </c>
      <c r="G162">
        <v>5</v>
      </c>
      <c r="H162">
        <v>-4569</v>
      </c>
      <c r="I162" s="2">
        <f>sa_retail_sales[[#This Row],[Profit]] / sa_retail_sales[[#This Row],[Revenue]]</f>
        <v>-1.4220354808590103</v>
      </c>
      <c r="J162">
        <f xml:space="preserve"> YEAR(sa_retail_sales[[#This Row],[Order Date]])</f>
        <v>2024</v>
      </c>
    </row>
    <row r="163" spans="1:10" x14ac:dyDescent="0.3">
      <c r="A163" s="1">
        <v>44759</v>
      </c>
      <c r="B163" t="s">
        <v>17</v>
      </c>
      <c r="C163" t="s">
        <v>14</v>
      </c>
      <c r="D163" t="s">
        <v>19</v>
      </c>
      <c r="E163">
        <v>4685</v>
      </c>
      <c r="F163">
        <v>5386</v>
      </c>
      <c r="G163">
        <v>0</v>
      </c>
      <c r="H163">
        <v>-701</v>
      </c>
      <c r="I163" s="2">
        <f>sa_retail_sales[[#This Row],[Profit]] / sa_retail_sales[[#This Row],[Revenue]]</f>
        <v>-0.1496264674493063</v>
      </c>
      <c r="J163">
        <f xml:space="preserve"> YEAR(sa_retail_sales[[#This Row],[Order Date]])</f>
        <v>2022</v>
      </c>
    </row>
    <row r="164" spans="1:10" x14ac:dyDescent="0.3">
      <c r="A164" s="1">
        <v>45543</v>
      </c>
      <c r="B164" t="s">
        <v>18</v>
      </c>
      <c r="C164" t="s">
        <v>9</v>
      </c>
      <c r="D164" t="s">
        <v>10</v>
      </c>
      <c r="E164">
        <v>10049</v>
      </c>
      <c r="F164">
        <v>8264</v>
      </c>
      <c r="G164">
        <v>0</v>
      </c>
      <c r="H164">
        <v>1785</v>
      </c>
      <c r="I164" s="2">
        <f>sa_retail_sales[[#This Row],[Profit]] / sa_retail_sales[[#This Row],[Revenue]]</f>
        <v>0.17762961488705345</v>
      </c>
      <c r="J164">
        <f xml:space="preserve"> YEAR(sa_retail_sales[[#This Row],[Order Date]])</f>
        <v>2024</v>
      </c>
    </row>
    <row r="165" spans="1:10" x14ac:dyDescent="0.3">
      <c r="A165" s="1">
        <v>45313</v>
      </c>
      <c r="B165" t="s">
        <v>11</v>
      </c>
      <c r="C165" t="s">
        <v>14</v>
      </c>
      <c r="D165" t="s">
        <v>19</v>
      </c>
      <c r="E165">
        <v>12986</v>
      </c>
      <c r="F165">
        <v>2965</v>
      </c>
      <c r="G165">
        <v>15</v>
      </c>
      <c r="H165">
        <v>10021</v>
      </c>
      <c r="I165" s="2">
        <f>sa_retail_sales[[#This Row],[Profit]] / sa_retail_sales[[#This Row],[Revenue]]</f>
        <v>0.77167719082088404</v>
      </c>
      <c r="J165">
        <f xml:space="preserve"> YEAR(sa_retail_sales[[#This Row],[Order Date]])</f>
        <v>2024</v>
      </c>
    </row>
    <row r="166" spans="1:10" x14ac:dyDescent="0.3">
      <c r="A166" s="1">
        <v>44705</v>
      </c>
      <c r="B166" t="s">
        <v>17</v>
      </c>
      <c r="C166" t="s">
        <v>9</v>
      </c>
      <c r="D166" t="s">
        <v>15</v>
      </c>
      <c r="E166">
        <v>7828</v>
      </c>
      <c r="F166">
        <v>10251</v>
      </c>
      <c r="G166">
        <v>20</v>
      </c>
      <c r="H166">
        <v>-2423</v>
      </c>
      <c r="I166" s="2">
        <f>sa_retail_sales[[#This Row],[Profit]] / sa_retail_sales[[#This Row],[Revenue]]</f>
        <v>-0.30952989269289727</v>
      </c>
      <c r="J166">
        <f xml:space="preserve"> YEAR(sa_retail_sales[[#This Row],[Order Date]])</f>
        <v>2022</v>
      </c>
    </row>
    <row r="167" spans="1:10" x14ac:dyDescent="0.3">
      <c r="A167" s="1">
        <v>45170</v>
      </c>
      <c r="B167" t="s">
        <v>11</v>
      </c>
      <c r="C167" t="s">
        <v>9</v>
      </c>
      <c r="D167" t="s">
        <v>15</v>
      </c>
      <c r="E167">
        <v>5133</v>
      </c>
      <c r="F167">
        <v>11983</v>
      </c>
      <c r="G167">
        <v>20</v>
      </c>
      <c r="H167">
        <v>-6850</v>
      </c>
      <c r="I167" s="2">
        <f>sa_retail_sales[[#This Row],[Profit]] / sa_retail_sales[[#This Row],[Revenue]]</f>
        <v>-1.3345022404052211</v>
      </c>
      <c r="J167">
        <f xml:space="preserve"> YEAR(sa_retail_sales[[#This Row],[Order Date]])</f>
        <v>2023</v>
      </c>
    </row>
    <row r="168" spans="1:10" x14ac:dyDescent="0.3">
      <c r="A168" s="1">
        <v>44748</v>
      </c>
      <c r="B168" t="s">
        <v>11</v>
      </c>
      <c r="C168" t="s">
        <v>13</v>
      </c>
      <c r="D168" t="s">
        <v>19</v>
      </c>
      <c r="E168">
        <v>3692</v>
      </c>
      <c r="F168">
        <v>11307</v>
      </c>
      <c r="G168">
        <v>5</v>
      </c>
      <c r="H168">
        <v>-7615</v>
      </c>
      <c r="I168" s="2">
        <f>sa_retail_sales[[#This Row],[Profit]] / sa_retail_sales[[#This Row],[Revenue]]</f>
        <v>-2.0625677139761649</v>
      </c>
      <c r="J168">
        <f xml:space="preserve"> YEAR(sa_retail_sales[[#This Row],[Order Date]])</f>
        <v>2022</v>
      </c>
    </row>
    <row r="169" spans="1:10" x14ac:dyDescent="0.3">
      <c r="A169" s="1">
        <v>45025</v>
      </c>
      <c r="B169" t="s">
        <v>11</v>
      </c>
      <c r="C169" t="s">
        <v>16</v>
      </c>
      <c r="D169" t="s">
        <v>12</v>
      </c>
      <c r="E169">
        <v>800</v>
      </c>
      <c r="F169">
        <v>3813</v>
      </c>
      <c r="G169">
        <v>5</v>
      </c>
      <c r="H169">
        <v>-3013</v>
      </c>
      <c r="I169" s="2">
        <f>sa_retail_sales[[#This Row],[Profit]] / sa_retail_sales[[#This Row],[Revenue]]</f>
        <v>-3.7662499999999999</v>
      </c>
      <c r="J169">
        <f xml:space="preserve"> YEAR(sa_retail_sales[[#This Row],[Order Date]])</f>
        <v>2023</v>
      </c>
    </row>
    <row r="170" spans="1:10" x14ac:dyDescent="0.3">
      <c r="A170" s="1">
        <v>45221</v>
      </c>
      <c r="B170" t="s">
        <v>18</v>
      </c>
      <c r="C170" t="s">
        <v>9</v>
      </c>
      <c r="D170" t="s">
        <v>10</v>
      </c>
      <c r="E170">
        <v>1223</v>
      </c>
      <c r="F170">
        <v>795</v>
      </c>
      <c r="G170">
        <v>15</v>
      </c>
      <c r="H170">
        <v>428</v>
      </c>
      <c r="I170" s="2">
        <f>sa_retail_sales[[#This Row],[Profit]] / sa_retail_sales[[#This Row],[Revenue]]</f>
        <v>0.34995911692559278</v>
      </c>
      <c r="J170">
        <f xml:space="preserve"> YEAR(sa_retail_sales[[#This Row],[Order Date]])</f>
        <v>2023</v>
      </c>
    </row>
    <row r="171" spans="1:10" x14ac:dyDescent="0.3">
      <c r="A171" s="1">
        <v>45325</v>
      </c>
      <c r="B171" t="s">
        <v>17</v>
      </c>
      <c r="C171" t="s">
        <v>9</v>
      </c>
      <c r="D171" t="s">
        <v>12</v>
      </c>
      <c r="E171">
        <v>6194</v>
      </c>
      <c r="F171">
        <v>11672</v>
      </c>
      <c r="G171">
        <v>5</v>
      </c>
      <c r="H171">
        <v>-5478</v>
      </c>
      <c r="I171" s="2">
        <f>sa_retail_sales[[#This Row],[Profit]] / sa_retail_sales[[#This Row],[Revenue]]</f>
        <v>-0.88440426218921542</v>
      </c>
      <c r="J171">
        <f xml:space="preserve"> YEAR(sa_retail_sales[[#This Row],[Order Date]])</f>
        <v>2024</v>
      </c>
    </row>
    <row r="172" spans="1:10" x14ac:dyDescent="0.3">
      <c r="A172" s="1">
        <v>45516</v>
      </c>
      <c r="B172" t="s">
        <v>8</v>
      </c>
      <c r="C172" t="s">
        <v>13</v>
      </c>
      <c r="D172" t="s">
        <v>10</v>
      </c>
      <c r="E172">
        <v>3510</v>
      </c>
      <c r="F172">
        <v>6122</v>
      </c>
      <c r="G172">
        <v>15</v>
      </c>
      <c r="H172">
        <v>-2612</v>
      </c>
      <c r="I172" s="2">
        <f>sa_retail_sales[[#This Row],[Profit]] / sa_retail_sales[[#This Row],[Revenue]]</f>
        <v>-0.74415954415954411</v>
      </c>
      <c r="J172">
        <f xml:space="preserve"> YEAR(sa_retail_sales[[#This Row],[Order Date]])</f>
        <v>2024</v>
      </c>
    </row>
    <row r="173" spans="1:10" x14ac:dyDescent="0.3">
      <c r="A173" s="1">
        <v>44964</v>
      </c>
      <c r="B173" t="s">
        <v>18</v>
      </c>
      <c r="C173" t="s">
        <v>9</v>
      </c>
      <c r="D173" t="s">
        <v>12</v>
      </c>
      <c r="E173">
        <v>6055</v>
      </c>
      <c r="F173">
        <v>2372</v>
      </c>
      <c r="G173">
        <v>0</v>
      </c>
      <c r="H173">
        <v>3683</v>
      </c>
      <c r="I173" s="2">
        <f>sa_retail_sales[[#This Row],[Profit]] / sa_retail_sales[[#This Row],[Revenue]]</f>
        <v>0.60825763831544177</v>
      </c>
      <c r="J173">
        <f xml:space="preserve"> YEAR(sa_retail_sales[[#This Row],[Order Date]])</f>
        <v>2023</v>
      </c>
    </row>
    <row r="174" spans="1:10" x14ac:dyDescent="0.3">
      <c r="A174" s="1">
        <v>44708</v>
      </c>
      <c r="B174" t="s">
        <v>18</v>
      </c>
      <c r="C174" t="s">
        <v>16</v>
      </c>
      <c r="D174" t="s">
        <v>19</v>
      </c>
      <c r="E174">
        <v>567</v>
      </c>
      <c r="F174">
        <v>8095</v>
      </c>
      <c r="G174">
        <v>5</v>
      </c>
      <c r="H174">
        <v>-7528</v>
      </c>
      <c r="I174" s="2">
        <f>sa_retail_sales[[#This Row],[Profit]] / sa_retail_sales[[#This Row],[Revenue]]</f>
        <v>-13.276895943562611</v>
      </c>
      <c r="J174">
        <f xml:space="preserve"> YEAR(sa_retail_sales[[#This Row],[Order Date]])</f>
        <v>2022</v>
      </c>
    </row>
    <row r="175" spans="1:10" x14ac:dyDescent="0.3">
      <c r="A175" s="1">
        <v>45425</v>
      </c>
      <c r="B175" t="s">
        <v>18</v>
      </c>
      <c r="C175" t="s">
        <v>13</v>
      </c>
      <c r="D175" t="s">
        <v>10</v>
      </c>
      <c r="E175">
        <v>12528</v>
      </c>
      <c r="F175">
        <v>8829</v>
      </c>
      <c r="G175">
        <v>0</v>
      </c>
      <c r="H175">
        <v>3699</v>
      </c>
      <c r="I175" s="2">
        <f>sa_retail_sales[[#This Row],[Profit]] / sa_retail_sales[[#This Row],[Revenue]]</f>
        <v>0.29525862068965519</v>
      </c>
      <c r="J175">
        <f xml:space="preserve"> YEAR(sa_retail_sales[[#This Row],[Order Date]])</f>
        <v>2024</v>
      </c>
    </row>
    <row r="176" spans="1:10" x14ac:dyDescent="0.3">
      <c r="A176" s="1">
        <v>45050</v>
      </c>
      <c r="B176" t="s">
        <v>8</v>
      </c>
      <c r="C176" t="s">
        <v>16</v>
      </c>
      <c r="D176" t="s">
        <v>10</v>
      </c>
      <c r="E176">
        <v>12685</v>
      </c>
      <c r="F176">
        <v>4249</v>
      </c>
      <c r="G176">
        <v>10</v>
      </c>
      <c r="H176">
        <v>8436</v>
      </c>
      <c r="I176" s="2">
        <f>sa_retail_sales[[#This Row],[Profit]] / sa_retail_sales[[#This Row],[Revenue]]</f>
        <v>0.66503744580212854</v>
      </c>
      <c r="J176">
        <f xml:space="preserve"> YEAR(sa_retail_sales[[#This Row],[Order Date]])</f>
        <v>2023</v>
      </c>
    </row>
    <row r="177" spans="1:10" x14ac:dyDescent="0.3">
      <c r="A177" s="1">
        <v>45490</v>
      </c>
      <c r="B177" t="s">
        <v>17</v>
      </c>
      <c r="C177" t="s">
        <v>16</v>
      </c>
      <c r="D177" t="s">
        <v>10</v>
      </c>
      <c r="E177">
        <v>3006</v>
      </c>
      <c r="F177">
        <v>6333</v>
      </c>
      <c r="G177">
        <v>15</v>
      </c>
      <c r="H177">
        <v>-3327</v>
      </c>
      <c r="I177" s="2">
        <f>sa_retail_sales[[#This Row],[Profit]] / sa_retail_sales[[#This Row],[Revenue]]</f>
        <v>-1.1067864271457086</v>
      </c>
      <c r="J177">
        <f xml:space="preserve"> YEAR(sa_retail_sales[[#This Row],[Order Date]])</f>
        <v>2024</v>
      </c>
    </row>
    <row r="178" spans="1:10" x14ac:dyDescent="0.3">
      <c r="A178" s="1">
        <v>45112</v>
      </c>
      <c r="B178" t="s">
        <v>17</v>
      </c>
      <c r="C178" t="s">
        <v>13</v>
      </c>
      <c r="D178" t="s">
        <v>15</v>
      </c>
      <c r="E178">
        <v>2037</v>
      </c>
      <c r="F178">
        <v>11600</v>
      </c>
      <c r="G178">
        <v>10</v>
      </c>
      <c r="H178">
        <v>-9563</v>
      </c>
      <c r="I178" s="2">
        <f>sa_retail_sales[[#This Row],[Profit]] / sa_retail_sales[[#This Row],[Revenue]]</f>
        <v>-4.694648993618066</v>
      </c>
      <c r="J178">
        <f xml:space="preserve"> YEAR(sa_retail_sales[[#This Row],[Order Date]])</f>
        <v>2023</v>
      </c>
    </row>
    <row r="179" spans="1:10" x14ac:dyDescent="0.3">
      <c r="A179" s="1">
        <v>44899</v>
      </c>
      <c r="B179" t="s">
        <v>17</v>
      </c>
      <c r="C179" t="s">
        <v>9</v>
      </c>
      <c r="D179" t="s">
        <v>15</v>
      </c>
      <c r="E179">
        <v>897</v>
      </c>
      <c r="F179">
        <v>10309</v>
      </c>
      <c r="G179">
        <v>5</v>
      </c>
      <c r="H179">
        <v>-9412</v>
      </c>
      <c r="I179" s="2">
        <f>sa_retail_sales[[#This Row],[Profit]] / sa_retail_sales[[#This Row],[Revenue]]</f>
        <v>-10.492753623188406</v>
      </c>
      <c r="J179">
        <f xml:space="preserve"> YEAR(sa_retail_sales[[#This Row],[Order Date]])</f>
        <v>2022</v>
      </c>
    </row>
    <row r="180" spans="1:10" x14ac:dyDescent="0.3">
      <c r="A180" s="1">
        <v>45433</v>
      </c>
      <c r="B180" t="s">
        <v>11</v>
      </c>
      <c r="C180" t="s">
        <v>16</v>
      </c>
      <c r="D180" t="s">
        <v>12</v>
      </c>
      <c r="E180">
        <v>13407</v>
      </c>
      <c r="F180">
        <v>8628</v>
      </c>
      <c r="G180">
        <v>0</v>
      </c>
      <c r="H180">
        <v>4779</v>
      </c>
      <c r="I180" s="2">
        <f>sa_retail_sales[[#This Row],[Profit]] / sa_retail_sales[[#This Row],[Revenue]]</f>
        <v>0.35645558290445289</v>
      </c>
      <c r="J180">
        <f xml:space="preserve"> YEAR(sa_retail_sales[[#This Row],[Order Date]])</f>
        <v>2024</v>
      </c>
    </row>
    <row r="181" spans="1:10" x14ac:dyDescent="0.3">
      <c r="A181" s="1">
        <v>45202</v>
      </c>
      <c r="B181" t="s">
        <v>11</v>
      </c>
      <c r="C181" t="s">
        <v>16</v>
      </c>
      <c r="D181" t="s">
        <v>19</v>
      </c>
      <c r="E181">
        <v>12049</v>
      </c>
      <c r="F181">
        <v>2855</v>
      </c>
      <c r="G181">
        <v>5</v>
      </c>
      <c r="H181">
        <v>9194</v>
      </c>
      <c r="I181" s="2">
        <f>sa_retail_sales[[#This Row],[Profit]] / sa_retail_sales[[#This Row],[Revenue]]</f>
        <v>0.76305087559133533</v>
      </c>
      <c r="J181">
        <f xml:space="preserve"> YEAR(sa_retail_sales[[#This Row],[Order Date]])</f>
        <v>2023</v>
      </c>
    </row>
    <row r="182" spans="1:10" x14ac:dyDescent="0.3">
      <c r="A182" s="1">
        <v>45034</v>
      </c>
      <c r="B182" t="s">
        <v>11</v>
      </c>
      <c r="C182" t="s">
        <v>16</v>
      </c>
      <c r="D182" t="s">
        <v>15</v>
      </c>
      <c r="E182">
        <v>6180</v>
      </c>
      <c r="F182">
        <v>6670</v>
      </c>
      <c r="G182">
        <v>10</v>
      </c>
      <c r="H182">
        <v>-490</v>
      </c>
      <c r="I182" s="2">
        <f>sa_retail_sales[[#This Row],[Profit]] / sa_retail_sales[[#This Row],[Revenue]]</f>
        <v>-7.9288025889967639E-2</v>
      </c>
      <c r="J182">
        <f xml:space="preserve"> YEAR(sa_retail_sales[[#This Row],[Order Date]])</f>
        <v>2023</v>
      </c>
    </row>
    <row r="183" spans="1:10" x14ac:dyDescent="0.3">
      <c r="A183" s="1">
        <v>44712</v>
      </c>
      <c r="B183" t="s">
        <v>8</v>
      </c>
      <c r="C183" t="s">
        <v>16</v>
      </c>
      <c r="D183" t="s">
        <v>10</v>
      </c>
      <c r="E183">
        <v>9855</v>
      </c>
      <c r="F183">
        <v>4715</v>
      </c>
      <c r="G183">
        <v>5</v>
      </c>
      <c r="H183">
        <v>5140</v>
      </c>
      <c r="I183" s="2">
        <f>sa_retail_sales[[#This Row],[Profit]] / sa_retail_sales[[#This Row],[Revenue]]</f>
        <v>0.52156265854895989</v>
      </c>
      <c r="J183">
        <f xml:space="preserve"> YEAR(sa_retail_sales[[#This Row],[Order Date]])</f>
        <v>2022</v>
      </c>
    </row>
    <row r="184" spans="1:10" x14ac:dyDescent="0.3">
      <c r="A184" s="1">
        <v>44824</v>
      </c>
      <c r="B184" t="s">
        <v>11</v>
      </c>
      <c r="C184" t="s">
        <v>13</v>
      </c>
      <c r="D184" t="s">
        <v>15</v>
      </c>
      <c r="E184">
        <v>5325</v>
      </c>
      <c r="F184">
        <v>6259</v>
      </c>
      <c r="G184">
        <v>20</v>
      </c>
      <c r="H184">
        <v>-934</v>
      </c>
      <c r="I184" s="2">
        <f>sa_retail_sales[[#This Row],[Profit]] / sa_retail_sales[[#This Row],[Revenue]]</f>
        <v>-0.17539906103286385</v>
      </c>
      <c r="J184">
        <f xml:space="preserve"> YEAR(sa_retail_sales[[#This Row],[Order Date]])</f>
        <v>2022</v>
      </c>
    </row>
    <row r="185" spans="1:10" x14ac:dyDescent="0.3">
      <c r="A185" s="1">
        <v>44705</v>
      </c>
      <c r="B185" t="s">
        <v>8</v>
      </c>
      <c r="C185" t="s">
        <v>13</v>
      </c>
      <c r="D185" t="s">
        <v>19</v>
      </c>
      <c r="E185">
        <v>9247</v>
      </c>
      <c r="F185">
        <v>9407</v>
      </c>
      <c r="G185">
        <v>10</v>
      </c>
      <c r="H185">
        <v>-160</v>
      </c>
      <c r="I185" s="2">
        <f>sa_retail_sales[[#This Row],[Profit]] / sa_retail_sales[[#This Row],[Revenue]]</f>
        <v>-1.7302909051584298E-2</v>
      </c>
      <c r="J185">
        <f xml:space="preserve"> YEAR(sa_retail_sales[[#This Row],[Order Date]])</f>
        <v>2022</v>
      </c>
    </row>
    <row r="186" spans="1:10" x14ac:dyDescent="0.3">
      <c r="A186" s="1">
        <v>44907</v>
      </c>
      <c r="B186" t="s">
        <v>17</v>
      </c>
      <c r="C186" t="s">
        <v>14</v>
      </c>
      <c r="D186" t="s">
        <v>15</v>
      </c>
      <c r="E186">
        <v>6548</v>
      </c>
      <c r="F186">
        <v>6293</v>
      </c>
      <c r="G186">
        <v>5</v>
      </c>
      <c r="H186">
        <v>255</v>
      </c>
      <c r="I186" s="2">
        <f>sa_retail_sales[[#This Row],[Profit]] / sa_retail_sales[[#This Row],[Revenue]]</f>
        <v>3.8943188759926695E-2</v>
      </c>
      <c r="J186">
        <f xml:space="preserve"> YEAR(sa_retail_sales[[#This Row],[Order Date]])</f>
        <v>2022</v>
      </c>
    </row>
    <row r="187" spans="1:10" x14ac:dyDescent="0.3">
      <c r="A187" s="1">
        <v>45185</v>
      </c>
      <c r="B187" t="s">
        <v>11</v>
      </c>
      <c r="C187" t="s">
        <v>14</v>
      </c>
      <c r="D187" t="s">
        <v>10</v>
      </c>
      <c r="E187">
        <v>4161</v>
      </c>
      <c r="F187">
        <v>5321</v>
      </c>
      <c r="G187">
        <v>0</v>
      </c>
      <c r="H187">
        <v>-1160</v>
      </c>
      <c r="I187" s="2">
        <f>sa_retail_sales[[#This Row],[Profit]] / sa_retail_sales[[#This Row],[Revenue]]</f>
        <v>-0.27877913962989664</v>
      </c>
      <c r="J187">
        <f xml:space="preserve"> YEAR(sa_retail_sales[[#This Row],[Order Date]])</f>
        <v>2023</v>
      </c>
    </row>
    <row r="188" spans="1:10" x14ac:dyDescent="0.3">
      <c r="A188" s="1">
        <v>45578</v>
      </c>
      <c r="B188" t="s">
        <v>11</v>
      </c>
      <c r="C188" t="s">
        <v>16</v>
      </c>
      <c r="D188" t="s">
        <v>12</v>
      </c>
      <c r="E188">
        <v>10443</v>
      </c>
      <c r="F188">
        <v>10592</v>
      </c>
      <c r="G188">
        <v>5</v>
      </c>
      <c r="H188">
        <v>-149</v>
      </c>
      <c r="I188" s="2">
        <f>sa_retail_sales[[#This Row],[Profit]] / sa_retail_sales[[#This Row],[Revenue]]</f>
        <v>-1.4267930671263047E-2</v>
      </c>
      <c r="J188">
        <f xml:space="preserve"> YEAR(sa_retail_sales[[#This Row],[Order Date]])</f>
        <v>2024</v>
      </c>
    </row>
    <row r="189" spans="1:10" x14ac:dyDescent="0.3">
      <c r="A189" s="1">
        <v>45442</v>
      </c>
      <c r="B189" t="s">
        <v>18</v>
      </c>
      <c r="C189" t="s">
        <v>9</v>
      </c>
      <c r="D189" t="s">
        <v>10</v>
      </c>
      <c r="E189">
        <v>3441</v>
      </c>
      <c r="F189">
        <v>3207</v>
      </c>
      <c r="G189">
        <v>0</v>
      </c>
      <c r="H189">
        <v>234</v>
      </c>
      <c r="I189" s="2">
        <f>sa_retail_sales[[#This Row],[Profit]] / sa_retail_sales[[#This Row],[Revenue]]</f>
        <v>6.8003487358326065E-2</v>
      </c>
      <c r="J189">
        <f xml:space="preserve"> YEAR(sa_retail_sales[[#This Row],[Order Date]])</f>
        <v>2024</v>
      </c>
    </row>
    <row r="190" spans="1:10" x14ac:dyDescent="0.3">
      <c r="A190" s="1">
        <v>44563</v>
      </c>
      <c r="B190" t="s">
        <v>8</v>
      </c>
      <c r="C190" t="s">
        <v>16</v>
      </c>
      <c r="D190" t="s">
        <v>19</v>
      </c>
      <c r="E190">
        <v>11349</v>
      </c>
      <c r="F190">
        <v>3214</v>
      </c>
      <c r="G190">
        <v>20</v>
      </c>
      <c r="H190">
        <v>8135</v>
      </c>
      <c r="I190" s="2">
        <f>sa_retail_sales[[#This Row],[Profit]] / sa_retail_sales[[#This Row],[Revenue]]</f>
        <v>0.71680324257643846</v>
      </c>
      <c r="J190">
        <f xml:space="preserve"> YEAR(sa_retail_sales[[#This Row],[Order Date]])</f>
        <v>2022</v>
      </c>
    </row>
    <row r="191" spans="1:10" x14ac:dyDescent="0.3">
      <c r="A191" s="1">
        <v>45458</v>
      </c>
      <c r="B191" t="s">
        <v>17</v>
      </c>
      <c r="C191" t="s">
        <v>9</v>
      </c>
      <c r="D191" t="s">
        <v>12</v>
      </c>
      <c r="E191">
        <v>11487</v>
      </c>
      <c r="F191">
        <v>10474</v>
      </c>
      <c r="G191">
        <v>5</v>
      </c>
      <c r="H191">
        <v>1013</v>
      </c>
      <c r="I191" s="2">
        <f>sa_retail_sales[[#This Row],[Profit]] / sa_retail_sales[[#This Row],[Revenue]]</f>
        <v>8.8186645773483063E-2</v>
      </c>
      <c r="J191">
        <f xml:space="preserve"> YEAR(sa_retail_sales[[#This Row],[Order Date]])</f>
        <v>2024</v>
      </c>
    </row>
    <row r="192" spans="1:10" x14ac:dyDescent="0.3">
      <c r="A192" s="1">
        <v>44815</v>
      </c>
      <c r="B192" t="s">
        <v>18</v>
      </c>
      <c r="C192" t="s">
        <v>16</v>
      </c>
      <c r="D192" t="s">
        <v>15</v>
      </c>
      <c r="E192">
        <v>11021</v>
      </c>
      <c r="F192">
        <v>4170</v>
      </c>
      <c r="G192">
        <v>20</v>
      </c>
      <c r="H192">
        <v>6851</v>
      </c>
      <c r="I192" s="2">
        <f>sa_retail_sales[[#This Row],[Profit]] / sa_retail_sales[[#This Row],[Revenue]]</f>
        <v>0.62163143090463657</v>
      </c>
      <c r="J192">
        <f xml:space="preserve"> YEAR(sa_retail_sales[[#This Row],[Order Date]])</f>
        <v>2022</v>
      </c>
    </row>
    <row r="193" spans="1:10" x14ac:dyDescent="0.3">
      <c r="A193" s="1">
        <v>45014</v>
      </c>
      <c r="B193" t="s">
        <v>18</v>
      </c>
      <c r="C193" t="s">
        <v>14</v>
      </c>
      <c r="D193" t="s">
        <v>15</v>
      </c>
      <c r="E193">
        <v>7567</v>
      </c>
      <c r="F193">
        <v>9490</v>
      </c>
      <c r="G193">
        <v>10</v>
      </c>
      <c r="H193">
        <v>-1923</v>
      </c>
      <c r="I193" s="2">
        <f>sa_retail_sales[[#This Row],[Profit]] / sa_retail_sales[[#This Row],[Revenue]]</f>
        <v>-0.25412977401876569</v>
      </c>
      <c r="J193">
        <f xml:space="preserve"> YEAR(sa_retail_sales[[#This Row],[Order Date]])</f>
        <v>2023</v>
      </c>
    </row>
    <row r="194" spans="1:10" x14ac:dyDescent="0.3">
      <c r="A194" s="1">
        <v>45622</v>
      </c>
      <c r="B194" t="s">
        <v>17</v>
      </c>
      <c r="C194" t="s">
        <v>14</v>
      </c>
      <c r="D194" t="s">
        <v>15</v>
      </c>
      <c r="E194">
        <v>5591</v>
      </c>
      <c r="F194">
        <v>10639</v>
      </c>
      <c r="G194">
        <v>0</v>
      </c>
      <c r="H194">
        <v>-5048</v>
      </c>
      <c r="I194" s="2">
        <f>sa_retail_sales[[#This Row],[Profit]] / sa_retail_sales[[#This Row],[Revenue]]</f>
        <v>-0.90287962797352883</v>
      </c>
      <c r="J194">
        <f xml:space="preserve"> YEAR(sa_retail_sales[[#This Row],[Order Date]])</f>
        <v>2024</v>
      </c>
    </row>
    <row r="195" spans="1:10" x14ac:dyDescent="0.3">
      <c r="A195" s="1">
        <v>45576</v>
      </c>
      <c r="B195" t="s">
        <v>18</v>
      </c>
      <c r="C195" t="s">
        <v>9</v>
      </c>
      <c r="D195" t="s">
        <v>12</v>
      </c>
      <c r="E195">
        <v>10651</v>
      </c>
      <c r="F195">
        <v>5385</v>
      </c>
      <c r="G195">
        <v>10</v>
      </c>
      <c r="H195">
        <v>5266</v>
      </c>
      <c r="I195" s="2">
        <f>sa_retail_sales[[#This Row],[Profit]] / sa_retail_sales[[#This Row],[Revenue]]</f>
        <v>0.49441367007792697</v>
      </c>
      <c r="J195">
        <f xml:space="preserve"> YEAR(sa_retail_sales[[#This Row],[Order Date]])</f>
        <v>2024</v>
      </c>
    </row>
    <row r="196" spans="1:10" x14ac:dyDescent="0.3">
      <c r="A196" s="1">
        <v>44570</v>
      </c>
      <c r="B196" t="s">
        <v>8</v>
      </c>
      <c r="C196" t="s">
        <v>16</v>
      </c>
      <c r="D196" t="s">
        <v>10</v>
      </c>
      <c r="E196">
        <v>2101</v>
      </c>
      <c r="F196">
        <v>6846</v>
      </c>
      <c r="G196">
        <v>0</v>
      </c>
      <c r="H196">
        <v>-4745</v>
      </c>
      <c r="I196" s="2">
        <f>sa_retail_sales[[#This Row],[Profit]] / sa_retail_sales[[#This Row],[Revenue]]</f>
        <v>-2.2584483579247978</v>
      </c>
      <c r="J196">
        <f xml:space="preserve"> YEAR(sa_retail_sales[[#This Row],[Order Date]])</f>
        <v>2022</v>
      </c>
    </row>
    <row r="197" spans="1:10" x14ac:dyDescent="0.3">
      <c r="A197" s="1">
        <v>45377</v>
      </c>
      <c r="B197" t="s">
        <v>8</v>
      </c>
      <c r="C197" t="s">
        <v>9</v>
      </c>
      <c r="D197" t="s">
        <v>12</v>
      </c>
      <c r="E197">
        <v>11485</v>
      </c>
      <c r="F197">
        <v>695</v>
      </c>
      <c r="G197">
        <v>20</v>
      </c>
      <c r="H197">
        <v>10790</v>
      </c>
      <c r="I197" s="2">
        <f>sa_retail_sales[[#This Row],[Profit]] / sa_retail_sales[[#This Row],[Revenue]]</f>
        <v>0.93948628646060084</v>
      </c>
      <c r="J197">
        <f xml:space="preserve"> YEAR(sa_retail_sales[[#This Row],[Order Date]])</f>
        <v>2024</v>
      </c>
    </row>
    <row r="198" spans="1:10" x14ac:dyDescent="0.3">
      <c r="A198" s="1">
        <v>44769</v>
      </c>
      <c r="B198" t="s">
        <v>11</v>
      </c>
      <c r="C198" t="s">
        <v>14</v>
      </c>
      <c r="D198" t="s">
        <v>12</v>
      </c>
      <c r="E198">
        <v>1980</v>
      </c>
      <c r="F198">
        <v>1238</v>
      </c>
      <c r="G198">
        <v>15</v>
      </c>
      <c r="H198">
        <v>742</v>
      </c>
      <c r="I198" s="2">
        <f>sa_retail_sales[[#This Row],[Profit]] / sa_retail_sales[[#This Row],[Revenue]]</f>
        <v>0.37474747474747477</v>
      </c>
      <c r="J198">
        <f xml:space="preserve"> YEAR(sa_retail_sales[[#This Row],[Order Date]])</f>
        <v>2022</v>
      </c>
    </row>
    <row r="199" spans="1:10" x14ac:dyDescent="0.3">
      <c r="A199" s="1">
        <v>44965</v>
      </c>
      <c r="B199" t="s">
        <v>18</v>
      </c>
      <c r="C199" t="s">
        <v>16</v>
      </c>
      <c r="D199" t="s">
        <v>19</v>
      </c>
      <c r="E199">
        <v>6730</v>
      </c>
      <c r="F199">
        <v>10128</v>
      </c>
      <c r="G199">
        <v>5</v>
      </c>
      <c r="H199">
        <v>-3398</v>
      </c>
      <c r="I199" s="2">
        <f>sa_retail_sales[[#This Row],[Profit]] / sa_retail_sales[[#This Row],[Revenue]]</f>
        <v>-0.50490341753343237</v>
      </c>
      <c r="J199">
        <f xml:space="preserve"> YEAR(sa_retail_sales[[#This Row],[Order Date]])</f>
        <v>2023</v>
      </c>
    </row>
    <row r="200" spans="1:10" x14ac:dyDescent="0.3">
      <c r="A200" s="1">
        <v>44713</v>
      </c>
      <c r="B200" t="s">
        <v>11</v>
      </c>
      <c r="C200" t="s">
        <v>16</v>
      </c>
      <c r="D200" t="s">
        <v>12</v>
      </c>
      <c r="E200">
        <v>9794</v>
      </c>
      <c r="F200">
        <v>11216</v>
      </c>
      <c r="G200">
        <v>20</v>
      </c>
      <c r="H200">
        <v>-1422</v>
      </c>
      <c r="I200" s="2">
        <f>sa_retail_sales[[#This Row],[Profit]] / sa_retail_sales[[#This Row],[Revenue]]</f>
        <v>-0.14519093322442311</v>
      </c>
      <c r="J200">
        <f xml:space="preserve"> YEAR(sa_retail_sales[[#This Row],[Order Date]])</f>
        <v>2022</v>
      </c>
    </row>
    <row r="201" spans="1:10" x14ac:dyDescent="0.3">
      <c r="A201" s="1">
        <v>44615</v>
      </c>
      <c r="B201" t="s">
        <v>18</v>
      </c>
      <c r="C201" t="s">
        <v>9</v>
      </c>
      <c r="D201" t="s">
        <v>15</v>
      </c>
      <c r="E201">
        <v>3776</v>
      </c>
      <c r="F201">
        <v>2810</v>
      </c>
      <c r="G201">
        <v>0</v>
      </c>
      <c r="H201">
        <v>966</v>
      </c>
      <c r="I201" s="2">
        <f>sa_retail_sales[[#This Row],[Profit]] / sa_retail_sales[[#This Row],[Revenue]]</f>
        <v>0.25582627118644069</v>
      </c>
      <c r="J201">
        <f xml:space="preserve"> YEAR(sa_retail_sales[[#This Row],[Order Date]])</f>
        <v>2022</v>
      </c>
    </row>
    <row r="202" spans="1:10" x14ac:dyDescent="0.3">
      <c r="A202" s="1">
        <v>45189</v>
      </c>
      <c r="B202" t="s">
        <v>8</v>
      </c>
      <c r="C202" t="s">
        <v>13</v>
      </c>
      <c r="D202" t="s">
        <v>10</v>
      </c>
      <c r="E202">
        <v>6947</v>
      </c>
      <c r="F202">
        <v>4936</v>
      </c>
      <c r="G202">
        <v>0</v>
      </c>
      <c r="H202">
        <v>2011</v>
      </c>
      <c r="I202" s="2">
        <f>sa_retail_sales[[#This Row],[Profit]] / sa_retail_sales[[#This Row],[Revenue]]</f>
        <v>0.28947747229019721</v>
      </c>
      <c r="J202">
        <f xml:space="preserve"> YEAR(sa_retail_sales[[#This Row],[Order Date]])</f>
        <v>2023</v>
      </c>
    </row>
    <row r="203" spans="1:10" x14ac:dyDescent="0.3">
      <c r="A203" s="1">
        <v>45148</v>
      </c>
      <c r="B203" t="s">
        <v>8</v>
      </c>
      <c r="C203" t="s">
        <v>9</v>
      </c>
      <c r="D203" t="s">
        <v>10</v>
      </c>
      <c r="E203">
        <v>5999</v>
      </c>
      <c r="F203">
        <v>1949</v>
      </c>
      <c r="G203">
        <v>0</v>
      </c>
      <c r="H203">
        <v>4050</v>
      </c>
      <c r="I203" s="2">
        <f>sa_retail_sales[[#This Row],[Profit]] / sa_retail_sales[[#This Row],[Revenue]]</f>
        <v>0.6751125187531255</v>
      </c>
      <c r="J203">
        <f xml:space="preserve"> YEAR(sa_retail_sales[[#This Row],[Order Date]])</f>
        <v>2023</v>
      </c>
    </row>
    <row r="204" spans="1:10" x14ac:dyDescent="0.3">
      <c r="A204" s="1">
        <v>44665</v>
      </c>
      <c r="B204" t="s">
        <v>8</v>
      </c>
      <c r="C204" t="s">
        <v>14</v>
      </c>
      <c r="D204" t="s">
        <v>10</v>
      </c>
      <c r="E204">
        <v>6773</v>
      </c>
      <c r="F204">
        <v>3990</v>
      </c>
      <c r="G204">
        <v>0</v>
      </c>
      <c r="H204">
        <v>2783</v>
      </c>
      <c r="I204" s="2">
        <f>sa_retail_sales[[#This Row],[Profit]] / sa_retail_sales[[#This Row],[Revenue]]</f>
        <v>0.4108962055219253</v>
      </c>
      <c r="J204">
        <f xml:space="preserve"> YEAR(sa_retail_sales[[#This Row],[Order Date]])</f>
        <v>2022</v>
      </c>
    </row>
    <row r="205" spans="1:10" x14ac:dyDescent="0.3">
      <c r="A205" s="1">
        <v>44815</v>
      </c>
      <c r="B205" t="s">
        <v>18</v>
      </c>
      <c r="C205" t="s">
        <v>14</v>
      </c>
      <c r="D205" t="s">
        <v>15</v>
      </c>
      <c r="E205">
        <v>1799</v>
      </c>
      <c r="F205">
        <v>3735</v>
      </c>
      <c r="G205">
        <v>5</v>
      </c>
      <c r="H205">
        <v>-1936</v>
      </c>
      <c r="I205" s="2">
        <f>sa_retail_sales[[#This Row],[Profit]] / sa_retail_sales[[#This Row],[Revenue]]</f>
        <v>-1.0761534185658699</v>
      </c>
      <c r="J205">
        <f xml:space="preserve"> YEAR(sa_retail_sales[[#This Row],[Order Date]])</f>
        <v>2022</v>
      </c>
    </row>
    <row r="206" spans="1:10" x14ac:dyDescent="0.3">
      <c r="A206" s="1">
        <v>45071</v>
      </c>
      <c r="B206" t="s">
        <v>8</v>
      </c>
      <c r="C206" t="s">
        <v>14</v>
      </c>
      <c r="D206" t="s">
        <v>15</v>
      </c>
      <c r="E206">
        <v>6318</v>
      </c>
      <c r="F206">
        <v>3501</v>
      </c>
      <c r="G206">
        <v>10</v>
      </c>
      <c r="H206">
        <v>2817</v>
      </c>
      <c r="I206" s="2">
        <f>sa_retail_sales[[#This Row],[Profit]] / sa_retail_sales[[#This Row],[Revenue]]</f>
        <v>0.44586894586894588</v>
      </c>
      <c r="J206">
        <f xml:space="preserve"> YEAR(sa_retail_sales[[#This Row],[Order Date]])</f>
        <v>2023</v>
      </c>
    </row>
    <row r="207" spans="1:10" x14ac:dyDescent="0.3">
      <c r="A207" s="1">
        <v>44660</v>
      </c>
      <c r="B207" t="s">
        <v>18</v>
      </c>
      <c r="C207" t="s">
        <v>14</v>
      </c>
      <c r="D207" t="s">
        <v>15</v>
      </c>
      <c r="E207">
        <v>7201</v>
      </c>
      <c r="F207">
        <v>4479</v>
      </c>
      <c r="G207">
        <v>15</v>
      </c>
      <c r="H207">
        <v>2722</v>
      </c>
      <c r="I207" s="2">
        <f>sa_retail_sales[[#This Row],[Profit]] / sa_retail_sales[[#This Row],[Revenue]]</f>
        <v>0.37800305513123178</v>
      </c>
      <c r="J207">
        <f xml:space="preserve"> YEAR(sa_retail_sales[[#This Row],[Order Date]])</f>
        <v>2022</v>
      </c>
    </row>
    <row r="208" spans="1:10" x14ac:dyDescent="0.3">
      <c r="A208" s="1">
        <v>44714</v>
      </c>
      <c r="B208" t="s">
        <v>11</v>
      </c>
      <c r="C208" t="s">
        <v>14</v>
      </c>
      <c r="D208" t="s">
        <v>15</v>
      </c>
      <c r="E208">
        <v>5494</v>
      </c>
      <c r="F208">
        <v>10783</v>
      </c>
      <c r="G208">
        <v>5</v>
      </c>
      <c r="H208">
        <v>-5289</v>
      </c>
      <c r="I208" s="2">
        <f>sa_retail_sales[[#This Row],[Profit]] / sa_retail_sales[[#This Row],[Revenue]]</f>
        <v>-0.96268656716417911</v>
      </c>
      <c r="J208">
        <f xml:space="preserve"> YEAR(sa_retail_sales[[#This Row],[Order Date]])</f>
        <v>2022</v>
      </c>
    </row>
    <row r="209" spans="1:10" x14ac:dyDescent="0.3">
      <c r="A209" s="1">
        <v>45475</v>
      </c>
      <c r="B209" t="s">
        <v>18</v>
      </c>
      <c r="C209" t="s">
        <v>13</v>
      </c>
      <c r="D209" t="s">
        <v>15</v>
      </c>
      <c r="E209">
        <v>13994</v>
      </c>
      <c r="F209">
        <v>8705</v>
      </c>
      <c r="G209">
        <v>0</v>
      </c>
      <c r="H209">
        <v>5289</v>
      </c>
      <c r="I209" s="2">
        <f>sa_retail_sales[[#This Row],[Profit]] / sa_retail_sales[[#This Row],[Revenue]]</f>
        <v>0.37794769186794341</v>
      </c>
      <c r="J209">
        <f xml:space="preserve"> YEAR(sa_retail_sales[[#This Row],[Order Date]])</f>
        <v>2024</v>
      </c>
    </row>
    <row r="210" spans="1:10" x14ac:dyDescent="0.3">
      <c r="A210" s="1">
        <v>45439</v>
      </c>
      <c r="B210" t="s">
        <v>11</v>
      </c>
      <c r="C210" t="s">
        <v>16</v>
      </c>
      <c r="D210" t="s">
        <v>12</v>
      </c>
      <c r="E210">
        <v>12571</v>
      </c>
      <c r="F210">
        <v>3537</v>
      </c>
      <c r="G210">
        <v>5</v>
      </c>
      <c r="H210">
        <v>9034</v>
      </c>
      <c r="I210" s="2">
        <f>sa_retail_sales[[#This Row],[Profit]] / sa_retail_sales[[#This Row],[Revenue]]</f>
        <v>0.7186381353909792</v>
      </c>
      <c r="J210">
        <f xml:space="preserve"> YEAR(sa_retail_sales[[#This Row],[Order Date]])</f>
        <v>2024</v>
      </c>
    </row>
    <row r="211" spans="1:10" x14ac:dyDescent="0.3">
      <c r="A211" s="1">
        <v>44899</v>
      </c>
      <c r="B211" t="s">
        <v>18</v>
      </c>
      <c r="C211" t="s">
        <v>9</v>
      </c>
      <c r="D211" t="s">
        <v>15</v>
      </c>
      <c r="E211">
        <v>7989</v>
      </c>
      <c r="F211">
        <v>4162</v>
      </c>
      <c r="G211">
        <v>20</v>
      </c>
      <c r="H211">
        <v>3827</v>
      </c>
      <c r="I211" s="2">
        <f>sa_retail_sales[[#This Row],[Profit]] / sa_retail_sales[[#This Row],[Revenue]]</f>
        <v>0.47903367129803481</v>
      </c>
      <c r="J211">
        <f xml:space="preserve"> YEAR(sa_retail_sales[[#This Row],[Order Date]])</f>
        <v>2022</v>
      </c>
    </row>
    <row r="212" spans="1:10" x14ac:dyDescent="0.3">
      <c r="A212" s="1">
        <v>45383</v>
      </c>
      <c r="B212" t="s">
        <v>11</v>
      </c>
      <c r="C212" t="s">
        <v>9</v>
      </c>
      <c r="D212" t="s">
        <v>15</v>
      </c>
      <c r="E212">
        <v>10227</v>
      </c>
      <c r="F212">
        <v>358</v>
      </c>
      <c r="G212">
        <v>0</v>
      </c>
      <c r="H212">
        <v>9869</v>
      </c>
      <c r="I212" s="2">
        <f>sa_retail_sales[[#This Row],[Profit]] / sa_retail_sales[[#This Row],[Revenue]]</f>
        <v>0.96499462207881104</v>
      </c>
      <c r="J212">
        <f xml:space="preserve"> YEAR(sa_retail_sales[[#This Row],[Order Date]])</f>
        <v>2024</v>
      </c>
    </row>
    <row r="213" spans="1:10" x14ac:dyDescent="0.3">
      <c r="A213" s="1">
        <v>45518</v>
      </c>
      <c r="B213" t="s">
        <v>8</v>
      </c>
      <c r="C213" t="s">
        <v>14</v>
      </c>
      <c r="D213" t="s">
        <v>15</v>
      </c>
      <c r="E213">
        <v>8769</v>
      </c>
      <c r="F213">
        <v>11422</v>
      </c>
      <c r="G213">
        <v>15</v>
      </c>
      <c r="H213">
        <v>-2653</v>
      </c>
      <c r="I213" s="2">
        <f>sa_retail_sales[[#This Row],[Profit]] / sa_retail_sales[[#This Row],[Revenue]]</f>
        <v>-0.30254304937849241</v>
      </c>
      <c r="J213">
        <f xml:space="preserve"> YEAR(sa_retail_sales[[#This Row],[Order Date]])</f>
        <v>2024</v>
      </c>
    </row>
    <row r="214" spans="1:10" x14ac:dyDescent="0.3">
      <c r="A214" s="1">
        <v>44722</v>
      </c>
      <c r="B214" t="s">
        <v>11</v>
      </c>
      <c r="C214" t="s">
        <v>9</v>
      </c>
      <c r="D214" t="s">
        <v>15</v>
      </c>
      <c r="E214">
        <v>3331</v>
      </c>
      <c r="F214">
        <v>5238</v>
      </c>
      <c r="G214">
        <v>0</v>
      </c>
      <c r="H214">
        <v>-1907</v>
      </c>
      <c r="I214" s="2">
        <f>sa_retail_sales[[#This Row],[Profit]] / sa_retail_sales[[#This Row],[Revenue]]</f>
        <v>-0.57250075052536775</v>
      </c>
      <c r="J214">
        <f xml:space="preserve"> YEAR(sa_retail_sales[[#This Row],[Order Date]])</f>
        <v>2022</v>
      </c>
    </row>
    <row r="215" spans="1:10" x14ac:dyDescent="0.3">
      <c r="A215" s="1">
        <v>45362</v>
      </c>
      <c r="B215" t="s">
        <v>8</v>
      </c>
      <c r="C215" t="s">
        <v>14</v>
      </c>
      <c r="D215" t="s">
        <v>10</v>
      </c>
      <c r="E215">
        <v>12102</v>
      </c>
      <c r="F215">
        <v>3271</v>
      </c>
      <c r="G215">
        <v>15</v>
      </c>
      <c r="H215">
        <v>8831</v>
      </c>
      <c r="I215" s="2">
        <f>sa_retail_sales[[#This Row],[Profit]] / sa_retail_sales[[#This Row],[Revenue]]</f>
        <v>0.72971409684349697</v>
      </c>
      <c r="J215">
        <f xml:space="preserve"> YEAR(sa_retail_sales[[#This Row],[Order Date]])</f>
        <v>2024</v>
      </c>
    </row>
    <row r="216" spans="1:10" x14ac:dyDescent="0.3">
      <c r="A216" s="1">
        <v>44959</v>
      </c>
      <c r="B216" t="s">
        <v>8</v>
      </c>
      <c r="C216" t="s">
        <v>13</v>
      </c>
      <c r="D216" t="s">
        <v>15</v>
      </c>
      <c r="E216">
        <v>3221</v>
      </c>
      <c r="F216">
        <v>10019</v>
      </c>
      <c r="G216">
        <v>15</v>
      </c>
      <c r="H216">
        <v>-6798</v>
      </c>
      <c r="I216" s="2">
        <f>sa_retail_sales[[#This Row],[Profit]] / sa_retail_sales[[#This Row],[Revenue]]</f>
        <v>-2.1105246817758458</v>
      </c>
      <c r="J216">
        <f xml:space="preserve"> YEAR(sa_retail_sales[[#This Row],[Order Date]])</f>
        <v>2023</v>
      </c>
    </row>
    <row r="217" spans="1:10" x14ac:dyDescent="0.3">
      <c r="A217" s="1">
        <v>45377</v>
      </c>
      <c r="B217" t="s">
        <v>11</v>
      </c>
      <c r="C217" t="s">
        <v>13</v>
      </c>
      <c r="D217" t="s">
        <v>12</v>
      </c>
      <c r="E217">
        <v>12319</v>
      </c>
      <c r="F217">
        <v>8614</v>
      </c>
      <c r="G217">
        <v>10</v>
      </c>
      <c r="H217">
        <v>3705</v>
      </c>
      <c r="I217" s="2">
        <f>sa_retail_sales[[#This Row],[Profit]] / sa_retail_sales[[#This Row],[Revenue]]</f>
        <v>0.30075493140677001</v>
      </c>
      <c r="J217">
        <f xml:space="preserve"> YEAR(sa_retail_sales[[#This Row],[Order Date]])</f>
        <v>2024</v>
      </c>
    </row>
    <row r="218" spans="1:10" x14ac:dyDescent="0.3">
      <c r="A218" s="1">
        <v>44962</v>
      </c>
      <c r="B218" t="s">
        <v>18</v>
      </c>
      <c r="C218" t="s">
        <v>16</v>
      </c>
      <c r="D218" t="s">
        <v>12</v>
      </c>
      <c r="E218">
        <v>2032</v>
      </c>
      <c r="F218">
        <v>9928</v>
      </c>
      <c r="G218">
        <v>10</v>
      </c>
      <c r="H218">
        <v>-7896</v>
      </c>
      <c r="I218" s="2">
        <f>sa_retail_sales[[#This Row],[Profit]] / sa_retail_sales[[#This Row],[Revenue]]</f>
        <v>-3.8858267716535435</v>
      </c>
      <c r="J218">
        <f xml:space="preserve"> YEAR(sa_retail_sales[[#This Row],[Order Date]])</f>
        <v>2023</v>
      </c>
    </row>
    <row r="219" spans="1:10" x14ac:dyDescent="0.3">
      <c r="A219" s="1">
        <v>45201</v>
      </c>
      <c r="B219" t="s">
        <v>18</v>
      </c>
      <c r="C219" t="s">
        <v>13</v>
      </c>
      <c r="D219" t="s">
        <v>12</v>
      </c>
      <c r="E219">
        <v>8929</v>
      </c>
      <c r="F219">
        <v>9654</v>
      </c>
      <c r="G219">
        <v>5</v>
      </c>
      <c r="H219">
        <v>-725</v>
      </c>
      <c r="I219" s="2">
        <f>sa_retail_sales[[#This Row],[Profit]] / sa_retail_sales[[#This Row],[Revenue]]</f>
        <v>-8.1196102587075825E-2</v>
      </c>
      <c r="J219">
        <f xml:space="preserve"> YEAR(sa_retail_sales[[#This Row],[Order Date]])</f>
        <v>2023</v>
      </c>
    </row>
    <row r="220" spans="1:10" x14ac:dyDescent="0.3">
      <c r="A220" s="1">
        <v>45618</v>
      </c>
      <c r="B220" t="s">
        <v>17</v>
      </c>
      <c r="C220" t="s">
        <v>13</v>
      </c>
      <c r="D220" t="s">
        <v>19</v>
      </c>
      <c r="E220">
        <v>5753</v>
      </c>
      <c r="F220">
        <v>11792</v>
      </c>
      <c r="G220">
        <v>5</v>
      </c>
      <c r="H220">
        <v>-6039</v>
      </c>
      <c r="I220" s="2">
        <f>sa_retail_sales[[#This Row],[Profit]] / sa_retail_sales[[#This Row],[Revenue]]</f>
        <v>-1.0497131931166348</v>
      </c>
      <c r="J220">
        <f xml:space="preserve"> YEAR(sa_retail_sales[[#This Row],[Order Date]])</f>
        <v>2024</v>
      </c>
    </row>
    <row r="221" spans="1:10" x14ac:dyDescent="0.3">
      <c r="A221" s="1">
        <v>45249</v>
      </c>
      <c r="B221" t="s">
        <v>18</v>
      </c>
      <c r="C221" t="s">
        <v>16</v>
      </c>
      <c r="D221" t="s">
        <v>10</v>
      </c>
      <c r="E221">
        <v>2496</v>
      </c>
      <c r="F221">
        <v>3645</v>
      </c>
      <c r="G221">
        <v>15</v>
      </c>
      <c r="H221">
        <v>-1149</v>
      </c>
      <c r="I221" s="2">
        <f>sa_retail_sales[[#This Row],[Profit]] / sa_retail_sales[[#This Row],[Revenue]]</f>
        <v>-0.46033653846153844</v>
      </c>
      <c r="J221">
        <f xml:space="preserve"> YEAR(sa_retail_sales[[#This Row],[Order Date]])</f>
        <v>2023</v>
      </c>
    </row>
    <row r="222" spans="1:10" x14ac:dyDescent="0.3">
      <c r="A222" s="1">
        <v>45021</v>
      </c>
      <c r="B222" t="s">
        <v>17</v>
      </c>
      <c r="C222" t="s">
        <v>9</v>
      </c>
      <c r="D222" t="s">
        <v>15</v>
      </c>
      <c r="E222">
        <v>5811</v>
      </c>
      <c r="F222">
        <v>2786</v>
      </c>
      <c r="G222">
        <v>0</v>
      </c>
      <c r="H222">
        <v>3025</v>
      </c>
      <c r="I222" s="2">
        <f>sa_retail_sales[[#This Row],[Profit]] / sa_retail_sales[[#This Row],[Revenue]]</f>
        <v>0.52056444673894342</v>
      </c>
      <c r="J222">
        <f xml:space="preserve"> YEAR(sa_retail_sales[[#This Row],[Order Date]])</f>
        <v>2023</v>
      </c>
    </row>
    <row r="223" spans="1:10" x14ac:dyDescent="0.3">
      <c r="A223" s="1">
        <v>45516</v>
      </c>
      <c r="B223" t="s">
        <v>18</v>
      </c>
      <c r="C223" t="s">
        <v>14</v>
      </c>
      <c r="D223" t="s">
        <v>19</v>
      </c>
      <c r="E223">
        <v>12119</v>
      </c>
      <c r="F223">
        <v>861</v>
      </c>
      <c r="G223">
        <v>20</v>
      </c>
      <c r="H223">
        <v>11258</v>
      </c>
      <c r="I223" s="2">
        <f>sa_retail_sales[[#This Row],[Profit]] / sa_retail_sales[[#This Row],[Revenue]]</f>
        <v>0.92895453420249197</v>
      </c>
      <c r="J223">
        <f xml:space="preserve"> YEAR(sa_retail_sales[[#This Row],[Order Date]])</f>
        <v>2024</v>
      </c>
    </row>
    <row r="224" spans="1:10" x14ac:dyDescent="0.3">
      <c r="A224" s="1">
        <v>45031</v>
      </c>
      <c r="B224" t="s">
        <v>18</v>
      </c>
      <c r="C224" t="s">
        <v>14</v>
      </c>
      <c r="D224" t="s">
        <v>15</v>
      </c>
      <c r="E224">
        <v>777</v>
      </c>
      <c r="F224">
        <v>4281</v>
      </c>
      <c r="G224">
        <v>20</v>
      </c>
      <c r="H224">
        <v>-3504</v>
      </c>
      <c r="I224" s="2">
        <f>sa_retail_sales[[#This Row],[Profit]] / sa_retail_sales[[#This Row],[Revenue]]</f>
        <v>-4.5096525096525095</v>
      </c>
      <c r="J224">
        <f xml:space="preserve"> YEAR(sa_retail_sales[[#This Row],[Order Date]])</f>
        <v>2023</v>
      </c>
    </row>
    <row r="225" spans="1:10" x14ac:dyDescent="0.3">
      <c r="A225" s="1">
        <v>45607</v>
      </c>
      <c r="B225" t="s">
        <v>8</v>
      </c>
      <c r="C225" t="s">
        <v>9</v>
      </c>
      <c r="D225" t="s">
        <v>19</v>
      </c>
      <c r="E225">
        <v>3589</v>
      </c>
      <c r="F225">
        <v>6561</v>
      </c>
      <c r="G225">
        <v>0</v>
      </c>
      <c r="H225">
        <v>-2972</v>
      </c>
      <c r="I225" s="2">
        <f>sa_retail_sales[[#This Row],[Profit]] / sa_retail_sales[[#This Row],[Revenue]]</f>
        <v>-0.82808581777653945</v>
      </c>
      <c r="J225">
        <f xml:space="preserve"> YEAR(sa_retail_sales[[#This Row],[Order Date]])</f>
        <v>2024</v>
      </c>
    </row>
    <row r="226" spans="1:10" x14ac:dyDescent="0.3">
      <c r="A226" s="1">
        <v>45311</v>
      </c>
      <c r="B226" t="s">
        <v>17</v>
      </c>
      <c r="C226" t="s">
        <v>16</v>
      </c>
      <c r="D226" t="s">
        <v>19</v>
      </c>
      <c r="E226">
        <v>1023</v>
      </c>
      <c r="F226">
        <v>2037</v>
      </c>
      <c r="G226">
        <v>0</v>
      </c>
      <c r="H226">
        <v>-1014</v>
      </c>
      <c r="I226" s="2">
        <f>sa_retail_sales[[#This Row],[Profit]] / sa_retail_sales[[#This Row],[Revenue]]</f>
        <v>-0.99120234604105573</v>
      </c>
      <c r="J226">
        <f xml:space="preserve"> YEAR(sa_retail_sales[[#This Row],[Order Date]])</f>
        <v>2024</v>
      </c>
    </row>
    <row r="227" spans="1:10" x14ac:dyDescent="0.3">
      <c r="A227" s="1">
        <v>44599</v>
      </c>
      <c r="B227" t="s">
        <v>18</v>
      </c>
      <c r="C227" t="s">
        <v>9</v>
      </c>
      <c r="D227" t="s">
        <v>12</v>
      </c>
      <c r="E227">
        <v>4775</v>
      </c>
      <c r="F227">
        <v>9396</v>
      </c>
      <c r="G227">
        <v>10</v>
      </c>
      <c r="H227">
        <v>-4621</v>
      </c>
      <c r="I227" s="2">
        <f>sa_retail_sales[[#This Row],[Profit]] / sa_retail_sales[[#This Row],[Revenue]]</f>
        <v>-0.96774869109947648</v>
      </c>
      <c r="J227">
        <f xml:space="preserve"> YEAR(sa_retail_sales[[#This Row],[Order Date]])</f>
        <v>2022</v>
      </c>
    </row>
    <row r="228" spans="1:10" x14ac:dyDescent="0.3">
      <c r="A228" s="1">
        <v>44791</v>
      </c>
      <c r="B228" t="s">
        <v>17</v>
      </c>
      <c r="C228" t="s">
        <v>13</v>
      </c>
      <c r="D228" t="s">
        <v>12</v>
      </c>
      <c r="E228">
        <v>12910</v>
      </c>
      <c r="F228">
        <v>3854</v>
      </c>
      <c r="G228">
        <v>20</v>
      </c>
      <c r="H228">
        <v>9056</v>
      </c>
      <c r="I228" s="2">
        <f>sa_retail_sales[[#This Row],[Profit]] / sa_retail_sales[[#This Row],[Revenue]]</f>
        <v>0.70147172734314489</v>
      </c>
      <c r="J228">
        <f xml:space="preserve"> YEAR(sa_retail_sales[[#This Row],[Order Date]])</f>
        <v>2022</v>
      </c>
    </row>
    <row r="229" spans="1:10" x14ac:dyDescent="0.3">
      <c r="A229" s="1">
        <v>45124</v>
      </c>
      <c r="B229" t="s">
        <v>8</v>
      </c>
      <c r="C229" t="s">
        <v>16</v>
      </c>
      <c r="D229" t="s">
        <v>19</v>
      </c>
      <c r="E229">
        <v>5865</v>
      </c>
      <c r="F229">
        <v>10218</v>
      </c>
      <c r="G229">
        <v>15</v>
      </c>
      <c r="H229">
        <v>-4353</v>
      </c>
      <c r="I229" s="2">
        <f>sa_retail_sales[[#This Row],[Profit]] / sa_retail_sales[[#This Row],[Revenue]]</f>
        <v>-0.74219948849104855</v>
      </c>
      <c r="J229">
        <f xml:space="preserve"> YEAR(sa_retail_sales[[#This Row],[Order Date]])</f>
        <v>2023</v>
      </c>
    </row>
    <row r="230" spans="1:10" x14ac:dyDescent="0.3">
      <c r="A230" s="1">
        <v>44999</v>
      </c>
      <c r="B230" t="s">
        <v>8</v>
      </c>
      <c r="C230" t="s">
        <v>16</v>
      </c>
      <c r="D230" t="s">
        <v>12</v>
      </c>
      <c r="E230">
        <v>14545</v>
      </c>
      <c r="F230">
        <v>11415</v>
      </c>
      <c r="G230">
        <v>5</v>
      </c>
      <c r="H230">
        <v>3130</v>
      </c>
      <c r="I230" s="2">
        <f>sa_retail_sales[[#This Row],[Profit]] / sa_retail_sales[[#This Row],[Revenue]]</f>
        <v>0.2151942248195256</v>
      </c>
      <c r="J230">
        <f xml:space="preserve"> YEAR(sa_retail_sales[[#This Row],[Order Date]])</f>
        <v>2023</v>
      </c>
    </row>
    <row r="231" spans="1:10" x14ac:dyDescent="0.3">
      <c r="A231" s="1">
        <v>44588</v>
      </c>
      <c r="B231" t="s">
        <v>17</v>
      </c>
      <c r="C231" t="s">
        <v>16</v>
      </c>
      <c r="D231" t="s">
        <v>19</v>
      </c>
      <c r="E231">
        <v>3622</v>
      </c>
      <c r="F231">
        <v>9426</v>
      </c>
      <c r="G231">
        <v>10</v>
      </c>
      <c r="H231">
        <v>-5804</v>
      </c>
      <c r="I231" s="2">
        <f>sa_retail_sales[[#This Row],[Profit]] / sa_retail_sales[[#This Row],[Revenue]]</f>
        <v>-1.6024295969077857</v>
      </c>
      <c r="J231">
        <f xml:space="preserve"> YEAR(sa_retail_sales[[#This Row],[Order Date]])</f>
        <v>2022</v>
      </c>
    </row>
    <row r="232" spans="1:10" x14ac:dyDescent="0.3">
      <c r="A232" s="1">
        <v>44787</v>
      </c>
      <c r="B232" t="s">
        <v>8</v>
      </c>
      <c r="C232" t="s">
        <v>14</v>
      </c>
      <c r="D232" t="s">
        <v>10</v>
      </c>
      <c r="E232">
        <v>8667</v>
      </c>
      <c r="F232">
        <v>7395</v>
      </c>
      <c r="G232">
        <v>20</v>
      </c>
      <c r="H232">
        <v>1272</v>
      </c>
      <c r="I232" s="2">
        <f>sa_retail_sales[[#This Row],[Profit]] / sa_retail_sales[[#This Row],[Revenue]]</f>
        <v>0.14676358601592246</v>
      </c>
      <c r="J232">
        <f xml:space="preserve"> YEAR(sa_retail_sales[[#This Row],[Order Date]])</f>
        <v>2022</v>
      </c>
    </row>
    <row r="233" spans="1:10" x14ac:dyDescent="0.3">
      <c r="A233" s="1">
        <v>45359</v>
      </c>
      <c r="B233" t="s">
        <v>11</v>
      </c>
      <c r="C233" t="s">
        <v>9</v>
      </c>
      <c r="D233" t="s">
        <v>12</v>
      </c>
      <c r="E233">
        <v>5690</v>
      </c>
      <c r="F233">
        <v>8566</v>
      </c>
      <c r="G233">
        <v>0</v>
      </c>
      <c r="H233">
        <v>-2876</v>
      </c>
      <c r="I233" s="2">
        <f>sa_retail_sales[[#This Row],[Profit]] / sa_retail_sales[[#This Row],[Revenue]]</f>
        <v>-0.50544815465729354</v>
      </c>
      <c r="J233">
        <f xml:space="preserve"> YEAR(sa_retail_sales[[#This Row],[Order Date]])</f>
        <v>2024</v>
      </c>
    </row>
    <row r="234" spans="1:10" x14ac:dyDescent="0.3">
      <c r="A234" s="1">
        <v>44845</v>
      </c>
      <c r="B234" t="s">
        <v>11</v>
      </c>
      <c r="C234" t="s">
        <v>16</v>
      </c>
      <c r="D234" t="s">
        <v>12</v>
      </c>
      <c r="E234">
        <v>5075</v>
      </c>
      <c r="F234">
        <v>594</v>
      </c>
      <c r="G234">
        <v>20</v>
      </c>
      <c r="H234">
        <v>4481</v>
      </c>
      <c r="I234" s="2">
        <f>sa_retail_sales[[#This Row],[Profit]] / sa_retail_sales[[#This Row],[Revenue]]</f>
        <v>0.88295566502463052</v>
      </c>
      <c r="J234">
        <f xml:space="preserve"> YEAR(sa_retail_sales[[#This Row],[Order Date]])</f>
        <v>2022</v>
      </c>
    </row>
    <row r="235" spans="1:10" x14ac:dyDescent="0.3">
      <c r="A235" s="1">
        <v>45440</v>
      </c>
      <c r="B235" t="s">
        <v>8</v>
      </c>
      <c r="C235" t="s">
        <v>16</v>
      </c>
      <c r="D235" t="s">
        <v>12</v>
      </c>
      <c r="E235">
        <v>8227</v>
      </c>
      <c r="F235">
        <v>8512</v>
      </c>
      <c r="G235">
        <v>15</v>
      </c>
      <c r="H235">
        <v>-285</v>
      </c>
      <c r="I235" s="2">
        <f>sa_retail_sales[[#This Row],[Profit]] / sa_retail_sales[[#This Row],[Revenue]]</f>
        <v>-3.4642032332563508E-2</v>
      </c>
      <c r="J235">
        <f xml:space="preserve"> YEAR(sa_retail_sales[[#This Row],[Order Date]])</f>
        <v>2024</v>
      </c>
    </row>
    <row r="236" spans="1:10" x14ac:dyDescent="0.3">
      <c r="A236" s="1">
        <v>45521</v>
      </c>
      <c r="B236" t="s">
        <v>11</v>
      </c>
      <c r="C236" t="s">
        <v>16</v>
      </c>
      <c r="D236" t="s">
        <v>10</v>
      </c>
      <c r="E236">
        <v>2297</v>
      </c>
      <c r="F236">
        <v>11734</v>
      </c>
      <c r="G236">
        <v>10</v>
      </c>
      <c r="H236">
        <v>-9437</v>
      </c>
      <c r="I236" s="2">
        <f>sa_retail_sales[[#This Row],[Profit]] / sa_retail_sales[[#This Row],[Revenue]]</f>
        <v>-4.1084022638223772</v>
      </c>
      <c r="J236">
        <f xml:space="preserve"> YEAR(sa_retail_sales[[#This Row],[Order Date]])</f>
        <v>2024</v>
      </c>
    </row>
    <row r="237" spans="1:10" x14ac:dyDescent="0.3">
      <c r="A237" s="1">
        <v>45014</v>
      </c>
      <c r="B237" t="s">
        <v>18</v>
      </c>
      <c r="C237" t="s">
        <v>9</v>
      </c>
      <c r="D237" t="s">
        <v>19</v>
      </c>
      <c r="E237">
        <v>2631</v>
      </c>
      <c r="F237">
        <v>9530</v>
      </c>
      <c r="G237">
        <v>0</v>
      </c>
      <c r="H237">
        <v>-6899</v>
      </c>
      <c r="I237" s="2">
        <f>sa_retail_sales[[#This Row],[Profit]] / sa_retail_sales[[#This Row],[Revenue]]</f>
        <v>-2.622196883314329</v>
      </c>
      <c r="J237">
        <f xml:space="preserve"> YEAR(sa_retail_sales[[#This Row],[Order Date]])</f>
        <v>2023</v>
      </c>
    </row>
    <row r="238" spans="1:10" x14ac:dyDescent="0.3">
      <c r="A238" s="1">
        <v>45581</v>
      </c>
      <c r="B238" t="s">
        <v>17</v>
      </c>
      <c r="C238" t="s">
        <v>14</v>
      </c>
      <c r="D238" t="s">
        <v>15</v>
      </c>
      <c r="E238">
        <v>7822</v>
      </c>
      <c r="F238">
        <v>5630</v>
      </c>
      <c r="G238">
        <v>15</v>
      </c>
      <c r="H238">
        <v>2192</v>
      </c>
      <c r="I238" s="2">
        <f>sa_retail_sales[[#This Row],[Profit]] / sa_retail_sales[[#This Row],[Revenue]]</f>
        <v>0.28023523395551009</v>
      </c>
      <c r="J238">
        <f xml:space="preserve"> YEAR(sa_retail_sales[[#This Row],[Order Date]])</f>
        <v>2024</v>
      </c>
    </row>
    <row r="239" spans="1:10" x14ac:dyDescent="0.3">
      <c r="A239" s="1">
        <v>45377</v>
      </c>
      <c r="B239" t="s">
        <v>18</v>
      </c>
      <c r="C239" t="s">
        <v>13</v>
      </c>
      <c r="D239" t="s">
        <v>12</v>
      </c>
      <c r="E239">
        <v>7000</v>
      </c>
      <c r="F239">
        <v>4955</v>
      </c>
      <c r="G239">
        <v>5</v>
      </c>
      <c r="H239">
        <v>2045</v>
      </c>
      <c r="I239" s="2">
        <f>sa_retail_sales[[#This Row],[Profit]] / sa_retail_sales[[#This Row],[Revenue]]</f>
        <v>0.29214285714285715</v>
      </c>
      <c r="J239">
        <f xml:space="preserve"> YEAR(sa_retail_sales[[#This Row],[Order Date]])</f>
        <v>2024</v>
      </c>
    </row>
    <row r="240" spans="1:10" x14ac:dyDescent="0.3">
      <c r="A240" s="1">
        <v>45220</v>
      </c>
      <c r="B240" t="s">
        <v>17</v>
      </c>
      <c r="C240" t="s">
        <v>14</v>
      </c>
      <c r="D240" t="s">
        <v>19</v>
      </c>
      <c r="E240">
        <v>1315</v>
      </c>
      <c r="F240">
        <v>1409</v>
      </c>
      <c r="G240">
        <v>10</v>
      </c>
      <c r="H240">
        <v>-94</v>
      </c>
      <c r="I240" s="2">
        <f>sa_retail_sales[[#This Row],[Profit]] / sa_retail_sales[[#This Row],[Revenue]]</f>
        <v>-7.1482889733840302E-2</v>
      </c>
      <c r="J240">
        <f xml:space="preserve"> YEAR(sa_retail_sales[[#This Row],[Order Date]])</f>
        <v>2023</v>
      </c>
    </row>
    <row r="241" spans="1:10" x14ac:dyDescent="0.3">
      <c r="A241" s="1">
        <v>45108</v>
      </c>
      <c r="B241" t="s">
        <v>8</v>
      </c>
      <c r="C241" t="s">
        <v>16</v>
      </c>
      <c r="D241" t="s">
        <v>10</v>
      </c>
      <c r="E241">
        <v>11386</v>
      </c>
      <c r="F241">
        <v>4071</v>
      </c>
      <c r="G241">
        <v>15</v>
      </c>
      <c r="H241">
        <v>7315</v>
      </c>
      <c r="I241" s="2">
        <f>sa_retail_sales[[#This Row],[Profit]] / sa_retail_sales[[#This Row],[Revenue]]</f>
        <v>0.64245564728614091</v>
      </c>
      <c r="J241">
        <f xml:space="preserve"> YEAR(sa_retail_sales[[#This Row],[Order Date]])</f>
        <v>2023</v>
      </c>
    </row>
    <row r="242" spans="1:10" x14ac:dyDescent="0.3">
      <c r="A242" s="1">
        <v>45634</v>
      </c>
      <c r="B242" t="s">
        <v>18</v>
      </c>
      <c r="C242" t="s">
        <v>14</v>
      </c>
      <c r="D242" t="s">
        <v>15</v>
      </c>
      <c r="E242">
        <v>9134</v>
      </c>
      <c r="F242">
        <v>8863</v>
      </c>
      <c r="G242">
        <v>15</v>
      </c>
      <c r="H242">
        <v>271</v>
      </c>
      <c r="I242" s="2">
        <f>sa_retail_sales[[#This Row],[Profit]] / sa_retail_sales[[#This Row],[Revenue]]</f>
        <v>2.9669367199474491E-2</v>
      </c>
      <c r="J242">
        <f xml:space="preserve"> YEAR(sa_retail_sales[[#This Row],[Order Date]])</f>
        <v>2024</v>
      </c>
    </row>
    <row r="243" spans="1:10" x14ac:dyDescent="0.3">
      <c r="A243" s="1">
        <v>44578</v>
      </c>
      <c r="B243" t="s">
        <v>8</v>
      </c>
      <c r="C243" t="s">
        <v>14</v>
      </c>
      <c r="D243" t="s">
        <v>12</v>
      </c>
      <c r="E243">
        <v>11832</v>
      </c>
      <c r="F243">
        <v>6423</v>
      </c>
      <c r="G243">
        <v>0</v>
      </c>
      <c r="H243">
        <v>5409</v>
      </c>
      <c r="I243" s="2">
        <f>sa_retail_sales[[#This Row],[Profit]] / sa_retail_sales[[#This Row],[Revenue]]</f>
        <v>0.45715010141987827</v>
      </c>
      <c r="J243">
        <f xml:space="preserve"> YEAR(sa_retail_sales[[#This Row],[Order Date]])</f>
        <v>2022</v>
      </c>
    </row>
    <row r="244" spans="1:10" x14ac:dyDescent="0.3">
      <c r="A244" s="1">
        <v>44719</v>
      </c>
      <c r="B244" t="s">
        <v>8</v>
      </c>
      <c r="C244" t="s">
        <v>13</v>
      </c>
      <c r="D244" t="s">
        <v>10</v>
      </c>
      <c r="E244">
        <v>7166</v>
      </c>
      <c r="F244">
        <v>7947</v>
      </c>
      <c r="G244">
        <v>5</v>
      </c>
      <c r="H244">
        <v>-781</v>
      </c>
      <c r="I244" s="2">
        <f>sa_retail_sales[[#This Row],[Profit]] / sa_retail_sales[[#This Row],[Revenue]]</f>
        <v>-0.10898688250069774</v>
      </c>
      <c r="J244">
        <f xml:space="preserve"> YEAR(sa_retail_sales[[#This Row],[Order Date]])</f>
        <v>2022</v>
      </c>
    </row>
    <row r="245" spans="1:10" x14ac:dyDescent="0.3">
      <c r="A245" s="1">
        <v>45038</v>
      </c>
      <c r="B245" t="s">
        <v>17</v>
      </c>
      <c r="C245" t="s">
        <v>9</v>
      </c>
      <c r="D245" t="s">
        <v>10</v>
      </c>
      <c r="E245">
        <v>642</v>
      </c>
      <c r="F245">
        <v>1474</v>
      </c>
      <c r="G245">
        <v>15</v>
      </c>
      <c r="H245">
        <v>-832</v>
      </c>
      <c r="I245" s="2">
        <f>sa_retail_sales[[#This Row],[Profit]] / sa_retail_sales[[#This Row],[Revenue]]</f>
        <v>-1.2959501557632398</v>
      </c>
      <c r="J245">
        <f xml:space="preserve"> YEAR(sa_retail_sales[[#This Row],[Order Date]])</f>
        <v>2023</v>
      </c>
    </row>
    <row r="246" spans="1:10" x14ac:dyDescent="0.3">
      <c r="A246" s="1">
        <v>45631</v>
      </c>
      <c r="B246" t="s">
        <v>17</v>
      </c>
      <c r="C246" t="s">
        <v>9</v>
      </c>
      <c r="D246" t="s">
        <v>15</v>
      </c>
      <c r="E246">
        <v>12979</v>
      </c>
      <c r="F246">
        <v>1464</v>
      </c>
      <c r="G246">
        <v>10</v>
      </c>
      <c r="H246">
        <v>11515</v>
      </c>
      <c r="I246" s="2">
        <f>sa_retail_sales[[#This Row],[Profit]] / sa_retail_sales[[#This Row],[Revenue]]</f>
        <v>0.88720240388319593</v>
      </c>
      <c r="J246">
        <f xml:space="preserve"> YEAR(sa_retail_sales[[#This Row],[Order Date]])</f>
        <v>2024</v>
      </c>
    </row>
    <row r="247" spans="1:10" x14ac:dyDescent="0.3">
      <c r="A247" s="1">
        <v>45079</v>
      </c>
      <c r="B247" t="s">
        <v>17</v>
      </c>
      <c r="C247" t="s">
        <v>14</v>
      </c>
      <c r="D247" t="s">
        <v>19</v>
      </c>
      <c r="E247">
        <v>1910</v>
      </c>
      <c r="F247">
        <v>9584</v>
      </c>
      <c r="G247">
        <v>15</v>
      </c>
      <c r="H247">
        <v>-7674</v>
      </c>
      <c r="I247" s="2">
        <f>sa_retail_sales[[#This Row],[Profit]] / sa_retail_sales[[#This Row],[Revenue]]</f>
        <v>-4.0178010471204191</v>
      </c>
      <c r="J247">
        <f xml:space="preserve"> YEAR(sa_retail_sales[[#This Row],[Order Date]])</f>
        <v>2023</v>
      </c>
    </row>
    <row r="248" spans="1:10" x14ac:dyDescent="0.3">
      <c r="A248" s="1">
        <v>44660</v>
      </c>
      <c r="B248" t="s">
        <v>18</v>
      </c>
      <c r="C248" t="s">
        <v>14</v>
      </c>
      <c r="D248" t="s">
        <v>12</v>
      </c>
      <c r="E248">
        <v>13165</v>
      </c>
      <c r="F248">
        <v>9775</v>
      </c>
      <c r="G248">
        <v>20</v>
      </c>
      <c r="H248">
        <v>3390</v>
      </c>
      <c r="I248" s="2">
        <f>sa_retail_sales[[#This Row],[Profit]] / sa_retail_sales[[#This Row],[Revenue]]</f>
        <v>0.25750094948727686</v>
      </c>
      <c r="J248">
        <f xml:space="preserve"> YEAR(sa_retail_sales[[#This Row],[Order Date]])</f>
        <v>2022</v>
      </c>
    </row>
    <row r="249" spans="1:10" x14ac:dyDescent="0.3">
      <c r="A249" s="1">
        <v>45622</v>
      </c>
      <c r="B249" t="s">
        <v>11</v>
      </c>
      <c r="C249" t="s">
        <v>9</v>
      </c>
      <c r="D249" t="s">
        <v>12</v>
      </c>
      <c r="E249">
        <v>1034</v>
      </c>
      <c r="F249">
        <v>10503</v>
      </c>
      <c r="G249">
        <v>10</v>
      </c>
      <c r="H249">
        <v>-9469</v>
      </c>
      <c r="I249" s="2">
        <f>sa_retail_sales[[#This Row],[Profit]] / sa_retail_sales[[#This Row],[Revenue]]</f>
        <v>-9.1576402321083172</v>
      </c>
      <c r="J249">
        <f xml:space="preserve"> YEAR(sa_retail_sales[[#This Row],[Order Date]])</f>
        <v>2024</v>
      </c>
    </row>
    <row r="250" spans="1:10" x14ac:dyDescent="0.3">
      <c r="A250" s="1">
        <v>44841</v>
      </c>
      <c r="B250" t="s">
        <v>17</v>
      </c>
      <c r="C250" t="s">
        <v>9</v>
      </c>
      <c r="D250" t="s">
        <v>19</v>
      </c>
      <c r="E250">
        <v>10408</v>
      </c>
      <c r="F250">
        <v>9337</v>
      </c>
      <c r="G250">
        <v>10</v>
      </c>
      <c r="H250">
        <v>1071</v>
      </c>
      <c r="I250" s="2">
        <f>sa_retail_sales[[#This Row],[Profit]] / sa_retail_sales[[#This Row],[Revenue]]</f>
        <v>0.10290161414296695</v>
      </c>
      <c r="J250">
        <f xml:space="preserve"> YEAR(sa_retail_sales[[#This Row],[Order Date]])</f>
        <v>2022</v>
      </c>
    </row>
    <row r="251" spans="1:10" x14ac:dyDescent="0.3">
      <c r="A251" s="1">
        <v>45058</v>
      </c>
      <c r="B251" t="s">
        <v>17</v>
      </c>
      <c r="C251" t="s">
        <v>13</v>
      </c>
      <c r="D251" t="s">
        <v>19</v>
      </c>
      <c r="E251">
        <v>3864</v>
      </c>
      <c r="F251">
        <v>10483</v>
      </c>
      <c r="G251">
        <v>15</v>
      </c>
      <c r="H251">
        <v>-6619</v>
      </c>
      <c r="I251" s="2">
        <f>sa_retail_sales[[#This Row],[Profit]] / sa_retail_sales[[#This Row],[Revenue]]</f>
        <v>-1.7129917184265011</v>
      </c>
      <c r="J251">
        <f xml:space="preserve"> YEAR(sa_retail_sales[[#This Row],[Order Date]])</f>
        <v>2023</v>
      </c>
    </row>
    <row r="252" spans="1:10" x14ac:dyDescent="0.3">
      <c r="A252" s="1">
        <v>44863</v>
      </c>
      <c r="B252" t="s">
        <v>18</v>
      </c>
      <c r="C252" t="s">
        <v>16</v>
      </c>
      <c r="D252" t="s">
        <v>19</v>
      </c>
      <c r="E252">
        <v>1532</v>
      </c>
      <c r="F252">
        <v>9012</v>
      </c>
      <c r="G252">
        <v>0</v>
      </c>
      <c r="H252">
        <v>-7480</v>
      </c>
      <c r="I252" s="2">
        <f>sa_retail_sales[[#This Row],[Profit]] / sa_retail_sales[[#This Row],[Revenue]]</f>
        <v>-4.8825065274151438</v>
      </c>
      <c r="J252">
        <f xml:space="preserve"> YEAR(sa_retail_sales[[#This Row],[Order Date]])</f>
        <v>2022</v>
      </c>
    </row>
    <row r="253" spans="1:10" x14ac:dyDescent="0.3">
      <c r="A253" s="1">
        <v>44742</v>
      </c>
      <c r="B253" t="s">
        <v>17</v>
      </c>
      <c r="C253" t="s">
        <v>14</v>
      </c>
      <c r="D253" t="s">
        <v>15</v>
      </c>
      <c r="E253">
        <v>3842</v>
      </c>
      <c r="F253">
        <v>4766</v>
      </c>
      <c r="G253">
        <v>10</v>
      </c>
      <c r="H253">
        <v>-924</v>
      </c>
      <c r="I253" s="2">
        <f>sa_retail_sales[[#This Row],[Profit]] / sa_retail_sales[[#This Row],[Revenue]]</f>
        <v>-0.2404997397188964</v>
      </c>
      <c r="J253">
        <f xml:space="preserve"> YEAR(sa_retail_sales[[#This Row],[Order Date]])</f>
        <v>2022</v>
      </c>
    </row>
    <row r="254" spans="1:10" x14ac:dyDescent="0.3">
      <c r="A254" s="1">
        <v>45168</v>
      </c>
      <c r="B254" t="s">
        <v>18</v>
      </c>
      <c r="C254" t="s">
        <v>9</v>
      </c>
      <c r="D254" t="s">
        <v>15</v>
      </c>
      <c r="E254">
        <v>10102</v>
      </c>
      <c r="F254">
        <v>5838</v>
      </c>
      <c r="G254">
        <v>20</v>
      </c>
      <c r="H254">
        <v>4264</v>
      </c>
      <c r="I254" s="2">
        <f>sa_retail_sales[[#This Row],[Profit]] / sa_retail_sales[[#This Row],[Revenue]]</f>
        <v>0.42209463472579689</v>
      </c>
      <c r="J254">
        <f xml:space="preserve"> YEAR(sa_retail_sales[[#This Row],[Order Date]])</f>
        <v>2023</v>
      </c>
    </row>
    <row r="255" spans="1:10" x14ac:dyDescent="0.3">
      <c r="A255" s="1">
        <v>45261</v>
      </c>
      <c r="B255" t="s">
        <v>8</v>
      </c>
      <c r="C255" t="s">
        <v>14</v>
      </c>
      <c r="D255" t="s">
        <v>12</v>
      </c>
      <c r="E255">
        <v>14928</v>
      </c>
      <c r="F255">
        <v>7411</v>
      </c>
      <c r="G255">
        <v>0</v>
      </c>
      <c r="H255">
        <v>7517</v>
      </c>
      <c r="I255" s="2">
        <f>sa_retail_sales[[#This Row],[Profit]] / sa_retail_sales[[#This Row],[Revenue]]</f>
        <v>0.50355037513397638</v>
      </c>
      <c r="J255">
        <f xml:space="preserve"> YEAR(sa_retail_sales[[#This Row],[Order Date]])</f>
        <v>2023</v>
      </c>
    </row>
    <row r="256" spans="1:10" x14ac:dyDescent="0.3">
      <c r="A256" s="1">
        <v>45554</v>
      </c>
      <c r="B256" t="s">
        <v>17</v>
      </c>
      <c r="C256" t="s">
        <v>14</v>
      </c>
      <c r="D256" t="s">
        <v>15</v>
      </c>
      <c r="E256">
        <v>6585</v>
      </c>
      <c r="F256">
        <v>8734</v>
      </c>
      <c r="G256">
        <v>0</v>
      </c>
      <c r="H256">
        <v>-2149</v>
      </c>
      <c r="I256" s="2">
        <f>sa_retail_sales[[#This Row],[Profit]] / sa_retail_sales[[#This Row],[Revenue]]</f>
        <v>-0.32634776006074412</v>
      </c>
      <c r="J256">
        <f xml:space="preserve"> YEAR(sa_retail_sales[[#This Row],[Order Date]])</f>
        <v>2024</v>
      </c>
    </row>
    <row r="257" spans="1:10" x14ac:dyDescent="0.3">
      <c r="A257" s="1">
        <v>44752</v>
      </c>
      <c r="B257" t="s">
        <v>17</v>
      </c>
      <c r="C257" t="s">
        <v>9</v>
      </c>
      <c r="D257" t="s">
        <v>10</v>
      </c>
      <c r="E257">
        <v>13965</v>
      </c>
      <c r="F257">
        <v>3100</v>
      </c>
      <c r="G257">
        <v>0</v>
      </c>
      <c r="H257">
        <v>10865</v>
      </c>
      <c r="I257" s="2">
        <f>sa_retail_sales[[#This Row],[Profit]] / sa_retail_sales[[#This Row],[Revenue]]</f>
        <v>0.77801646974579308</v>
      </c>
      <c r="J257">
        <f xml:space="preserve"> YEAR(sa_retail_sales[[#This Row],[Order Date]])</f>
        <v>2022</v>
      </c>
    </row>
    <row r="258" spans="1:10" x14ac:dyDescent="0.3">
      <c r="A258" s="1">
        <v>44814</v>
      </c>
      <c r="B258" t="s">
        <v>8</v>
      </c>
      <c r="C258" t="s">
        <v>13</v>
      </c>
      <c r="D258" t="s">
        <v>12</v>
      </c>
      <c r="E258">
        <v>5000</v>
      </c>
      <c r="F258">
        <v>4907</v>
      </c>
      <c r="G258">
        <v>10</v>
      </c>
      <c r="H258">
        <v>93</v>
      </c>
      <c r="I258" s="2">
        <f>sa_retail_sales[[#This Row],[Profit]] / sa_retail_sales[[#This Row],[Revenue]]</f>
        <v>1.8599999999999998E-2</v>
      </c>
      <c r="J258">
        <f xml:space="preserve"> YEAR(sa_retail_sales[[#This Row],[Order Date]])</f>
        <v>2022</v>
      </c>
    </row>
    <row r="259" spans="1:10" x14ac:dyDescent="0.3">
      <c r="A259" s="1">
        <v>45542</v>
      </c>
      <c r="B259" t="s">
        <v>8</v>
      </c>
      <c r="C259" t="s">
        <v>14</v>
      </c>
      <c r="D259" t="s">
        <v>15</v>
      </c>
      <c r="E259">
        <v>1672</v>
      </c>
      <c r="F259">
        <v>11388</v>
      </c>
      <c r="G259">
        <v>0</v>
      </c>
      <c r="H259">
        <v>-9716</v>
      </c>
      <c r="I259" s="2">
        <f>sa_retail_sales[[#This Row],[Profit]] / sa_retail_sales[[#This Row],[Revenue]]</f>
        <v>-5.8110047846889952</v>
      </c>
      <c r="J259">
        <f xml:space="preserve"> YEAR(sa_retail_sales[[#This Row],[Order Date]])</f>
        <v>2024</v>
      </c>
    </row>
    <row r="260" spans="1:10" x14ac:dyDescent="0.3">
      <c r="A260" s="1">
        <v>45489</v>
      </c>
      <c r="B260" t="s">
        <v>8</v>
      </c>
      <c r="C260" t="s">
        <v>13</v>
      </c>
      <c r="D260" t="s">
        <v>19</v>
      </c>
      <c r="E260">
        <v>9580</v>
      </c>
      <c r="F260">
        <v>11094</v>
      </c>
      <c r="G260">
        <v>15</v>
      </c>
      <c r="H260">
        <v>-1514</v>
      </c>
      <c r="I260" s="2">
        <f>sa_retail_sales[[#This Row],[Profit]] / sa_retail_sales[[#This Row],[Revenue]]</f>
        <v>-0.15803757828810022</v>
      </c>
      <c r="J260">
        <f xml:space="preserve"> YEAR(sa_retail_sales[[#This Row],[Order Date]])</f>
        <v>2024</v>
      </c>
    </row>
    <row r="261" spans="1:10" x14ac:dyDescent="0.3">
      <c r="A261" s="1">
        <v>44689</v>
      </c>
      <c r="B261" t="s">
        <v>17</v>
      </c>
      <c r="C261" t="s">
        <v>9</v>
      </c>
      <c r="D261" t="s">
        <v>10</v>
      </c>
      <c r="E261">
        <v>12030</v>
      </c>
      <c r="F261">
        <v>7562</v>
      </c>
      <c r="G261">
        <v>0</v>
      </c>
      <c r="H261">
        <v>4468</v>
      </c>
      <c r="I261" s="2">
        <f>sa_retail_sales[[#This Row],[Profit]] / sa_retail_sales[[#This Row],[Revenue]]</f>
        <v>0.37140482128013302</v>
      </c>
      <c r="J261">
        <f xml:space="preserve"> YEAR(sa_retail_sales[[#This Row],[Order Date]])</f>
        <v>2022</v>
      </c>
    </row>
    <row r="262" spans="1:10" x14ac:dyDescent="0.3">
      <c r="A262" s="1">
        <v>44579</v>
      </c>
      <c r="B262" t="s">
        <v>11</v>
      </c>
      <c r="C262" t="s">
        <v>16</v>
      </c>
      <c r="D262" t="s">
        <v>19</v>
      </c>
      <c r="E262">
        <v>5017</v>
      </c>
      <c r="F262">
        <v>10765</v>
      </c>
      <c r="G262">
        <v>20</v>
      </c>
      <c r="H262">
        <v>-5748</v>
      </c>
      <c r="I262" s="2">
        <f>sa_retail_sales[[#This Row],[Profit]] / sa_retail_sales[[#This Row],[Revenue]]</f>
        <v>-1.1457046043452261</v>
      </c>
      <c r="J262">
        <f xml:space="preserve"> YEAR(sa_retail_sales[[#This Row],[Order Date]])</f>
        <v>2022</v>
      </c>
    </row>
    <row r="263" spans="1:10" x14ac:dyDescent="0.3">
      <c r="A263" s="1">
        <v>45127</v>
      </c>
      <c r="B263" t="s">
        <v>11</v>
      </c>
      <c r="C263" t="s">
        <v>16</v>
      </c>
      <c r="D263" t="s">
        <v>12</v>
      </c>
      <c r="E263">
        <v>8507</v>
      </c>
      <c r="F263">
        <v>1841</v>
      </c>
      <c r="G263">
        <v>5</v>
      </c>
      <c r="H263">
        <v>6666</v>
      </c>
      <c r="I263" s="2">
        <f>sa_retail_sales[[#This Row],[Profit]] / sa_retail_sales[[#This Row],[Revenue]]</f>
        <v>0.78358998471846719</v>
      </c>
      <c r="J263">
        <f xml:space="preserve"> YEAR(sa_retail_sales[[#This Row],[Order Date]])</f>
        <v>2023</v>
      </c>
    </row>
    <row r="264" spans="1:10" x14ac:dyDescent="0.3">
      <c r="A264" s="1">
        <v>45131</v>
      </c>
      <c r="B264" t="s">
        <v>11</v>
      </c>
      <c r="C264" t="s">
        <v>14</v>
      </c>
      <c r="D264" t="s">
        <v>19</v>
      </c>
      <c r="E264">
        <v>2141</v>
      </c>
      <c r="F264">
        <v>3065</v>
      </c>
      <c r="G264">
        <v>20</v>
      </c>
      <c r="H264">
        <v>-924</v>
      </c>
      <c r="I264" s="2">
        <f>sa_retail_sales[[#This Row],[Profit]] / sa_retail_sales[[#This Row],[Revenue]]</f>
        <v>-0.43157403082671647</v>
      </c>
      <c r="J264">
        <f xml:space="preserve"> YEAR(sa_retail_sales[[#This Row],[Order Date]])</f>
        <v>2023</v>
      </c>
    </row>
    <row r="265" spans="1:10" x14ac:dyDescent="0.3">
      <c r="A265" s="1">
        <v>45247</v>
      </c>
      <c r="B265" t="s">
        <v>17</v>
      </c>
      <c r="C265" t="s">
        <v>9</v>
      </c>
      <c r="D265" t="s">
        <v>15</v>
      </c>
      <c r="E265">
        <v>971</v>
      </c>
      <c r="F265">
        <v>10606</v>
      </c>
      <c r="G265">
        <v>10</v>
      </c>
      <c r="H265">
        <v>-9635</v>
      </c>
      <c r="I265" s="2">
        <f>sa_retail_sales[[#This Row],[Profit]] / sa_retail_sales[[#This Row],[Revenue]]</f>
        <v>-9.9227600411946444</v>
      </c>
      <c r="J265">
        <f xml:space="preserve"> YEAR(sa_retail_sales[[#This Row],[Order Date]])</f>
        <v>2023</v>
      </c>
    </row>
    <row r="266" spans="1:10" x14ac:dyDescent="0.3">
      <c r="A266" s="1">
        <v>45187</v>
      </c>
      <c r="B266" t="s">
        <v>8</v>
      </c>
      <c r="C266" t="s">
        <v>13</v>
      </c>
      <c r="D266" t="s">
        <v>15</v>
      </c>
      <c r="E266">
        <v>3440</v>
      </c>
      <c r="F266">
        <v>4791</v>
      </c>
      <c r="G266">
        <v>0</v>
      </c>
      <c r="H266">
        <v>-1351</v>
      </c>
      <c r="I266" s="2">
        <f>sa_retail_sales[[#This Row],[Profit]] / sa_retail_sales[[#This Row],[Revenue]]</f>
        <v>-0.39273255813953489</v>
      </c>
      <c r="J266">
        <f xml:space="preserve"> YEAR(sa_retail_sales[[#This Row],[Order Date]])</f>
        <v>2023</v>
      </c>
    </row>
    <row r="267" spans="1:10" x14ac:dyDescent="0.3">
      <c r="A267" s="1">
        <v>45415</v>
      </c>
      <c r="B267" t="s">
        <v>17</v>
      </c>
      <c r="C267" t="s">
        <v>14</v>
      </c>
      <c r="D267" t="s">
        <v>12</v>
      </c>
      <c r="E267">
        <v>9238</v>
      </c>
      <c r="F267">
        <v>3383</v>
      </c>
      <c r="G267">
        <v>0</v>
      </c>
      <c r="H267">
        <v>5855</v>
      </c>
      <c r="I267" s="2">
        <f>sa_retail_sales[[#This Row],[Profit]] / sa_retail_sales[[#This Row],[Revenue]]</f>
        <v>0.63379519376488413</v>
      </c>
      <c r="J267">
        <f xml:space="preserve"> YEAR(sa_retail_sales[[#This Row],[Order Date]])</f>
        <v>2024</v>
      </c>
    </row>
    <row r="268" spans="1:10" x14ac:dyDescent="0.3">
      <c r="A268" s="1">
        <v>45523</v>
      </c>
      <c r="B268" t="s">
        <v>8</v>
      </c>
      <c r="C268" t="s">
        <v>9</v>
      </c>
      <c r="D268" t="s">
        <v>19</v>
      </c>
      <c r="E268">
        <v>5226</v>
      </c>
      <c r="F268">
        <v>5656</v>
      </c>
      <c r="G268">
        <v>15</v>
      </c>
      <c r="H268">
        <v>-430</v>
      </c>
      <c r="I268" s="2">
        <f>sa_retail_sales[[#This Row],[Profit]] / sa_retail_sales[[#This Row],[Revenue]]</f>
        <v>-8.2280903176425571E-2</v>
      </c>
      <c r="J268">
        <f xml:space="preserve"> YEAR(sa_retail_sales[[#This Row],[Order Date]])</f>
        <v>2024</v>
      </c>
    </row>
    <row r="269" spans="1:10" x14ac:dyDescent="0.3">
      <c r="A269" s="1">
        <v>44716</v>
      </c>
      <c r="B269" t="s">
        <v>17</v>
      </c>
      <c r="C269" t="s">
        <v>9</v>
      </c>
      <c r="D269" t="s">
        <v>12</v>
      </c>
      <c r="E269">
        <v>12289</v>
      </c>
      <c r="F269">
        <v>2157</v>
      </c>
      <c r="G269">
        <v>0</v>
      </c>
      <c r="H269">
        <v>10132</v>
      </c>
      <c r="I269" s="2">
        <f>sa_retail_sales[[#This Row],[Profit]] / sa_retail_sales[[#This Row],[Revenue]]</f>
        <v>0.82447717470908943</v>
      </c>
      <c r="J269">
        <f xml:space="preserve"> YEAR(sa_retail_sales[[#This Row],[Order Date]])</f>
        <v>2022</v>
      </c>
    </row>
    <row r="270" spans="1:10" x14ac:dyDescent="0.3">
      <c r="A270" s="1">
        <v>45051</v>
      </c>
      <c r="B270" t="s">
        <v>17</v>
      </c>
      <c r="C270" t="s">
        <v>13</v>
      </c>
      <c r="D270" t="s">
        <v>19</v>
      </c>
      <c r="E270">
        <v>8170</v>
      </c>
      <c r="F270">
        <v>1069</v>
      </c>
      <c r="G270">
        <v>20</v>
      </c>
      <c r="H270">
        <v>7101</v>
      </c>
      <c r="I270" s="2">
        <f>sa_retail_sales[[#This Row],[Profit]] / sa_retail_sales[[#This Row],[Revenue]]</f>
        <v>0.86915544675642598</v>
      </c>
      <c r="J270">
        <f xml:space="preserve"> YEAR(sa_retail_sales[[#This Row],[Order Date]])</f>
        <v>2023</v>
      </c>
    </row>
    <row r="271" spans="1:10" x14ac:dyDescent="0.3">
      <c r="A271" s="1">
        <v>45346</v>
      </c>
      <c r="B271" t="s">
        <v>8</v>
      </c>
      <c r="C271" t="s">
        <v>14</v>
      </c>
      <c r="D271" t="s">
        <v>10</v>
      </c>
      <c r="E271">
        <v>13825</v>
      </c>
      <c r="F271">
        <v>1722</v>
      </c>
      <c r="G271">
        <v>10</v>
      </c>
      <c r="H271">
        <v>12103</v>
      </c>
      <c r="I271" s="2">
        <f>sa_retail_sales[[#This Row],[Profit]] / sa_retail_sales[[#This Row],[Revenue]]</f>
        <v>0.87544303797468359</v>
      </c>
      <c r="J271">
        <f xml:space="preserve"> YEAR(sa_retail_sales[[#This Row],[Order Date]])</f>
        <v>2024</v>
      </c>
    </row>
    <row r="272" spans="1:10" x14ac:dyDescent="0.3">
      <c r="A272" s="1">
        <v>44807</v>
      </c>
      <c r="B272" t="s">
        <v>11</v>
      </c>
      <c r="C272" t="s">
        <v>9</v>
      </c>
      <c r="D272" t="s">
        <v>15</v>
      </c>
      <c r="E272">
        <v>11517</v>
      </c>
      <c r="F272">
        <v>8898</v>
      </c>
      <c r="G272">
        <v>5</v>
      </c>
      <c r="H272">
        <v>2619</v>
      </c>
      <c r="I272" s="2">
        <f>sa_retail_sales[[#This Row],[Profit]] / sa_retail_sales[[#This Row],[Revenue]]</f>
        <v>0.22740296952331338</v>
      </c>
      <c r="J272">
        <f xml:space="preserve"> YEAR(sa_retail_sales[[#This Row],[Order Date]])</f>
        <v>2022</v>
      </c>
    </row>
    <row r="273" spans="1:10" x14ac:dyDescent="0.3">
      <c r="A273" s="1">
        <v>45624</v>
      </c>
      <c r="B273" t="s">
        <v>8</v>
      </c>
      <c r="C273" t="s">
        <v>9</v>
      </c>
      <c r="D273" t="s">
        <v>12</v>
      </c>
      <c r="E273">
        <v>4223</v>
      </c>
      <c r="F273">
        <v>3272</v>
      </c>
      <c r="G273">
        <v>0</v>
      </c>
      <c r="H273">
        <v>951</v>
      </c>
      <c r="I273" s="2">
        <f>sa_retail_sales[[#This Row],[Profit]] / sa_retail_sales[[#This Row],[Revenue]]</f>
        <v>0.22519535874970401</v>
      </c>
      <c r="J273">
        <f xml:space="preserve"> YEAR(sa_retail_sales[[#This Row],[Order Date]])</f>
        <v>2024</v>
      </c>
    </row>
    <row r="274" spans="1:10" x14ac:dyDescent="0.3">
      <c r="A274" s="1">
        <v>45320</v>
      </c>
      <c r="B274" t="s">
        <v>18</v>
      </c>
      <c r="C274" t="s">
        <v>9</v>
      </c>
      <c r="D274" t="s">
        <v>10</v>
      </c>
      <c r="E274">
        <v>14617</v>
      </c>
      <c r="F274">
        <v>2172</v>
      </c>
      <c r="G274">
        <v>5</v>
      </c>
      <c r="H274">
        <v>12445</v>
      </c>
      <c r="I274" s="2">
        <f>sa_retail_sales[[#This Row],[Profit]] / sa_retail_sales[[#This Row],[Revenue]]</f>
        <v>0.85140589724293636</v>
      </c>
      <c r="J274">
        <f xml:space="preserve"> YEAR(sa_retail_sales[[#This Row],[Order Date]])</f>
        <v>2024</v>
      </c>
    </row>
    <row r="275" spans="1:10" x14ac:dyDescent="0.3">
      <c r="A275" s="1">
        <v>45099</v>
      </c>
      <c r="B275" t="s">
        <v>18</v>
      </c>
      <c r="C275" t="s">
        <v>13</v>
      </c>
      <c r="D275" t="s">
        <v>10</v>
      </c>
      <c r="E275">
        <v>863</v>
      </c>
      <c r="F275">
        <v>5899</v>
      </c>
      <c r="G275">
        <v>0</v>
      </c>
      <c r="H275">
        <v>-5036</v>
      </c>
      <c r="I275" s="2">
        <f>sa_retail_sales[[#This Row],[Profit]] / sa_retail_sales[[#This Row],[Revenue]]</f>
        <v>-5.835457705677868</v>
      </c>
      <c r="J275">
        <f xml:space="preserve"> YEAR(sa_retail_sales[[#This Row],[Order Date]])</f>
        <v>2023</v>
      </c>
    </row>
    <row r="276" spans="1:10" x14ac:dyDescent="0.3">
      <c r="A276" s="1">
        <v>45482</v>
      </c>
      <c r="B276" t="s">
        <v>8</v>
      </c>
      <c r="C276" t="s">
        <v>14</v>
      </c>
      <c r="D276" t="s">
        <v>12</v>
      </c>
      <c r="E276">
        <v>10858</v>
      </c>
      <c r="F276">
        <v>11186</v>
      </c>
      <c r="G276">
        <v>10</v>
      </c>
      <c r="H276">
        <v>-328</v>
      </c>
      <c r="I276" s="2">
        <f>sa_retail_sales[[#This Row],[Profit]] / sa_retail_sales[[#This Row],[Revenue]]</f>
        <v>-3.0208141462516117E-2</v>
      </c>
      <c r="J276">
        <f xml:space="preserve"> YEAR(sa_retail_sales[[#This Row],[Order Date]])</f>
        <v>2024</v>
      </c>
    </row>
    <row r="277" spans="1:10" x14ac:dyDescent="0.3">
      <c r="A277" s="1">
        <v>44969</v>
      </c>
      <c r="B277" t="s">
        <v>17</v>
      </c>
      <c r="C277" t="s">
        <v>14</v>
      </c>
      <c r="D277" t="s">
        <v>12</v>
      </c>
      <c r="E277">
        <v>3809</v>
      </c>
      <c r="F277">
        <v>2569</v>
      </c>
      <c r="G277">
        <v>20</v>
      </c>
      <c r="H277">
        <v>1240</v>
      </c>
      <c r="I277" s="2">
        <f>sa_retail_sales[[#This Row],[Profit]] / sa_retail_sales[[#This Row],[Revenue]]</f>
        <v>0.32554476240483066</v>
      </c>
      <c r="J277">
        <f xml:space="preserve"> YEAR(sa_retail_sales[[#This Row],[Order Date]])</f>
        <v>2023</v>
      </c>
    </row>
    <row r="278" spans="1:10" x14ac:dyDescent="0.3">
      <c r="A278" s="1">
        <v>45086</v>
      </c>
      <c r="B278" t="s">
        <v>18</v>
      </c>
      <c r="C278" t="s">
        <v>14</v>
      </c>
      <c r="D278" t="s">
        <v>10</v>
      </c>
      <c r="E278">
        <v>1045</v>
      </c>
      <c r="F278">
        <v>5575</v>
      </c>
      <c r="G278">
        <v>10</v>
      </c>
      <c r="H278">
        <v>-4530</v>
      </c>
      <c r="I278" s="2">
        <f>sa_retail_sales[[#This Row],[Profit]] / sa_retail_sales[[#This Row],[Revenue]]</f>
        <v>-4.3349282296650715</v>
      </c>
      <c r="J278">
        <f xml:space="preserve"> YEAR(sa_retail_sales[[#This Row],[Order Date]])</f>
        <v>2023</v>
      </c>
    </row>
    <row r="279" spans="1:10" x14ac:dyDescent="0.3">
      <c r="A279" s="1">
        <v>45389</v>
      </c>
      <c r="B279" t="s">
        <v>18</v>
      </c>
      <c r="C279" t="s">
        <v>14</v>
      </c>
      <c r="D279" t="s">
        <v>19</v>
      </c>
      <c r="E279">
        <v>3740</v>
      </c>
      <c r="F279">
        <v>5049</v>
      </c>
      <c r="G279">
        <v>5</v>
      </c>
      <c r="H279">
        <v>-1309</v>
      </c>
      <c r="I279" s="2">
        <f>sa_retail_sales[[#This Row],[Profit]] / sa_retail_sales[[#This Row],[Revenue]]</f>
        <v>-0.35</v>
      </c>
      <c r="J279">
        <f xml:space="preserve"> YEAR(sa_retail_sales[[#This Row],[Order Date]])</f>
        <v>2024</v>
      </c>
    </row>
    <row r="280" spans="1:10" x14ac:dyDescent="0.3">
      <c r="A280" s="1">
        <v>45464</v>
      </c>
      <c r="B280" t="s">
        <v>17</v>
      </c>
      <c r="C280" t="s">
        <v>16</v>
      </c>
      <c r="D280" t="s">
        <v>10</v>
      </c>
      <c r="E280">
        <v>7165</v>
      </c>
      <c r="F280">
        <v>6871</v>
      </c>
      <c r="G280">
        <v>0</v>
      </c>
      <c r="H280">
        <v>294</v>
      </c>
      <c r="I280" s="2">
        <f>sa_retail_sales[[#This Row],[Profit]] / sa_retail_sales[[#This Row],[Revenue]]</f>
        <v>4.1032798325191903E-2</v>
      </c>
      <c r="J280">
        <f xml:space="preserve"> YEAR(sa_retail_sales[[#This Row],[Order Date]])</f>
        <v>2024</v>
      </c>
    </row>
    <row r="281" spans="1:10" x14ac:dyDescent="0.3">
      <c r="A281" s="1">
        <v>44597</v>
      </c>
      <c r="B281" t="s">
        <v>17</v>
      </c>
      <c r="C281" t="s">
        <v>16</v>
      </c>
      <c r="D281" t="s">
        <v>12</v>
      </c>
      <c r="E281">
        <v>13421</v>
      </c>
      <c r="F281">
        <v>9673</v>
      </c>
      <c r="G281">
        <v>5</v>
      </c>
      <c r="H281">
        <v>3748</v>
      </c>
      <c r="I281" s="2">
        <f>sa_retail_sales[[#This Row],[Profit]] / sa_retail_sales[[#This Row],[Revenue]]</f>
        <v>0.27926384025035395</v>
      </c>
      <c r="J281">
        <f xml:space="preserve"> YEAR(sa_retail_sales[[#This Row],[Order Date]])</f>
        <v>2022</v>
      </c>
    </row>
    <row r="282" spans="1:10" x14ac:dyDescent="0.3">
      <c r="A282" s="1">
        <v>45246</v>
      </c>
      <c r="B282" t="s">
        <v>11</v>
      </c>
      <c r="C282" t="s">
        <v>14</v>
      </c>
      <c r="D282" t="s">
        <v>10</v>
      </c>
      <c r="E282">
        <v>2436</v>
      </c>
      <c r="F282">
        <v>5372</v>
      </c>
      <c r="G282">
        <v>20</v>
      </c>
      <c r="H282">
        <v>-2936</v>
      </c>
      <c r="I282" s="2">
        <f>sa_retail_sales[[#This Row],[Profit]] / sa_retail_sales[[#This Row],[Revenue]]</f>
        <v>-1.2052545155993433</v>
      </c>
      <c r="J282">
        <f xml:space="preserve"> YEAR(sa_retail_sales[[#This Row],[Order Date]])</f>
        <v>2023</v>
      </c>
    </row>
    <row r="283" spans="1:10" x14ac:dyDescent="0.3">
      <c r="A283" s="1">
        <v>44581</v>
      </c>
      <c r="B283" t="s">
        <v>17</v>
      </c>
      <c r="C283" t="s">
        <v>13</v>
      </c>
      <c r="D283" t="s">
        <v>19</v>
      </c>
      <c r="E283">
        <v>14468</v>
      </c>
      <c r="F283">
        <v>9931</v>
      </c>
      <c r="G283">
        <v>10</v>
      </c>
      <c r="H283">
        <v>4537</v>
      </c>
      <c r="I283" s="2">
        <f>sa_retail_sales[[#This Row],[Profit]] / sa_retail_sales[[#This Row],[Revenue]]</f>
        <v>0.31358860934476085</v>
      </c>
      <c r="J283">
        <f xml:space="preserve"> YEAR(sa_retail_sales[[#This Row],[Order Date]])</f>
        <v>2022</v>
      </c>
    </row>
    <row r="284" spans="1:10" x14ac:dyDescent="0.3">
      <c r="A284" s="1">
        <v>44882</v>
      </c>
      <c r="B284" t="s">
        <v>8</v>
      </c>
      <c r="C284" t="s">
        <v>16</v>
      </c>
      <c r="D284" t="s">
        <v>15</v>
      </c>
      <c r="E284">
        <v>9654</v>
      </c>
      <c r="F284">
        <v>11545</v>
      </c>
      <c r="G284">
        <v>5</v>
      </c>
      <c r="H284">
        <v>-1891</v>
      </c>
      <c r="I284" s="2">
        <f>sa_retail_sales[[#This Row],[Profit]] / sa_retail_sales[[#This Row],[Revenue]]</f>
        <v>-0.19587735653615082</v>
      </c>
      <c r="J284">
        <f xml:space="preserve"> YEAR(sa_retail_sales[[#This Row],[Order Date]])</f>
        <v>2022</v>
      </c>
    </row>
    <row r="285" spans="1:10" x14ac:dyDescent="0.3">
      <c r="A285" s="1">
        <v>45073</v>
      </c>
      <c r="B285" t="s">
        <v>8</v>
      </c>
      <c r="C285" t="s">
        <v>9</v>
      </c>
      <c r="D285" t="s">
        <v>15</v>
      </c>
      <c r="E285">
        <v>11697</v>
      </c>
      <c r="F285">
        <v>5763</v>
      </c>
      <c r="G285">
        <v>5</v>
      </c>
      <c r="H285">
        <v>5934</v>
      </c>
      <c r="I285" s="2">
        <f>sa_retail_sales[[#This Row],[Profit]] / sa_retail_sales[[#This Row],[Revenue]]</f>
        <v>0.50730956655552706</v>
      </c>
      <c r="J285">
        <f xml:space="preserve"> YEAR(sa_retail_sales[[#This Row],[Order Date]])</f>
        <v>2023</v>
      </c>
    </row>
    <row r="286" spans="1:10" x14ac:dyDescent="0.3">
      <c r="A286" s="1">
        <v>44961</v>
      </c>
      <c r="B286" t="s">
        <v>11</v>
      </c>
      <c r="C286" t="s">
        <v>16</v>
      </c>
      <c r="D286" t="s">
        <v>10</v>
      </c>
      <c r="E286">
        <v>12498</v>
      </c>
      <c r="F286">
        <v>11825</v>
      </c>
      <c r="G286">
        <v>20</v>
      </c>
      <c r="H286">
        <v>673</v>
      </c>
      <c r="I286" s="2">
        <f>sa_retail_sales[[#This Row],[Profit]] / sa_retail_sales[[#This Row],[Revenue]]</f>
        <v>5.3848615778524567E-2</v>
      </c>
      <c r="J286">
        <f xml:space="preserve"> YEAR(sa_retail_sales[[#This Row],[Order Date]])</f>
        <v>2023</v>
      </c>
    </row>
    <row r="287" spans="1:10" x14ac:dyDescent="0.3">
      <c r="A287" s="1">
        <v>45215</v>
      </c>
      <c r="B287" t="s">
        <v>18</v>
      </c>
      <c r="C287" t="s">
        <v>9</v>
      </c>
      <c r="D287" t="s">
        <v>19</v>
      </c>
      <c r="E287">
        <v>1382</v>
      </c>
      <c r="F287">
        <v>7750</v>
      </c>
      <c r="G287">
        <v>0</v>
      </c>
      <c r="H287">
        <v>-6368</v>
      </c>
      <c r="I287" s="2">
        <f>sa_retail_sales[[#This Row],[Profit]] / sa_retail_sales[[#This Row],[Revenue]]</f>
        <v>-4.6078147612156295</v>
      </c>
      <c r="J287">
        <f xml:space="preserve"> YEAR(sa_retail_sales[[#This Row],[Order Date]])</f>
        <v>2023</v>
      </c>
    </row>
    <row r="288" spans="1:10" x14ac:dyDescent="0.3">
      <c r="A288" s="1">
        <v>45533</v>
      </c>
      <c r="B288" t="s">
        <v>18</v>
      </c>
      <c r="C288" t="s">
        <v>14</v>
      </c>
      <c r="D288" t="s">
        <v>15</v>
      </c>
      <c r="E288">
        <v>4340</v>
      </c>
      <c r="F288">
        <v>11389</v>
      </c>
      <c r="G288">
        <v>5</v>
      </c>
      <c r="H288">
        <v>-7049</v>
      </c>
      <c r="I288" s="2">
        <f>sa_retail_sales[[#This Row],[Profit]] / sa_retail_sales[[#This Row],[Revenue]]</f>
        <v>-1.6241935483870968</v>
      </c>
      <c r="J288">
        <f xml:space="preserve"> YEAR(sa_retail_sales[[#This Row],[Order Date]])</f>
        <v>2024</v>
      </c>
    </row>
    <row r="289" spans="1:10" x14ac:dyDescent="0.3">
      <c r="A289" s="1">
        <v>45032</v>
      </c>
      <c r="B289" t="s">
        <v>17</v>
      </c>
      <c r="C289" t="s">
        <v>16</v>
      </c>
      <c r="D289" t="s">
        <v>10</v>
      </c>
      <c r="E289">
        <v>7423</v>
      </c>
      <c r="F289">
        <v>11395</v>
      </c>
      <c r="G289">
        <v>20</v>
      </c>
      <c r="H289">
        <v>-3972</v>
      </c>
      <c r="I289" s="2">
        <f>sa_retail_sales[[#This Row],[Profit]] / sa_retail_sales[[#This Row],[Revenue]]</f>
        <v>-0.53509362791324266</v>
      </c>
      <c r="J289">
        <f xml:space="preserve"> YEAR(sa_retail_sales[[#This Row],[Order Date]])</f>
        <v>2023</v>
      </c>
    </row>
    <row r="290" spans="1:10" x14ac:dyDescent="0.3">
      <c r="A290" s="1">
        <v>45395</v>
      </c>
      <c r="B290" t="s">
        <v>8</v>
      </c>
      <c r="C290" t="s">
        <v>13</v>
      </c>
      <c r="D290" t="s">
        <v>10</v>
      </c>
      <c r="E290">
        <v>9562</v>
      </c>
      <c r="F290">
        <v>8720</v>
      </c>
      <c r="G290">
        <v>0</v>
      </c>
      <c r="H290">
        <v>842</v>
      </c>
      <c r="I290" s="2">
        <f>sa_retail_sales[[#This Row],[Profit]] / sa_retail_sales[[#This Row],[Revenue]]</f>
        <v>8.8056891863626863E-2</v>
      </c>
      <c r="J290">
        <f xml:space="preserve"> YEAR(sa_retail_sales[[#This Row],[Order Date]])</f>
        <v>2024</v>
      </c>
    </row>
    <row r="291" spans="1:10" x14ac:dyDescent="0.3">
      <c r="A291" s="1">
        <v>45288</v>
      </c>
      <c r="B291" t="s">
        <v>18</v>
      </c>
      <c r="C291" t="s">
        <v>16</v>
      </c>
      <c r="D291" t="s">
        <v>19</v>
      </c>
      <c r="E291">
        <v>5111</v>
      </c>
      <c r="F291">
        <v>4259</v>
      </c>
      <c r="G291">
        <v>0</v>
      </c>
      <c r="H291">
        <v>852</v>
      </c>
      <c r="I291" s="2">
        <f>sa_retail_sales[[#This Row],[Profit]] / sa_retail_sales[[#This Row],[Revenue]]</f>
        <v>0.16669927607121893</v>
      </c>
      <c r="J291">
        <f xml:space="preserve"> YEAR(sa_retail_sales[[#This Row],[Order Date]])</f>
        <v>2023</v>
      </c>
    </row>
    <row r="292" spans="1:10" x14ac:dyDescent="0.3">
      <c r="A292" s="1">
        <v>45415</v>
      </c>
      <c r="B292" t="s">
        <v>11</v>
      </c>
      <c r="C292" t="s">
        <v>16</v>
      </c>
      <c r="D292" t="s">
        <v>12</v>
      </c>
      <c r="E292">
        <v>11677</v>
      </c>
      <c r="F292">
        <v>10385</v>
      </c>
      <c r="G292">
        <v>10</v>
      </c>
      <c r="H292">
        <v>1292</v>
      </c>
      <c r="I292" s="2">
        <f>sa_retail_sales[[#This Row],[Profit]] / sa_retail_sales[[#This Row],[Revenue]]</f>
        <v>0.11064485741200651</v>
      </c>
      <c r="J292">
        <f xml:space="preserve"> YEAR(sa_retail_sales[[#This Row],[Order Date]])</f>
        <v>2024</v>
      </c>
    </row>
    <row r="293" spans="1:10" x14ac:dyDescent="0.3">
      <c r="A293" s="1">
        <v>44612</v>
      </c>
      <c r="B293" t="s">
        <v>11</v>
      </c>
      <c r="C293" t="s">
        <v>16</v>
      </c>
      <c r="D293" t="s">
        <v>10</v>
      </c>
      <c r="E293">
        <v>14208</v>
      </c>
      <c r="F293">
        <v>1613</v>
      </c>
      <c r="G293">
        <v>20</v>
      </c>
      <c r="H293">
        <v>12595</v>
      </c>
      <c r="I293" s="2">
        <f>sa_retail_sales[[#This Row],[Profit]] / sa_retail_sales[[#This Row],[Revenue]]</f>
        <v>0.88647240990990994</v>
      </c>
      <c r="J293">
        <f xml:space="preserve"> YEAR(sa_retail_sales[[#This Row],[Order Date]])</f>
        <v>2022</v>
      </c>
    </row>
    <row r="294" spans="1:10" x14ac:dyDescent="0.3">
      <c r="A294" s="1">
        <v>45136</v>
      </c>
      <c r="B294" t="s">
        <v>8</v>
      </c>
      <c r="C294" t="s">
        <v>14</v>
      </c>
      <c r="D294" t="s">
        <v>12</v>
      </c>
      <c r="E294">
        <v>9557</v>
      </c>
      <c r="F294">
        <v>8147</v>
      </c>
      <c r="G294">
        <v>0</v>
      </c>
      <c r="H294">
        <v>1410</v>
      </c>
      <c r="I294" s="2">
        <f>sa_retail_sales[[#This Row],[Profit]] / sa_retail_sales[[#This Row],[Revenue]]</f>
        <v>0.1475358376059433</v>
      </c>
      <c r="J294">
        <f xml:space="preserve"> YEAR(sa_retail_sales[[#This Row],[Order Date]])</f>
        <v>2023</v>
      </c>
    </row>
    <row r="295" spans="1:10" x14ac:dyDescent="0.3">
      <c r="A295" s="1">
        <v>44711</v>
      </c>
      <c r="B295" t="s">
        <v>11</v>
      </c>
      <c r="C295" t="s">
        <v>13</v>
      </c>
      <c r="D295" t="s">
        <v>12</v>
      </c>
      <c r="E295">
        <v>14941</v>
      </c>
      <c r="F295">
        <v>1370</v>
      </c>
      <c r="G295">
        <v>10</v>
      </c>
      <c r="H295">
        <v>13571</v>
      </c>
      <c r="I295" s="2">
        <f>sa_retail_sales[[#This Row],[Profit]] / sa_retail_sales[[#This Row],[Revenue]]</f>
        <v>0.90830600361421587</v>
      </c>
      <c r="J295">
        <f xml:space="preserve"> YEAR(sa_retail_sales[[#This Row],[Order Date]])</f>
        <v>2022</v>
      </c>
    </row>
    <row r="296" spans="1:10" x14ac:dyDescent="0.3">
      <c r="A296" s="1">
        <v>44875</v>
      </c>
      <c r="B296" t="s">
        <v>11</v>
      </c>
      <c r="C296" t="s">
        <v>16</v>
      </c>
      <c r="D296" t="s">
        <v>15</v>
      </c>
      <c r="E296">
        <v>5704</v>
      </c>
      <c r="F296">
        <v>9466</v>
      </c>
      <c r="G296">
        <v>15</v>
      </c>
      <c r="H296">
        <v>-3762</v>
      </c>
      <c r="I296" s="2">
        <f>sa_retail_sales[[#This Row],[Profit]] / sa_retail_sales[[#This Row],[Revenue]]</f>
        <v>-0.65953716690042075</v>
      </c>
      <c r="J296">
        <f xml:space="preserve"> YEAR(sa_retail_sales[[#This Row],[Order Date]])</f>
        <v>2022</v>
      </c>
    </row>
    <row r="297" spans="1:10" x14ac:dyDescent="0.3">
      <c r="A297" s="1">
        <v>45131</v>
      </c>
      <c r="B297" t="s">
        <v>8</v>
      </c>
      <c r="C297" t="s">
        <v>13</v>
      </c>
      <c r="D297" t="s">
        <v>12</v>
      </c>
      <c r="E297">
        <v>13001</v>
      </c>
      <c r="F297">
        <v>10230</v>
      </c>
      <c r="G297">
        <v>20</v>
      </c>
      <c r="H297">
        <v>2771</v>
      </c>
      <c r="I297" s="2">
        <f>sa_retail_sales[[#This Row],[Profit]] / sa_retail_sales[[#This Row],[Revenue]]</f>
        <v>0.21313745096531037</v>
      </c>
      <c r="J297">
        <f xml:space="preserve"> YEAR(sa_retail_sales[[#This Row],[Order Date]])</f>
        <v>2023</v>
      </c>
    </row>
    <row r="298" spans="1:10" x14ac:dyDescent="0.3">
      <c r="A298" s="1">
        <v>44866</v>
      </c>
      <c r="B298" t="s">
        <v>17</v>
      </c>
      <c r="C298" t="s">
        <v>14</v>
      </c>
      <c r="D298" t="s">
        <v>19</v>
      </c>
      <c r="E298">
        <v>7788</v>
      </c>
      <c r="F298">
        <v>3585</v>
      </c>
      <c r="G298">
        <v>15</v>
      </c>
      <c r="H298">
        <v>4203</v>
      </c>
      <c r="I298" s="2">
        <f>sa_retail_sales[[#This Row],[Profit]] / sa_retail_sales[[#This Row],[Revenue]]</f>
        <v>0.53967642526964565</v>
      </c>
      <c r="J298">
        <f xml:space="preserve"> YEAR(sa_retail_sales[[#This Row],[Order Date]])</f>
        <v>2022</v>
      </c>
    </row>
    <row r="299" spans="1:10" x14ac:dyDescent="0.3">
      <c r="A299" s="1">
        <v>45243</v>
      </c>
      <c r="B299" t="s">
        <v>17</v>
      </c>
      <c r="C299" t="s">
        <v>9</v>
      </c>
      <c r="D299" t="s">
        <v>15</v>
      </c>
      <c r="E299">
        <v>3703</v>
      </c>
      <c r="F299">
        <v>9249</v>
      </c>
      <c r="G299">
        <v>0</v>
      </c>
      <c r="H299">
        <v>-5546</v>
      </c>
      <c r="I299" s="2">
        <f>sa_retail_sales[[#This Row],[Profit]] / sa_retail_sales[[#This Row],[Revenue]]</f>
        <v>-1.4977045638671347</v>
      </c>
      <c r="J299">
        <f xml:space="preserve"> YEAR(sa_retail_sales[[#This Row],[Order Date]])</f>
        <v>2023</v>
      </c>
    </row>
    <row r="300" spans="1:10" x14ac:dyDescent="0.3">
      <c r="A300" s="1">
        <v>45399</v>
      </c>
      <c r="B300" t="s">
        <v>11</v>
      </c>
      <c r="C300" t="s">
        <v>16</v>
      </c>
      <c r="D300" t="s">
        <v>15</v>
      </c>
      <c r="E300">
        <v>11589</v>
      </c>
      <c r="F300">
        <v>3395</v>
      </c>
      <c r="G300">
        <v>20</v>
      </c>
      <c r="H300">
        <v>8194</v>
      </c>
      <c r="I300" s="2">
        <f>sa_retail_sales[[#This Row],[Profit]] / sa_retail_sales[[#This Row],[Revenue]]</f>
        <v>0.7070497885926309</v>
      </c>
      <c r="J300">
        <f xml:space="preserve"> YEAR(sa_retail_sales[[#This Row],[Order Date]])</f>
        <v>2024</v>
      </c>
    </row>
    <row r="301" spans="1:10" x14ac:dyDescent="0.3">
      <c r="A301" s="1">
        <v>45639</v>
      </c>
      <c r="B301" t="s">
        <v>17</v>
      </c>
      <c r="C301" t="s">
        <v>13</v>
      </c>
      <c r="D301" t="s">
        <v>15</v>
      </c>
      <c r="E301">
        <v>2744</v>
      </c>
      <c r="F301">
        <v>620</v>
      </c>
      <c r="G301">
        <v>10</v>
      </c>
      <c r="H301">
        <v>2124</v>
      </c>
      <c r="I301" s="2">
        <f>sa_retail_sales[[#This Row],[Profit]] / sa_retail_sales[[#This Row],[Revenue]]</f>
        <v>0.77405247813411082</v>
      </c>
      <c r="J301">
        <f xml:space="preserve"> YEAR(sa_retail_sales[[#This Row],[Order Date]])</f>
        <v>2024</v>
      </c>
    </row>
    <row r="302" spans="1:10" x14ac:dyDescent="0.3">
      <c r="A302" s="1">
        <v>45564</v>
      </c>
      <c r="B302" t="s">
        <v>17</v>
      </c>
      <c r="C302" t="s">
        <v>13</v>
      </c>
      <c r="D302" t="s">
        <v>10</v>
      </c>
      <c r="E302">
        <v>518</v>
      </c>
      <c r="F302">
        <v>2621</v>
      </c>
      <c r="G302">
        <v>0</v>
      </c>
      <c r="H302">
        <v>-2103</v>
      </c>
      <c r="I302" s="2">
        <f>sa_retail_sales[[#This Row],[Profit]] / sa_retail_sales[[#This Row],[Revenue]]</f>
        <v>-4.0598455598455603</v>
      </c>
      <c r="J302">
        <f xml:space="preserve"> YEAR(sa_retail_sales[[#This Row],[Order Date]])</f>
        <v>2024</v>
      </c>
    </row>
    <row r="303" spans="1:10" x14ac:dyDescent="0.3">
      <c r="A303" s="1">
        <v>45005</v>
      </c>
      <c r="B303" t="s">
        <v>11</v>
      </c>
      <c r="C303" t="s">
        <v>14</v>
      </c>
      <c r="D303" t="s">
        <v>10</v>
      </c>
      <c r="E303">
        <v>1141</v>
      </c>
      <c r="F303">
        <v>855</v>
      </c>
      <c r="G303">
        <v>20</v>
      </c>
      <c r="H303">
        <v>286</v>
      </c>
      <c r="I303" s="2">
        <f>sa_retail_sales[[#This Row],[Profit]] / sa_retail_sales[[#This Row],[Revenue]]</f>
        <v>0.25065731814198072</v>
      </c>
      <c r="J303">
        <f xml:space="preserve"> YEAR(sa_retail_sales[[#This Row],[Order Date]])</f>
        <v>2023</v>
      </c>
    </row>
    <row r="304" spans="1:10" x14ac:dyDescent="0.3">
      <c r="A304" s="1">
        <v>45174</v>
      </c>
      <c r="B304" t="s">
        <v>17</v>
      </c>
      <c r="C304" t="s">
        <v>16</v>
      </c>
      <c r="D304" t="s">
        <v>12</v>
      </c>
      <c r="E304">
        <v>3583</v>
      </c>
      <c r="F304">
        <v>5239</v>
      </c>
      <c r="G304">
        <v>20</v>
      </c>
      <c r="H304">
        <v>-1656</v>
      </c>
      <c r="I304" s="2">
        <f>sa_retail_sales[[#This Row],[Profit]] / sa_retail_sales[[#This Row],[Revenue]]</f>
        <v>-0.46218252860731229</v>
      </c>
      <c r="J304">
        <f xml:space="preserve"> YEAR(sa_retail_sales[[#This Row],[Order Date]])</f>
        <v>2023</v>
      </c>
    </row>
    <row r="305" spans="1:10" x14ac:dyDescent="0.3">
      <c r="A305" s="1">
        <v>45554</v>
      </c>
      <c r="B305" t="s">
        <v>11</v>
      </c>
      <c r="C305" t="s">
        <v>9</v>
      </c>
      <c r="D305" t="s">
        <v>15</v>
      </c>
      <c r="E305">
        <v>5700</v>
      </c>
      <c r="F305">
        <v>5732</v>
      </c>
      <c r="G305">
        <v>15</v>
      </c>
      <c r="H305">
        <v>-32</v>
      </c>
      <c r="I305" s="2">
        <f>sa_retail_sales[[#This Row],[Profit]] / sa_retail_sales[[#This Row],[Revenue]]</f>
        <v>-5.6140350877192978E-3</v>
      </c>
      <c r="J305">
        <f xml:space="preserve"> YEAR(sa_retail_sales[[#This Row],[Order Date]])</f>
        <v>2024</v>
      </c>
    </row>
    <row r="306" spans="1:10" x14ac:dyDescent="0.3">
      <c r="A306" s="1">
        <v>44825</v>
      </c>
      <c r="B306" t="s">
        <v>18</v>
      </c>
      <c r="C306" t="s">
        <v>13</v>
      </c>
      <c r="D306" t="s">
        <v>15</v>
      </c>
      <c r="E306">
        <v>9021</v>
      </c>
      <c r="F306">
        <v>1686</v>
      </c>
      <c r="G306">
        <v>0</v>
      </c>
      <c r="H306">
        <v>7335</v>
      </c>
      <c r="I306" s="2">
        <f>sa_retail_sales[[#This Row],[Profit]] / sa_retail_sales[[#This Row],[Revenue]]</f>
        <v>0.81310276022613903</v>
      </c>
      <c r="J306">
        <f xml:space="preserve"> YEAR(sa_retail_sales[[#This Row],[Order Date]])</f>
        <v>2022</v>
      </c>
    </row>
    <row r="307" spans="1:10" x14ac:dyDescent="0.3">
      <c r="A307" s="1">
        <v>45638</v>
      </c>
      <c r="B307" t="s">
        <v>8</v>
      </c>
      <c r="C307" t="s">
        <v>16</v>
      </c>
      <c r="D307" t="s">
        <v>19</v>
      </c>
      <c r="E307">
        <v>1365</v>
      </c>
      <c r="F307">
        <v>5063</v>
      </c>
      <c r="G307">
        <v>10</v>
      </c>
      <c r="H307">
        <v>-3698</v>
      </c>
      <c r="I307" s="2">
        <f>sa_retail_sales[[#This Row],[Profit]] / sa_retail_sales[[#This Row],[Revenue]]</f>
        <v>-2.7091575091575093</v>
      </c>
      <c r="J307">
        <f xml:space="preserve"> YEAR(sa_retail_sales[[#This Row],[Order Date]])</f>
        <v>2024</v>
      </c>
    </row>
    <row r="308" spans="1:10" x14ac:dyDescent="0.3">
      <c r="A308" s="1">
        <v>45565</v>
      </c>
      <c r="B308" t="s">
        <v>8</v>
      </c>
      <c r="C308" t="s">
        <v>9</v>
      </c>
      <c r="D308" t="s">
        <v>12</v>
      </c>
      <c r="E308">
        <v>1273</v>
      </c>
      <c r="F308">
        <v>11539</v>
      </c>
      <c r="G308">
        <v>10</v>
      </c>
      <c r="H308">
        <v>-10266</v>
      </c>
      <c r="I308" s="2">
        <f>sa_retail_sales[[#This Row],[Profit]] / sa_retail_sales[[#This Row],[Revenue]]</f>
        <v>-8.0644147682639442</v>
      </c>
      <c r="J308">
        <f xml:space="preserve"> YEAR(sa_retail_sales[[#This Row],[Order Date]])</f>
        <v>2024</v>
      </c>
    </row>
    <row r="309" spans="1:10" x14ac:dyDescent="0.3">
      <c r="A309" s="1">
        <v>44566</v>
      </c>
      <c r="B309" t="s">
        <v>17</v>
      </c>
      <c r="C309" t="s">
        <v>13</v>
      </c>
      <c r="D309" t="s">
        <v>19</v>
      </c>
      <c r="E309">
        <v>13179</v>
      </c>
      <c r="F309">
        <v>10919</v>
      </c>
      <c r="G309">
        <v>0</v>
      </c>
      <c r="H309">
        <v>2260</v>
      </c>
      <c r="I309" s="2">
        <f>sa_retail_sales[[#This Row],[Profit]] / sa_retail_sales[[#This Row],[Revenue]]</f>
        <v>0.17148493815919266</v>
      </c>
      <c r="J309">
        <f xml:space="preserve"> YEAR(sa_retail_sales[[#This Row],[Order Date]])</f>
        <v>2022</v>
      </c>
    </row>
    <row r="310" spans="1:10" x14ac:dyDescent="0.3">
      <c r="A310" s="1">
        <v>45335</v>
      </c>
      <c r="B310" t="s">
        <v>17</v>
      </c>
      <c r="C310" t="s">
        <v>13</v>
      </c>
      <c r="D310" t="s">
        <v>12</v>
      </c>
      <c r="E310">
        <v>5232</v>
      </c>
      <c r="F310">
        <v>7154</v>
      </c>
      <c r="G310">
        <v>0</v>
      </c>
      <c r="H310">
        <v>-1922</v>
      </c>
      <c r="I310" s="2">
        <f>sa_retail_sales[[#This Row],[Profit]] / sa_retail_sales[[#This Row],[Revenue]]</f>
        <v>-0.36735474006116209</v>
      </c>
      <c r="J310">
        <f xml:space="preserve"> YEAR(sa_retail_sales[[#This Row],[Order Date]])</f>
        <v>2024</v>
      </c>
    </row>
    <row r="311" spans="1:10" x14ac:dyDescent="0.3">
      <c r="A311" s="1">
        <v>45438</v>
      </c>
      <c r="B311" t="s">
        <v>17</v>
      </c>
      <c r="C311" t="s">
        <v>9</v>
      </c>
      <c r="D311" t="s">
        <v>12</v>
      </c>
      <c r="E311">
        <v>11046</v>
      </c>
      <c r="F311">
        <v>10496</v>
      </c>
      <c r="G311">
        <v>5</v>
      </c>
      <c r="H311">
        <v>550</v>
      </c>
      <c r="I311" s="2">
        <f>sa_retail_sales[[#This Row],[Profit]] / sa_retail_sales[[#This Row],[Revenue]]</f>
        <v>4.9791779829802645E-2</v>
      </c>
      <c r="J311">
        <f xml:space="preserve"> YEAR(sa_retail_sales[[#This Row],[Order Date]])</f>
        <v>2024</v>
      </c>
    </row>
    <row r="312" spans="1:10" x14ac:dyDescent="0.3">
      <c r="A312" s="1">
        <v>45553</v>
      </c>
      <c r="B312" t="s">
        <v>8</v>
      </c>
      <c r="C312" t="s">
        <v>9</v>
      </c>
      <c r="D312" t="s">
        <v>10</v>
      </c>
      <c r="E312">
        <v>12030</v>
      </c>
      <c r="F312">
        <v>10422</v>
      </c>
      <c r="G312">
        <v>15</v>
      </c>
      <c r="H312">
        <v>1608</v>
      </c>
      <c r="I312" s="2">
        <f>sa_retail_sales[[#This Row],[Profit]] / sa_retail_sales[[#This Row],[Revenue]]</f>
        <v>0.13366583541147131</v>
      </c>
      <c r="J312">
        <f xml:space="preserve"> YEAR(sa_retail_sales[[#This Row],[Order Date]])</f>
        <v>2024</v>
      </c>
    </row>
    <row r="313" spans="1:10" x14ac:dyDescent="0.3">
      <c r="A313" s="1">
        <v>45445</v>
      </c>
      <c r="B313" t="s">
        <v>18</v>
      </c>
      <c r="C313" t="s">
        <v>14</v>
      </c>
      <c r="D313" t="s">
        <v>10</v>
      </c>
      <c r="E313">
        <v>4018</v>
      </c>
      <c r="F313">
        <v>7937</v>
      </c>
      <c r="G313">
        <v>0</v>
      </c>
      <c r="H313">
        <v>-3919</v>
      </c>
      <c r="I313" s="2">
        <f>sa_retail_sales[[#This Row],[Profit]] / sa_retail_sales[[#This Row],[Revenue]]</f>
        <v>-0.97536087605774013</v>
      </c>
      <c r="J313">
        <f xml:space="preserve"> YEAR(sa_retail_sales[[#This Row],[Order Date]])</f>
        <v>2024</v>
      </c>
    </row>
    <row r="314" spans="1:10" x14ac:dyDescent="0.3">
      <c r="A314" s="1">
        <v>44608</v>
      </c>
      <c r="B314" t="s">
        <v>18</v>
      </c>
      <c r="C314" t="s">
        <v>16</v>
      </c>
      <c r="D314" t="s">
        <v>19</v>
      </c>
      <c r="E314">
        <v>11634</v>
      </c>
      <c r="F314">
        <v>5141</v>
      </c>
      <c r="G314">
        <v>0</v>
      </c>
      <c r="H314">
        <v>6493</v>
      </c>
      <c r="I314" s="2">
        <f>sa_retail_sales[[#This Row],[Profit]] / sa_retail_sales[[#This Row],[Revenue]]</f>
        <v>0.55810555269039019</v>
      </c>
      <c r="J314">
        <f xml:space="preserve"> YEAR(sa_retail_sales[[#This Row],[Order Date]])</f>
        <v>2022</v>
      </c>
    </row>
    <row r="315" spans="1:10" x14ac:dyDescent="0.3">
      <c r="A315" s="1">
        <v>45428</v>
      </c>
      <c r="B315" t="s">
        <v>8</v>
      </c>
      <c r="C315" t="s">
        <v>16</v>
      </c>
      <c r="D315" t="s">
        <v>12</v>
      </c>
      <c r="E315">
        <v>7295</v>
      </c>
      <c r="F315">
        <v>10655</v>
      </c>
      <c r="G315">
        <v>5</v>
      </c>
      <c r="H315">
        <v>-3360</v>
      </c>
      <c r="I315" s="2">
        <f>sa_retail_sales[[#This Row],[Profit]] / sa_retail_sales[[#This Row],[Revenue]]</f>
        <v>-0.46058944482522274</v>
      </c>
      <c r="J315">
        <f xml:space="preserve"> YEAR(sa_retail_sales[[#This Row],[Order Date]])</f>
        <v>2024</v>
      </c>
    </row>
    <row r="316" spans="1:10" x14ac:dyDescent="0.3">
      <c r="A316" s="1">
        <v>45384</v>
      </c>
      <c r="B316" t="s">
        <v>18</v>
      </c>
      <c r="C316" t="s">
        <v>14</v>
      </c>
      <c r="D316" t="s">
        <v>15</v>
      </c>
      <c r="E316">
        <v>7484</v>
      </c>
      <c r="F316">
        <v>4167</v>
      </c>
      <c r="G316">
        <v>5</v>
      </c>
      <c r="H316">
        <v>3317</v>
      </c>
      <c r="I316" s="2">
        <f>sa_retail_sales[[#This Row],[Profit]] / sa_retail_sales[[#This Row],[Revenue]]</f>
        <v>0.44321218599679318</v>
      </c>
      <c r="J316">
        <f xml:space="preserve"> YEAR(sa_retail_sales[[#This Row],[Order Date]])</f>
        <v>2024</v>
      </c>
    </row>
    <row r="317" spans="1:10" x14ac:dyDescent="0.3">
      <c r="A317" s="1">
        <v>45497</v>
      </c>
      <c r="B317" t="s">
        <v>8</v>
      </c>
      <c r="C317" t="s">
        <v>13</v>
      </c>
      <c r="D317" t="s">
        <v>10</v>
      </c>
      <c r="E317">
        <v>13813</v>
      </c>
      <c r="F317">
        <v>10918</v>
      </c>
      <c r="G317">
        <v>20</v>
      </c>
      <c r="H317">
        <v>2895</v>
      </c>
      <c r="I317" s="2">
        <f>sa_retail_sales[[#This Row],[Profit]] / sa_retail_sales[[#This Row],[Revenue]]</f>
        <v>0.20958517338738869</v>
      </c>
      <c r="J317">
        <f xml:space="preserve"> YEAR(sa_retail_sales[[#This Row],[Order Date]])</f>
        <v>2024</v>
      </c>
    </row>
    <row r="318" spans="1:10" x14ac:dyDescent="0.3">
      <c r="A318" s="1">
        <v>45217</v>
      </c>
      <c r="B318" t="s">
        <v>18</v>
      </c>
      <c r="C318" t="s">
        <v>9</v>
      </c>
      <c r="D318" t="s">
        <v>15</v>
      </c>
      <c r="E318">
        <v>3067</v>
      </c>
      <c r="F318">
        <v>4093</v>
      </c>
      <c r="G318">
        <v>10</v>
      </c>
      <c r="H318">
        <v>-1026</v>
      </c>
      <c r="I318" s="2">
        <f>sa_retail_sales[[#This Row],[Profit]] / sa_retail_sales[[#This Row],[Revenue]]</f>
        <v>-0.33452885555917833</v>
      </c>
      <c r="J318">
        <f xml:space="preserve"> YEAR(sa_retail_sales[[#This Row],[Order Date]])</f>
        <v>2023</v>
      </c>
    </row>
    <row r="319" spans="1:10" x14ac:dyDescent="0.3">
      <c r="A319" s="1">
        <v>44830</v>
      </c>
      <c r="B319" t="s">
        <v>11</v>
      </c>
      <c r="C319" t="s">
        <v>9</v>
      </c>
      <c r="D319" t="s">
        <v>19</v>
      </c>
      <c r="E319">
        <v>2174</v>
      </c>
      <c r="F319">
        <v>7673</v>
      </c>
      <c r="G319">
        <v>15</v>
      </c>
      <c r="H319">
        <v>-5499</v>
      </c>
      <c r="I319" s="2">
        <f>sa_retail_sales[[#This Row],[Profit]] / sa_retail_sales[[#This Row],[Revenue]]</f>
        <v>-2.5294388224471023</v>
      </c>
      <c r="J319">
        <f xml:space="preserve"> YEAR(sa_retail_sales[[#This Row],[Order Date]])</f>
        <v>2022</v>
      </c>
    </row>
    <row r="320" spans="1:10" x14ac:dyDescent="0.3">
      <c r="A320" s="1">
        <v>44931</v>
      </c>
      <c r="B320" t="s">
        <v>11</v>
      </c>
      <c r="C320" t="s">
        <v>9</v>
      </c>
      <c r="D320" t="s">
        <v>10</v>
      </c>
      <c r="E320">
        <v>11375</v>
      </c>
      <c r="F320">
        <v>2813</v>
      </c>
      <c r="G320">
        <v>20</v>
      </c>
      <c r="H320">
        <v>8562</v>
      </c>
      <c r="I320" s="2">
        <f>sa_retail_sales[[#This Row],[Profit]] / sa_retail_sales[[#This Row],[Revenue]]</f>
        <v>0.75270329670329672</v>
      </c>
      <c r="J320">
        <f xml:space="preserve"> YEAR(sa_retail_sales[[#This Row],[Order Date]])</f>
        <v>2023</v>
      </c>
    </row>
    <row r="321" spans="1:10" x14ac:dyDescent="0.3">
      <c r="A321" s="1">
        <v>45197</v>
      </c>
      <c r="B321" t="s">
        <v>8</v>
      </c>
      <c r="C321" t="s">
        <v>13</v>
      </c>
      <c r="D321" t="s">
        <v>10</v>
      </c>
      <c r="E321">
        <v>12072</v>
      </c>
      <c r="F321">
        <v>4103</v>
      </c>
      <c r="G321">
        <v>0</v>
      </c>
      <c r="H321">
        <v>7969</v>
      </c>
      <c r="I321" s="2">
        <f>sa_retail_sales[[#This Row],[Profit]] / sa_retail_sales[[#This Row],[Revenue]]</f>
        <v>0.66012259774685222</v>
      </c>
      <c r="J321">
        <f xml:space="preserve"> YEAR(sa_retail_sales[[#This Row],[Order Date]])</f>
        <v>2023</v>
      </c>
    </row>
    <row r="322" spans="1:10" x14ac:dyDescent="0.3">
      <c r="A322" s="1">
        <v>45218</v>
      </c>
      <c r="B322" t="s">
        <v>18</v>
      </c>
      <c r="C322" t="s">
        <v>9</v>
      </c>
      <c r="D322" t="s">
        <v>12</v>
      </c>
      <c r="E322">
        <v>1239</v>
      </c>
      <c r="F322">
        <v>2627</v>
      </c>
      <c r="G322">
        <v>5</v>
      </c>
      <c r="H322">
        <v>-1388</v>
      </c>
      <c r="I322" s="2">
        <f>sa_retail_sales[[#This Row],[Profit]] / sa_retail_sales[[#This Row],[Revenue]]</f>
        <v>-1.1202582728006456</v>
      </c>
      <c r="J322">
        <f xml:space="preserve"> YEAR(sa_retail_sales[[#This Row],[Order Date]])</f>
        <v>2023</v>
      </c>
    </row>
    <row r="323" spans="1:10" x14ac:dyDescent="0.3">
      <c r="A323" s="1">
        <v>44681</v>
      </c>
      <c r="B323" t="s">
        <v>17</v>
      </c>
      <c r="C323" t="s">
        <v>9</v>
      </c>
      <c r="D323" t="s">
        <v>19</v>
      </c>
      <c r="E323">
        <v>2045</v>
      </c>
      <c r="F323">
        <v>9109</v>
      </c>
      <c r="G323">
        <v>10</v>
      </c>
      <c r="H323">
        <v>-7064</v>
      </c>
      <c r="I323" s="2">
        <f>sa_retail_sales[[#This Row],[Profit]] / sa_retail_sales[[#This Row],[Revenue]]</f>
        <v>-3.454278728606357</v>
      </c>
      <c r="J323">
        <f xml:space="preserve"> YEAR(sa_retail_sales[[#This Row],[Order Date]])</f>
        <v>2022</v>
      </c>
    </row>
    <row r="324" spans="1:10" x14ac:dyDescent="0.3">
      <c r="A324" s="1">
        <v>45392</v>
      </c>
      <c r="B324" t="s">
        <v>18</v>
      </c>
      <c r="C324" t="s">
        <v>14</v>
      </c>
      <c r="D324" t="s">
        <v>12</v>
      </c>
      <c r="E324">
        <v>13256</v>
      </c>
      <c r="F324">
        <v>2465</v>
      </c>
      <c r="G324">
        <v>20</v>
      </c>
      <c r="H324">
        <v>10791</v>
      </c>
      <c r="I324" s="2">
        <f>sa_retail_sales[[#This Row],[Profit]] / sa_retail_sales[[#This Row],[Revenue]]</f>
        <v>0.81404646952323478</v>
      </c>
      <c r="J324">
        <f xml:space="preserve"> YEAR(sa_retail_sales[[#This Row],[Order Date]])</f>
        <v>2024</v>
      </c>
    </row>
    <row r="325" spans="1:10" x14ac:dyDescent="0.3">
      <c r="A325" s="1">
        <v>45643</v>
      </c>
      <c r="B325" t="s">
        <v>11</v>
      </c>
      <c r="C325" t="s">
        <v>13</v>
      </c>
      <c r="D325" t="s">
        <v>10</v>
      </c>
      <c r="E325">
        <v>10951</v>
      </c>
      <c r="F325">
        <v>3608</v>
      </c>
      <c r="G325">
        <v>10</v>
      </c>
      <c r="H325">
        <v>7343</v>
      </c>
      <c r="I325" s="2">
        <f>sa_retail_sales[[#This Row],[Profit]] / sa_retail_sales[[#This Row],[Revenue]]</f>
        <v>0.67053237147292488</v>
      </c>
      <c r="J325">
        <f xml:space="preserve"> YEAR(sa_retail_sales[[#This Row],[Order Date]])</f>
        <v>2024</v>
      </c>
    </row>
    <row r="326" spans="1:10" x14ac:dyDescent="0.3">
      <c r="A326" s="1">
        <v>45302</v>
      </c>
      <c r="B326" t="s">
        <v>11</v>
      </c>
      <c r="C326" t="s">
        <v>16</v>
      </c>
      <c r="D326" t="s">
        <v>19</v>
      </c>
      <c r="E326">
        <v>9827</v>
      </c>
      <c r="F326">
        <v>6752</v>
      </c>
      <c r="G326">
        <v>5</v>
      </c>
      <c r="H326">
        <v>3075</v>
      </c>
      <c r="I326" s="2">
        <f>sa_retail_sales[[#This Row],[Profit]] / sa_retail_sales[[#This Row],[Revenue]]</f>
        <v>0.31291340185204031</v>
      </c>
      <c r="J326">
        <f xml:space="preserve"> YEAR(sa_retail_sales[[#This Row],[Order Date]])</f>
        <v>2024</v>
      </c>
    </row>
    <row r="327" spans="1:10" x14ac:dyDescent="0.3">
      <c r="A327" s="1">
        <v>44678</v>
      </c>
      <c r="B327" t="s">
        <v>18</v>
      </c>
      <c r="C327" t="s">
        <v>14</v>
      </c>
      <c r="D327" t="s">
        <v>10</v>
      </c>
      <c r="E327">
        <v>5627</v>
      </c>
      <c r="F327">
        <v>8367</v>
      </c>
      <c r="G327">
        <v>20</v>
      </c>
      <c r="H327">
        <v>-2740</v>
      </c>
      <c r="I327" s="2">
        <f>sa_retail_sales[[#This Row],[Profit]] / sa_retail_sales[[#This Row],[Revenue]]</f>
        <v>-0.48693797760796159</v>
      </c>
      <c r="J327">
        <f xml:space="preserve"> YEAR(sa_retail_sales[[#This Row],[Order Date]])</f>
        <v>2022</v>
      </c>
    </row>
    <row r="328" spans="1:10" x14ac:dyDescent="0.3">
      <c r="A328" s="1">
        <v>45352</v>
      </c>
      <c r="B328" t="s">
        <v>18</v>
      </c>
      <c r="C328" t="s">
        <v>14</v>
      </c>
      <c r="D328" t="s">
        <v>19</v>
      </c>
      <c r="E328">
        <v>7447</v>
      </c>
      <c r="F328">
        <v>7942</v>
      </c>
      <c r="G328">
        <v>20</v>
      </c>
      <c r="H328">
        <v>-495</v>
      </c>
      <c r="I328" s="2">
        <f>sa_retail_sales[[#This Row],[Profit]] / sa_retail_sales[[#This Row],[Revenue]]</f>
        <v>-6.6469719350073855E-2</v>
      </c>
      <c r="J328">
        <f xml:space="preserve"> YEAR(sa_retail_sales[[#This Row],[Order Date]])</f>
        <v>2024</v>
      </c>
    </row>
    <row r="329" spans="1:10" x14ac:dyDescent="0.3">
      <c r="A329" s="1">
        <v>45574</v>
      </c>
      <c r="B329" t="s">
        <v>17</v>
      </c>
      <c r="C329" t="s">
        <v>16</v>
      </c>
      <c r="D329" t="s">
        <v>10</v>
      </c>
      <c r="E329">
        <v>7120</v>
      </c>
      <c r="F329">
        <v>6704</v>
      </c>
      <c r="G329">
        <v>10</v>
      </c>
      <c r="H329">
        <v>416</v>
      </c>
      <c r="I329" s="2">
        <f>sa_retail_sales[[#This Row],[Profit]] / sa_retail_sales[[#This Row],[Revenue]]</f>
        <v>5.8426966292134834E-2</v>
      </c>
      <c r="J329">
        <f xml:space="preserve"> YEAR(sa_retail_sales[[#This Row],[Order Date]])</f>
        <v>2024</v>
      </c>
    </row>
    <row r="330" spans="1:10" x14ac:dyDescent="0.3">
      <c r="A330" s="1">
        <v>45643</v>
      </c>
      <c r="B330" t="s">
        <v>17</v>
      </c>
      <c r="C330" t="s">
        <v>14</v>
      </c>
      <c r="D330" t="s">
        <v>15</v>
      </c>
      <c r="E330">
        <v>9565</v>
      </c>
      <c r="F330">
        <v>1292</v>
      </c>
      <c r="G330">
        <v>5</v>
      </c>
      <c r="H330">
        <v>8273</v>
      </c>
      <c r="I330" s="2">
        <f>sa_retail_sales[[#This Row],[Profit]] / sa_retail_sales[[#This Row],[Revenue]]</f>
        <v>0.86492420282279148</v>
      </c>
      <c r="J330">
        <f xml:space="preserve"> YEAR(sa_retail_sales[[#This Row],[Order Date]])</f>
        <v>2024</v>
      </c>
    </row>
    <row r="331" spans="1:10" x14ac:dyDescent="0.3">
      <c r="A331" s="1">
        <v>45195</v>
      </c>
      <c r="B331" t="s">
        <v>18</v>
      </c>
      <c r="C331" t="s">
        <v>13</v>
      </c>
      <c r="D331" t="s">
        <v>15</v>
      </c>
      <c r="E331">
        <v>5055</v>
      </c>
      <c r="F331">
        <v>5724</v>
      </c>
      <c r="G331">
        <v>0</v>
      </c>
      <c r="H331">
        <v>-669</v>
      </c>
      <c r="I331" s="2">
        <f>sa_retail_sales[[#This Row],[Profit]] / sa_retail_sales[[#This Row],[Revenue]]</f>
        <v>-0.13234421364985163</v>
      </c>
      <c r="J331">
        <f xml:space="preserve"> YEAR(sa_retail_sales[[#This Row],[Order Date]])</f>
        <v>2023</v>
      </c>
    </row>
    <row r="332" spans="1:10" x14ac:dyDescent="0.3">
      <c r="A332" s="1">
        <v>45074</v>
      </c>
      <c r="B332" t="s">
        <v>18</v>
      </c>
      <c r="C332" t="s">
        <v>9</v>
      </c>
      <c r="D332" t="s">
        <v>12</v>
      </c>
      <c r="E332">
        <v>10992</v>
      </c>
      <c r="F332">
        <v>9869</v>
      </c>
      <c r="G332">
        <v>20</v>
      </c>
      <c r="H332">
        <v>1123</v>
      </c>
      <c r="I332" s="2">
        <f>sa_retail_sales[[#This Row],[Profit]] / sa_retail_sales[[#This Row],[Revenue]]</f>
        <v>0.10216521106259098</v>
      </c>
      <c r="J332">
        <f xml:space="preserve"> YEAR(sa_retail_sales[[#This Row],[Order Date]])</f>
        <v>2023</v>
      </c>
    </row>
    <row r="333" spans="1:10" x14ac:dyDescent="0.3">
      <c r="A333" s="1">
        <v>45363</v>
      </c>
      <c r="B333" t="s">
        <v>18</v>
      </c>
      <c r="C333" t="s">
        <v>13</v>
      </c>
      <c r="D333" t="s">
        <v>15</v>
      </c>
      <c r="E333">
        <v>6145</v>
      </c>
      <c r="F333">
        <v>4681</v>
      </c>
      <c r="G333">
        <v>0</v>
      </c>
      <c r="H333">
        <v>1464</v>
      </c>
      <c r="I333" s="2">
        <f>sa_retail_sales[[#This Row],[Profit]] / sa_retail_sales[[#This Row],[Revenue]]</f>
        <v>0.23824247355573638</v>
      </c>
      <c r="J333">
        <f xml:space="preserve"> YEAR(sa_retail_sales[[#This Row],[Order Date]])</f>
        <v>2024</v>
      </c>
    </row>
    <row r="334" spans="1:10" x14ac:dyDescent="0.3">
      <c r="A334" s="1">
        <v>45121</v>
      </c>
      <c r="B334" t="s">
        <v>18</v>
      </c>
      <c r="C334" t="s">
        <v>16</v>
      </c>
      <c r="D334" t="s">
        <v>10</v>
      </c>
      <c r="E334">
        <v>9443</v>
      </c>
      <c r="F334">
        <v>3474</v>
      </c>
      <c r="G334">
        <v>5</v>
      </c>
      <c r="H334">
        <v>5969</v>
      </c>
      <c r="I334" s="2">
        <f>sa_retail_sales[[#This Row],[Profit]] / sa_retail_sales[[#This Row],[Revenue]]</f>
        <v>0.6321084401143704</v>
      </c>
      <c r="J334">
        <f xml:space="preserve"> YEAR(sa_retail_sales[[#This Row],[Order Date]])</f>
        <v>2023</v>
      </c>
    </row>
    <row r="335" spans="1:10" x14ac:dyDescent="0.3">
      <c r="A335" s="1">
        <v>45049</v>
      </c>
      <c r="B335" t="s">
        <v>8</v>
      </c>
      <c r="C335" t="s">
        <v>16</v>
      </c>
      <c r="D335" t="s">
        <v>10</v>
      </c>
      <c r="E335">
        <v>14249</v>
      </c>
      <c r="F335">
        <v>5082</v>
      </c>
      <c r="G335">
        <v>20</v>
      </c>
      <c r="H335">
        <v>9167</v>
      </c>
      <c r="I335" s="2">
        <f>sa_retail_sales[[#This Row],[Profit]] / sa_retail_sales[[#This Row],[Revenue]]</f>
        <v>0.64334339251877326</v>
      </c>
      <c r="J335">
        <f xml:space="preserve"> YEAR(sa_retail_sales[[#This Row],[Order Date]])</f>
        <v>2023</v>
      </c>
    </row>
    <row r="336" spans="1:10" x14ac:dyDescent="0.3">
      <c r="A336" s="1">
        <v>45458</v>
      </c>
      <c r="B336" t="s">
        <v>18</v>
      </c>
      <c r="C336" t="s">
        <v>14</v>
      </c>
      <c r="D336" t="s">
        <v>15</v>
      </c>
      <c r="E336">
        <v>14565</v>
      </c>
      <c r="F336">
        <v>9797</v>
      </c>
      <c r="G336">
        <v>20</v>
      </c>
      <c r="H336">
        <v>4768</v>
      </c>
      <c r="I336" s="2">
        <f>sa_retail_sales[[#This Row],[Profit]] / sa_retail_sales[[#This Row],[Revenue]]</f>
        <v>0.32736010985238584</v>
      </c>
      <c r="J336">
        <f xml:space="preserve"> YEAR(sa_retail_sales[[#This Row],[Order Date]])</f>
        <v>2024</v>
      </c>
    </row>
    <row r="337" spans="1:10" x14ac:dyDescent="0.3">
      <c r="A337" s="1">
        <v>45265</v>
      </c>
      <c r="B337" t="s">
        <v>17</v>
      </c>
      <c r="C337" t="s">
        <v>13</v>
      </c>
      <c r="D337" t="s">
        <v>12</v>
      </c>
      <c r="E337">
        <v>7624</v>
      </c>
      <c r="F337">
        <v>5860</v>
      </c>
      <c r="G337">
        <v>0</v>
      </c>
      <c r="H337">
        <v>1764</v>
      </c>
      <c r="I337" s="2">
        <f>sa_retail_sales[[#This Row],[Profit]] / sa_retail_sales[[#This Row],[Revenue]]</f>
        <v>0.23137460650577124</v>
      </c>
      <c r="J337">
        <f xml:space="preserve"> YEAR(sa_retail_sales[[#This Row],[Order Date]])</f>
        <v>2023</v>
      </c>
    </row>
    <row r="338" spans="1:10" x14ac:dyDescent="0.3">
      <c r="A338" s="1">
        <v>45142</v>
      </c>
      <c r="B338" t="s">
        <v>11</v>
      </c>
      <c r="C338" t="s">
        <v>13</v>
      </c>
      <c r="D338" t="s">
        <v>15</v>
      </c>
      <c r="E338">
        <v>9545</v>
      </c>
      <c r="F338">
        <v>7760</v>
      </c>
      <c r="G338">
        <v>15</v>
      </c>
      <c r="H338">
        <v>1785</v>
      </c>
      <c r="I338" s="2">
        <f>sa_retail_sales[[#This Row],[Profit]] / sa_retail_sales[[#This Row],[Revenue]]</f>
        <v>0.18700890518596125</v>
      </c>
      <c r="J338">
        <f xml:space="preserve"> YEAR(sa_retail_sales[[#This Row],[Order Date]])</f>
        <v>2023</v>
      </c>
    </row>
    <row r="339" spans="1:10" x14ac:dyDescent="0.3">
      <c r="A339" s="1">
        <v>45351</v>
      </c>
      <c r="B339" t="s">
        <v>8</v>
      </c>
      <c r="C339" t="s">
        <v>16</v>
      </c>
      <c r="D339" t="s">
        <v>19</v>
      </c>
      <c r="E339">
        <v>4232</v>
      </c>
      <c r="F339">
        <v>3378</v>
      </c>
      <c r="G339">
        <v>0</v>
      </c>
      <c r="H339">
        <v>854</v>
      </c>
      <c r="I339" s="2">
        <f>sa_retail_sales[[#This Row],[Profit]] / sa_retail_sales[[#This Row],[Revenue]]</f>
        <v>0.20179584120982988</v>
      </c>
      <c r="J339">
        <f xml:space="preserve"> YEAR(sa_retail_sales[[#This Row],[Order Date]])</f>
        <v>2024</v>
      </c>
    </row>
    <row r="340" spans="1:10" x14ac:dyDescent="0.3">
      <c r="A340" s="1">
        <v>45422</v>
      </c>
      <c r="B340" t="s">
        <v>18</v>
      </c>
      <c r="C340" t="s">
        <v>13</v>
      </c>
      <c r="D340" t="s">
        <v>19</v>
      </c>
      <c r="E340">
        <v>2783</v>
      </c>
      <c r="F340">
        <v>11178</v>
      </c>
      <c r="G340">
        <v>0</v>
      </c>
      <c r="H340">
        <v>-8395</v>
      </c>
      <c r="I340" s="2">
        <f>sa_retail_sales[[#This Row],[Profit]] / sa_retail_sales[[#This Row],[Revenue]]</f>
        <v>-3.0165289256198347</v>
      </c>
      <c r="J340">
        <f xml:space="preserve"> YEAR(sa_retail_sales[[#This Row],[Order Date]])</f>
        <v>2024</v>
      </c>
    </row>
    <row r="341" spans="1:10" x14ac:dyDescent="0.3">
      <c r="A341" s="1">
        <v>44808</v>
      </c>
      <c r="B341" t="s">
        <v>11</v>
      </c>
      <c r="C341" t="s">
        <v>16</v>
      </c>
      <c r="D341" t="s">
        <v>19</v>
      </c>
      <c r="E341">
        <v>10021</v>
      </c>
      <c r="F341">
        <v>3283</v>
      </c>
      <c r="G341">
        <v>15</v>
      </c>
      <c r="H341">
        <v>6738</v>
      </c>
      <c r="I341" s="2">
        <f>sa_retail_sales[[#This Row],[Profit]] / sa_retail_sales[[#This Row],[Revenue]]</f>
        <v>0.67238798523101484</v>
      </c>
      <c r="J341">
        <f xml:space="preserve"> YEAR(sa_retail_sales[[#This Row],[Order Date]])</f>
        <v>2022</v>
      </c>
    </row>
    <row r="342" spans="1:10" x14ac:dyDescent="0.3">
      <c r="A342" s="1">
        <v>44715</v>
      </c>
      <c r="B342" t="s">
        <v>8</v>
      </c>
      <c r="C342" t="s">
        <v>13</v>
      </c>
      <c r="D342" t="s">
        <v>15</v>
      </c>
      <c r="E342">
        <v>9169</v>
      </c>
      <c r="F342">
        <v>7559</v>
      </c>
      <c r="G342">
        <v>5</v>
      </c>
      <c r="H342">
        <v>1610</v>
      </c>
      <c r="I342" s="2">
        <f>sa_retail_sales[[#This Row],[Profit]] / sa_retail_sales[[#This Row],[Revenue]]</f>
        <v>0.17559166757552622</v>
      </c>
      <c r="J342">
        <f xml:space="preserve"> YEAR(sa_retail_sales[[#This Row],[Order Date]])</f>
        <v>2022</v>
      </c>
    </row>
    <row r="343" spans="1:10" x14ac:dyDescent="0.3">
      <c r="A343" s="1">
        <v>45558</v>
      </c>
      <c r="B343" t="s">
        <v>11</v>
      </c>
      <c r="C343" t="s">
        <v>13</v>
      </c>
      <c r="D343" t="s">
        <v>15</v>
      </c>
      <c r="E343">
        <v>11418</v>
      </c>
      <c r="F343">
        <v>6354</v>
      </c>
      <c r="G343">
        <v>5</v>
      </c>
      <c r="H343">
        <v>5064</v>
      </c>
      <c r="I343" s="2">
        <f>sa_retail_sales[[#This Row],[Profit]] / sa_retail_sales[[#This Row],[Revenue]]</f>
        <v>0.44351024697845509</v>
      </c>
      <c r="J343">
        <f xml:space="preserve"> YEAR(sa_retail_sales[[#This Row],[Order Date]])</f>
        <v>2024</v>
      </c>
    </row>
    <row r="344" spans="1:10" x14ac:dyDescent="0.3">
      <c r="A344" s="1">
        <v>45258</v>
      </c>
      <c r="B344" t="s">
        <v>18</v>
      </c>
      <c r="C344" t="s">
        <v>13</v>
      </c>
      <c r="D344" t="s">
        <v>15</v>
      </c>
      <c r="E344">
        <v>11783</v>
      </c>
      <c r="F344">
        <v>2823</v>
      </c>
      <c r="G344">
        <v>20</v>
      </c>
      <c r="H344">
        <v>8960</v>
      </c>
      <c r="I344" s="2">
        <f>sa_retail_sales[[#This Row],[Profit]] / sa_retail_sales[[#This Row],[Revenue]]</f>
        <v>0.76041755070864803</v>
      </c>
      <c r="J344">
        <f xml:space="preserve"> YEAR(sa_retail_sales[[#This Row],[Order Date]])</f>
        <v>2023</v>
      </c>
    </row>
    <row r="345" spans="1:10" x14ac:dyDescent="0.3">
      <c r="A345" s="1">
        <v>45654</v>
      </c>
      <c r="B345" t="s">
        <v>18</v>
      </c>
      <c r="C345" t="s">
        <v>16</v>
      </c>
      <c r="D345" t="s">
        <v>19</v>
      </c>
      <c r="E345">
        <v>7498</v>
      </c>
      <c r="F345">
        <v>9977</v>
      </c>
      <c r="G345">
        <v>10</v>
      </c>
      <c r="H345">
        <v>-2479</v>
      </c>
      <c r="I345" s="2">
        <f>sa_retail_sales[[#This Row],[Profit]] / sa_retail_sales[[#This Row],[Revenue]]</f>
        <v>-0.33062149906641769</v>
      </c>
      <c r="J345">
        <f xml:space="preserve"> YEAR(sa_retail_sales[[#This Row],[Order Date]])</f>
        <v>2024</v>
      </c>
    </row>
    <row r="346" spans="1:10" x14ac:dyDescent="0.3">
      <c r="A346" s="1">
        <v>45632</v>
      </c>
      <c r="B346" t="s">
        <v>17</v>
      </c>
      <c r="C346" t="s">
        <v>14</v>
      </c>
      <c r="D346" t="s">
        <v>12</v>
      </c>
      <c r="E346">
        <v>12922</v>
      </c>
      <c r="F346">
        <v>10592</v>
      </c>
      <c r="G346">
        <v>10</v>
      </c>
      <c r="H346">
        <v>2330</v>
      </c>
      <c r="I346" s="2">
        <f>sa_retail_sales[[#This Row],[Profit]] / sa_retail_sales[[#This Row],[Revenue]]</f>
        <v>0.18031264510137748</v>
      </c>
      <c r="J346">
        <f xml:space="preserve"> YEAR(sa_retail_sales[[#This Row],[Order Date]])</f>
        <v>2024</v>
      </c>
    </row>
    <row r="347" spans="1:10" x14ac:dyDescent="0.3">
      <c r="A347" s="1">
        <v>45570</v>
      </c>
      <c r="B347" t="s">
        <v>18</v>
      </c>
      <c r="C347" t="s">
        <v>13</v>
      </c>
      <c r="D347" t="s">
        <v>10</v>
      </c>
      <c r="E347">
        <v>13940</v>
      </c>
      <c r="F347">
        <v>4881</v>
      </c>
      <c r="G347">
        <v>20</v>
      </c>
      <c r="H347">
        <v>9059</v>
      </c>
      <c r="I347" s="2">
        <f>sa_retail_sales[[#This Row],[Profit]] / sa_retail_sales[[#This Row],[Revenue]]</f>
        <v>0.64985652797704452</v>
      </c>
      <c r="J347">
        <f xml:space="preserve"> YEAR(sa_retail_sales[[#This Row],[Order Date]])</f>
        <v>2024</v>
      </c>
    </row>
    <row r="348" spans="1:10" x14ac:dyDescent="0.3">
      <c r="A348" s="1">
        <v>44655</v>
      </c>
      <c r="B348" t="s">
        <v>18</v>
      </c>
      <c r="C348" t="s">
        <v>16</v>
      </c>
      <c r="D348" t="s">
        <v>15</v>
      </c>
      <c r="E348">
        <v>13197</v>
      </c>
      <c r="F348">
        <v>5909</v>
      </c>
      <c r="G348">
        <v>10</v>
      </c>
      <c r="H348">
        <v>7288</v>
      </c>
      <c r="I348" s="2">
        <f>sa_retail_sales[[#This Row],[Profit]] / sa_retail_sales[[#This Row],[Revenue]]</f>
        <v>0.55224672274001663</v>
      </c>
      <c r="J348">
        <f xml:space="preserve"> YEAR(sa_retail_sales[[#This Row],[Order Date]])</f>
        <v>2022</v>
      </c>
    </row>
    <row r="349" spans="1:10" x14ac:dyDescent="0.3">
      <c r="A349" s="1">
        <v>45519</v>
      </c>
      <c r="B349" t="s">
        <v>8</v>
      </c>
      <c r="C349" t="s">
        <v>16</v>
      </c>
      <c r="D349" t="s">
        <v>12</v>
      </c>
      <c r="E349">
        <v>14233</v>
      </c>
      <c r="F349">
        <v>2301</v>
      </c>
      <c r="G349">
        <v>0</v>
      </c>
      <c r="H349">
        <v>11932</v>
      </c>
      <c r="I349" s="2">
        <f>sa_retail_sales[[#This Row],[Profit]] / sa_retail_sales[[#This Row],[Revenue]]</f>
        <v>0.8383334504320944</v>
      </c>
      <c r="J349">
        <f xml:space="preserve"> YEAR(sa_retail_sales[[#This Row],[Order Date]])</f>
        <v>2024</v>
      </c>
    </row>
    <row r="350" spans="1:10" x14ac:dyDescent="0.3">
      <c r="A350" s="1">
        <v>45573</v>
      </c>
      <c r="B350" t="s">
        <v>17</v>
      </c>
      <c r="C350" t="s">
        <v>13</v>
      </c>
      <c r="D350" t="s">
        <v>10</v>
      </c>
      <c r="E350">
        <v>5913</v>
      </c>
      <c r="F350">
        <v>1687</v>
      </c>
      <c r="G350">
        <v>0</v>
      </c>
      <c r="H350">
        <v>4226</v>
      </c>
      <c r="I350" s="2">
        <f>sa_retail_sales[[#This Row],[Profit]] / sa_retail_sales[[#This Row],[Revenue]]</f>
        <v>0.71469643159140872</v>
      </c>
      <c r="J350">
        <f xml:space="preserve"> YEAR(sa_retail_sales[[#This Row],[Order Date]])</f>
        <v>2024</v>
      </c>
    </row>
    <row r="351" spans="1:10" x14ac:dyDescent="0.3">
      <c r="A351" s="1">
        <v>45014</v>
      </c>
      <c r="B351" t="s">
        <v>8</v>
      </c>
      <c r="C351" t="s">
        <v>13</v>
      </c>
      <c r="D351" t="s">
        <v>10</v>
      </c>
      <c r="E351">
        <v>1769</v>
      </c>
      <c r="F351">
        <v>11675</v>
      </c>
      <c r="G351">
        <v>15</v>
      </c>
      <c r="H351">
        <v>-9906</v>
      </c>
      <c r="I351" s="2">
        <f>sa_retail_sales[[#This Row],[Profit]] / sa_retail_sales[[#This Row],[Revenue]]</f>
        <v>-5.5997738835500286</v>
      </c>
      <c r="J351">
        <f xml:space="preserve"> YEAR(sa_retail_sales[[#This Row],[Order Date]])</f>
        <v>2023</v>
      </c>
    </row>
    <row r="352" spans="1:10" x14ac:dyDescent="0.3">
      <c r="A352" s="1">
        <v>45473</v>
      </c>
      <c r="B352" t="s">
        <v>11</v>
      </c>
      <c r="C352" t="s">
        <v>14</v>
      </c>
      <c r="D352" t="s">
        <v>10</v>
      </c>
      <c r="E352">
        <v>8368</v>
      </c>
      <c r="F352">
        <v>6852</v>
      </c>
      <c r="G352">
        <v>15</v>
      </c>
      <c r="H352">
        <v>1516</v>
      </c>
      <c r="I352" s="2">
        <f>sa_retail_sales[[#This Row],[Profit]] / sa_retail_sales[[#This Row],[Revenue]]</f>
        <v>0.18116634799235182</v>
      </c>
      <c r="J352">
        <f xml:space="preserve"> YEAR(sa_retail_sales[[#This Row],[Order Date]])</f>
        <v>2024</v>
      </c>
    </row>
    <row r="353" spans="1:10" x14ac:dyDescent="0.3">
      <c r="A353" s="1">
        <v>44779</v>
      </c>
      <c r="B353" t="s">
        <v>18</v>
      </c>
      <c r="C353" t="s">
        <v>16</v>
      </c>
      <c r="D353" t="s">
        <v>12</v>
      </c>
      <c r="E353">
        <v>14367</v>
      </c>
      <c r="F353">
        <v>1330</v>
      </c>
      <c r="G353">
        <v>20</v>
      </c>
      <c r="H353">
        <v>13037</v>
      </c>
      <c r="I353" s="2">
        <f>sa_retail_sales[[#This Row],[Profit]] / sa_retail_sales[[#This Row],[Revenue]]</f>
        <v>0.90742674183893646</v>
      </c>
      <c r="J353">
        <f xml:space="preserve"> YEAR(sa_retail_sales[[#This Row],[Order Date]])</f>
        <v>2022</v>
      </c>
    </row>
    <row r="354" spans="1:10" x14ac:dyDescent="0.3">
      <c r="A354" s="1">
        <v>45035</v>
      </c>
      <c r="B354" t="s">
        <v>11</v>
      </c>
      <c r="C354" t="s">
        <v>16</v>
      </c>
      <c r="D354" t="s">
        <v>12</v>
      </c>
      <c r="E354">
        <v>12873</v>
      </c>
      <c r="F354">
        <v>10257</v>
      </c>
      <c r="G354">
        <v>20</v>
      </c>
      <c r="H354">
        <v>2616</v>
      </c>
      <c r="I354" s="2">
        <f>sa_retail_sales[[#This Row],[Profit]] / sa_retail_sales[[#This Row],[Revenue]]</f>
        <v>0.20321603355861104</v>
      </c>
      <c r="J354">
        <f xml:space="preserve"> YEAR(sa_retail_sales[[#This Row],[Order Date]])</f>
        <v>2023</v>
      </c>
    </row>
    <row r="355" spans="1:10" x14ac:dyDescent="0.3">
      <c r="A355" s="1">
        <v>44993</v>
      </c>
      <c r="B355" t="s">
        <v>8</v>
      </c>
      <c r="C355" t="s">
        <v>9</v>
      </c>
      <c r="D355" t="s">
        <v>19</v>
      </c>
      <c r="E355">
        <v>3103</v>
      </c>
      <c r="F355">
        <v>1520</v>
      </c>
      <c r="G355">
        <v>20</v>
      </c>
      <c r="H355">
        <v>1583</v>
      </c>
      <c r="I355" s="2">
        <f>sa_retail_sales[[#This Row],[Profit]] / sa_retail_sales[[#This Row],[Revenue]]</f>
        <v>0.51015146632291331</v>
      </c>
      <c r="J355">
        <f xml:space="preserve"> YEAR(sa_retail_sales[[#This Row],[Order Date]])</f>
        <v>2023</v>
      </c>
    </row>
    <row r="356" spans="1:10" x14ac:dyDescent="0.3">
      <c r="A356" s="1">
        <v>44902</v>
      </c>
      <c r="B356" t="s">
        <v>18</v>
      </c>
      <c r="C356" t="s">
        <v>16</v>
      </c>
      <c r="D356" t="s">
        <v>12</v>
      </c>
      <c r="E356">
        <v>6461</v>
      </c>
      <c r="F356">
        <v>10906</v>
      </c>
      <c r="G356">
        <v>0</v>
      </c>
      <c r="H356">
        <v>-4445</v>
      </c>
      <c r="I356" s="2">
        <f>sa_retail_sales[[#This Row],[Profit]] / sa_retail_sales[[#This Row],[Revenue]]</f>
        <v>-0.68797399783315272</v>
      </c>
      <c r="J356">
        <f xml:space="preserve"> YEAR(sa_retail_sales[[#This Row],[Order Date]])</f>
        <v>2022</v>
      </c>
    </row>
    <row r="357" spans="1:10" x14ac:dyDescent="0.3">
      <c r="A357" s="1">
        <v>45112</v>
      </c>
      <c r="B357" t="s">
        <v>18</v>
      </c>
      <c r="C357" t="s">
        <v>14</v>
      </c>
      <c r="D357" t="s">
        <v>12</v>
      </c>
      <c r="E357">
        <v>10161</v>
      </c>
      <c r="F357">
        <v>6335</v>
      </c>
      <c r="G357">
        <v>10</v>
      </c>
      <c r="H357">
        <v>3826</v>
      </c>
      <c r="I357" s="2">
        <f>sa_retail_sales[[#This Row],[Profit]] / sa_retail_sales[[#This Row],[Revenue]]</f>
        <v>0.37653774234819409</v>
      </c>
      <c r="J357">
        <f xml:space="preserve"> YEAR(sa_retail_sales[[#This Row],[Order Date]])</f>
        <v>2023</v>
      </c>
    </row>
    <row r="358" spans="1:10" x14ac:dyDescent="0.3">
      <c r="A358" s="1">
        <v>44918</v>
      </c>
      <c r="B358" t="s">
        <v>8</v>
      </c>
      <c r="C358" t="s">
        <v>9</v>
      </c>
      <c r="D358" t="s">
        <v>12</v>
      </c>
      <c r="E358">
        <v>9069</v>
      </c>
      <c r="F358">
        <v>10110</v>
      </c>
      <c r="G358">
        <v>20</v>
      </c>
      <c r="H358">
        <v>-1041</v>
      </c>
      <c r="I358" s="2">
        <f>sa_retail_sales[[#This Row],[Profit]] / sa_retail_sales[[#This Row],[Revenue]]</f>
        <v>-0.11478663579225934</v>
      </c>
      <c r="J358">
        <f xml:space="preserve"> YEAR(sa_retail_sales[[#This Row],[Order Date]])</f>
        <v>2022</v>
      </c>
    </row>
    <row r="359" spans="1:10" x14ac:dyDescent="0.3">
      <c r="A359" s="1">
        <v>44584</v>
      </c>
      <c r="B359" t="s">
        <v>8</v>
      </c>
      <c r="C359" t="s">
        <v>9</v>
      </c>
      <c r="D359" t="s">
        <v>10</v>
      </c>
      <c r="E359">
        <v>8057</v>
      </c>
      <c r="F359">
        <v>9755</v>
      </c>
      <c r="G359">
        <v>20</v>
      </c>
      <c r="H359">
        <v>-1698</v>
      </c>
      <c r="I359" s="2">
        <f>sa_retail_sales[[#This Row],[Profit]] / sa_retail_sales[[#This Row],[Revenue]]</f>
        <v>-0.21074841752513343</v>
      </c>
      <c r="J359">
        <f xml:space="preserve"> YEAR(sa_retail_sales[[#This Row],[Order Date]])</f>
        <v>2022</v>
      </c>
    </row>
    <row r="360" spans="1:10" x14ac:dyDescent="0.3">
      <c r="A360" s="1">
        <v>45083</v>
      </c>
      <c r="B360" t="s">
        <v>8</v>
      </c>
      <c r="C360" t="s">
        <v>9</v>
      </c>
      <c r="D360" t="s">
        <v>15</v>
      </c>
      <c r="E360">
        <v>2180</v>
      </c>
      <c r="F360">
        <v>6823</v>
      </c>
      <c r="G360">
        <v>0</v>
      </c>
      <c r="H360">
        <v>-4643</v>
      </c>
      <c r="I360" s="2">
        <f>sa_retail_sales[[#This Row],[Profit]] / sa_retail_sales[[#This Row],[Revenue]]</f>
        <v>-2.129816513761468</v>
      </c>
      <c r="J360">
        <f xml:space="preserve"> YEAR(sa_retail_sales[[#This Row],[Order Date]])</f>
        <v>2023</v>
      </c>
    </row>
    <row r="361" spans="1:10" x14ac:dyDescent="0.3">
      <c r="A361" s="1">
        <v>45363</v>
      </c>
      <c r="B361" t="s">
        <v>8</v>
      </c>
      <c r="C361" t="s">
        <v>13</v>
      </c>
      <c r="D361" t="s">
        <v>19</v>
      </c>
      <c r="E361">
        <v>13862</v>
      </c>
      <c r="F361">
        <v>8374</v>
      </c>
      <c r="G361">
        <v>0</v>
      </c>
      <c r="H361">
        <v>5488</v>
      </c>
      <c r="I361" s="2">
        <f>sa_retail_sales[[#This Row],[Profit]] / sa_retail_sales[[#This Row],[Revenue]]</f>
        <v>0.39590246717645361</v>
      </c>
      <c r="J361">
        <f xml:space="preserve"> YEAR(sa_retail_sales[[#This Row],[Order Date]])</f>
        <v>2024</v>
      </c>
    </row>
    <row r="362" spans="1:10" x14ac:dyDescent="0.3">
      <c r="A362" s="1">
        <v>45323</v>
      </c>
      <c r="B362" t="s">
        <v>8</v>
      </c>
      <c r="C362" t="s">
        <v>13</v>
      </c>
      <c r="D362" t="s">
        <v>15</v>
      </c>
      <c r="E362">
        <v>8933</v>
      </c>
      <c r="F362">
        <v>9363</v>
      </c>
      <c r="G362">
        <v>0</v>
      </c>
      <c r="H362">
        <v>-430</v>
      </c>
      <c r="I362" s="2">
        <f>sa_retail_sales[[#This Row],[Profit]] / sa_retail_sales[[#This Row],[Revenue]]</f>
        <v>-4.8136124482256799E-2</v>
      </c>
      <c r="J362">
        <f xml:space="preserve"> YEAR(sa_retail_sales[[#This Row],[Order Date]])</f>
        <v>2024</v>
      </c>
    </row>
    <row r="363" spans="1:10" x14ac:dyDescent="0.3">
      <c r="A363" s="1">
        <v>45003</v>
      </c>
      <c r="B363" t="s">
        <v>18</v>
      </c>
      <c r="C363" t="s">
        <v>16</v>
      </c>
      <c r="D363" t="s">
        <v>15</v>
      </c>
      <c r="E363">
        <v>9611</v>
      </c>
      <c r="F363">
        <v>1134</v>
      </c>
      <c r="G363">
        <v>10</v>
      </c>
      <c r="H363">
        <v>8477</v>
      </c>
      <c r="I363" s="2">
        <f>sa_retail_sales[[#This Row],[Profit]] / sa_retail_sales[[#This Row],[Revenue]]</f>
        <v>0.88201019664967228</v>
      </c>
      <c r="J363">
        <f xml:space="preserve"> YEAR(sa_retail_sales[[#This Row],[Order Date]])</f>
        <v>2023</v>
      </c>
    </row>
    <row r="364" spans="1:10" x14ac:dyDescent="0.3">
      <c r="A364" s="1">
        <v>45330</v>
      </c>
      <c r="B364" t="s">
        <v>8</v>
      </c>
      <c r="C364" t="s">
        <v>9</v>
      </c>
      <c r="D364" t="s">
        <v>12</v>
      </c>
      <c r="E364">
        <v>6182</v>
      </c>
      <c r="F364">
        <v>11314</v>
      </c>
      <c r="G364">
        <v>20</v>
      </c>
      <c r="H364">
        <v>-5132</v>
      </c>
      <c r="I364" s="2">
        <f>sa_retail_sales[[#This Row],[Profit]] / sa_retail_sales[[#This Row],[Revenue]]</f>
        <v>-0.83015205435134265</v>
      </c>
      <c r="J364">
        <f xml:space="preserve"> YEAR(sa_retail_sales[[#This Row],[Order Date]])</f>
        <v>2024</v>
      </c>
    </row>
    <row r="365" spans="1:10" x14ac:dyDescent="0.3">
      <c r="A365" s="1">
        <v>45577</v>
      </c>
      <c r="B365" t="s">
        <v>18</v>
      </c>
      <c r="C365" t="s">
        <v>14</v>
      </c>
      <c r="D365" t="s">
        <v>19</v>
      </c>
      <c r="E365">
        <v>8584</v>
      </c>
      <c r="F365">
        <v>9410</v>
      </c>
      <c r="G365">
        <v>5</v>
      </c>
      <c r="H365">
        <v>-826</v>
      </c>
      <c r="I365" s="2">
        <f>sa_retail_sales[[#This Row],[Profit]] / sa_retail_sales[[#This Row],[Revenue]]</f>
        <v>-9.6225535880708299E-2</v>
      </c>
      <c r="J365">
        <f xml:space="preserve"> YEAR(sa_retail_sales[[#This Row],[Order Date]])</f>
        <v>2024</v>
      </c>
    </row>
    <row r="366" spans="1:10" x14ac:dyDescent="0.3">
      <c r="A366" s="1">
        <v>45077</v>
      </c>
      <c r="B366" t="s">
        <v>18</v>
      </c>
      <c r="C366" t="s">
        <v>13</v>
      </c>
      <c r="D366" t="s">
        <v>15</v>
      </c>
      <c r="E366">
        <v>5867</v>
      </c>
      <c r="F366">
        <v>2024</v>
      </c>
      <c r="G366">
        <v>5</v>
      </c>
      <c r="H366">
        <v>3843</v>
      </c>
      <c r="I366" s="2">
        <f>sa_retail_sales[[#This Row],[Profit]] / sa_retail_sales[[#This Row],[Revenue]]</f>
        <v>0.65501960115902502</v>
      </c>
      <c r="J366">
        <f xml:space="preserve"> YEAR(sa_retail_sales[[#This Row],[Order Date]])</f>
        <v>2023</v>
      </c>
    </row>
    <row r="367" spans="1:10" x14ac:dyDescent="0.3">
      <c r="A367" s="1">
        <v>45601</v>
      </c>
      <c r="B367" t="s">
        <v>8</v>
      </c>
      <c r="C367" t="s">
        <v>14</v>
      </c>
      <c r="D367" t="s">
        <v>15</v>
      </c>
      <c r="E367">
        <v>569</v>
      </c>
      <c r="F367">
        <v>6898</v>
      </c>
      <c r="G367">
        <v>20</v>
      </c>
      <c r="H367">
        <v>-6329</v>
      </c>
      <c r="I367" s="2">
        <f>sa_retail_sales[[#This Row],[Profit]] / sa_retail_sales[[#This Row],[Revenue]]</f>
        <v>-11.123022847100176</v>
      </c>
      <c r="J367">
        <f xml:space="preserve"> YEAR(sa_retail_sales[[#This Row],[Order Date]])</f>
        <v>2024</v>
      </c>
    </row>
    <row r="368" spans="1:10" x14ac:dyDescent="0.3">
      <c r="A368" s="1">
        <v>45353</v>
      </c>
      <c r="B368" t="s">
        <v>8</v>
      </c>
      <c r="C368" t="s">
        <v>14</v>
      </c>
      <c r="D368" t="s">
        <v>19</v>
      </c>
      <c r="E368">
        <v>4424</v>
      </c>
      <c r="F368">
        <v>2713</v>
      </c>
      <c r="G368">
        <v>20</v>
      </c>
      <c r="H368">
        <v>1711</v>
      </c>
      <c r="I368" s="2">
        <f>sa_retail_sales[[#This Row],[Profit]] / sa_retail_sales[[#This Row],[Revenue]]</f>
        <v>0.38675406871609402</v>
      </c>
      <c r="J368">
        <f xml:space="preserve"> YEAR(sa_retail_sales[[#This Row],[Order Date]])</f>
        <v>2024</v>
      </c>
    </row>
    <row r="369" spans="1:10" x14ac:dyDescent="0.3">
      <c r="A369" s="1">
        <v>44897</v>
      </c>
      <c r="B369" t="s">
        <v>17</v>
      </c>
      <c r="C369" t="s">
        <v>13</v>
      </c>
      <c r="D369" t="s">
        <v>12</v>
      </c>
      <c r="E369">
        <v>6700</v>
      </c>
      <c r="F369">
        <v>9805</v>
      </c>
      <c r="G369">
        <v>20</v>
      </c>
      <c r="H369">
        <v>-3105</v>
      </c>
      <c r="I369" s="2">
        <f>sa_retail_sales[[#This Row],[Profit]] / sa_retail_sales[[#This Row],[Revenue]]</f>
        <v>-0.46343283582089551</v>
      </c>
      <c r="J369">
        <f xml:space="preserve"> YEAR(sa_retail_sales[[#This Row],[Order Date]])</f>
        <v>2022</v>
      </c>
    </row>
    <row r="370" spans="1:10" x14ac:dyDescent="0.3">
      <c r="A370" s="1">
        <v>44819</v>
      </c>
      <c r="B370" t="s">
        <v>18</v>
      </c>
      <c r="C370" t="s">
        <v>13</v>
      </c>
      <c r="D370" t="s">
        <v>15</v>
      </c>
      <c r="E370">
        <v>14193</v>
      </c>
      <c r="F370">
        <v>6293</v>
      </c>
      <c r="G370">
        <v>20</v>
      </c>
      <c r="H370">
        <v>7900</v>
      </c>
      <c r="I370" s="2">
        <f>sa_retail_sales[[#This Row],[Profit]] / sa_retail_sales[[#This Row],[Revenue]]</f>
        <v>0.55661241457056299</v>
      </c>
      <c r="J370">
        <f xml:space="preserve"> YEAR(sa_retail_sales[[#This Row],[Order Date]])</f>
        <v>2022</v>
      </c>
    </row>
    <row r="371" spans="1:10" x14ac:dyDescent="0.3">
      <c r="A371" s="1">
        <v>45058</v>
      </c>
      <c r="B371" t="s">
        <v>8</v>
      </c>
      <c r="C371" t="s">
        <v>13</v>
      </c>
      <c r="D371" t="s">
        <v>10</v>
      </c>
      <c r="E371">
        <v>10778</v>
      </c>
      <c r="F371">
        <v>4798</v>
      </c>
      <c r="G371">
        <v>10</v>
      </c>
      <c r="H371">
        <v>5980</v>
      </c>
      <c r="I371" s="2">
        <f>sa_retail_sales[[#This Row],[Profit]] / sa_retail_sales[[#This Row],[Revenue]]</f>
        <v>0.55483392095008355</v>
      </c>
      <c r="J371">
        <f xml:space="preserve"> YEAR(sa_retail_sales[[#This Row],[Order Date]])</f>
        <v>2023</v>
      </c>
    </row>
    <row r="372" spans="1:10" x14ac:dyDescent="0.3">
      <c r="A372" s="1">
        <v>45457</v>
      </c>
      <c r="B372" t="s">
        <v>8</v>
      </c>
      <c r="C372" t="s">
        <v>13</v>
      </c>
      <c r="D372" t="s">
        <v>15</v>
      </c>
      <c r="E372">
        <v>2507</v>
      </c>
      <c r="F372">
        <v>2405</v>
      </c>
      <c r="G372">
        <v>5</v>
      </c>
      <c r="H372">
        <v>102</v>
      </c>
      <c r="I372" s="2">
        <f>sa_retail_sales[[#This Row],[Profit]] / sa_retail_sales[[#This Row],[Revenue]]</f>
        <v>4.0686078978859196E-2</v>
      </c>
      <c r="J372">
        <f xml:space="preserve"> YEAR(sa_retail_sales[[#This Row],[Order Date]])</f>
        <v>2024</v>
      </c>
    </row>
    <row r="373" spans="1:10" x14ac:dyDescent="0.3">
      <c r="A373" s="1">
        <v>44721</v>
      </c>
      <c r="B373" t="s">
        <v>8</v>
      </c>
      <c r="C373" t="s">
        <v>9</v>
      </c>
      <c r="D373" t="s">
        <v>10</v>
      </c>
      <c r="E373">
        <v>9492</v>
      </c>
      <c r="F373">
        <v>2868</v>
      </c>
      <c r="G373">
        <v>15</v>
      </c>
      <c r="H373">
        <v>6624</v>
      </c>
      <c r="I373" s="2">
        <f>sa_retail_sales[[#This Row],[Profit]] / sa_retail_sales[[#This Row],[Revenue]]</f>
        <v>0.69785082174462709</v>
      </c>
      <c r="J373">
        <f xml:space="preserve"> YEAR(sa_retail_sales[[#This Row],[Order Date]])</f>
        <v>2022</v>
      </c>
    </row>
    <row r="374" spans="1:10" x14ac:dyDescent="0.3">
      <c r="A374" s="1">
        <v>45413</v>
      </c>
      <c r="B374" t="s">
        <v>17</v>
      </c>
      <c r="C374" t="s">
        <v>9</v>
      </c>
      <c r="D374" t="s">
        <v>12</v>
      </c>
      <c r="E374">
        <v>13829</v>
      </c>
      <c r="F374">
        <v>9630</v>
      </c>
      <c r="G374">
        <v>5</v>
      </c>
      <c r="H374">
        <v>4199</v>
      </c>
      <c r="I374" s="2">
        <f>sa_retail_sales[[#This Row],[Profit]] / sa_retail_sales[[#This Row],[Revenue]]</f>
        <v>0.30363728396847206</v>
      </c>
      <c r="J374">
        <f xml:space="preserve"> YEAR(sa_retail_sales[[#This Row],[Order Date]])</f>
        <v>2024</v>
      </c>
    </row>
    <row r="375" spans="1:10" x14ac:dyDescent="0.3">
      <c r="A375" s="1">
        <v>45251</v>
      </c>
      <c r="B375" t="s">
        <v>17</v>
      </c>
      <c r="C375" t="s">
        <v>9</v>
      </c>
      <c r="D375" t="s">
        <v>15</v>
      </c>
      <c r="E375">
        <v>8619</v>
      </c>
      <c r="F375">
        <v>509</v>
      </c>
      <c r="G375">
        <v>5</v>
      </c>
      <c r="H375">
        <v>8110</v>
      </c>
      <c r="I375" s="2">
        <f>sa_retail_sales[[#This Row],[Profit]] / sa_retail_sales[[#This Row],[Revenue]]</f>
        <v>0.94094442510732101</v>
      </c>
      <c r="J375">
        <f xml:space="preserve"> YEAR(sa_retail_sales[[#This Row],[Order Date]])</f>
        <v>2023</v>
      </c>
    </row>
    <row r="376" spans="1:10" x14ac:dyDescent="0.3">
      <c r="A376" s="1">
        <v>44941</v>
      </c>
      <c r="B376" t="s">
        <v>11</v>
      </c>
      <c r="C376" t="s">
        <v>9</v>
      </c>
      <c r="D376" t="s">
        <v>19</v>
      </c>
      <c r="E376">
        <v>3279</v>
      </c>
      <c r="F376">
        <v>9556</v>
      </c>
      <c r="G376">
        <v>0</v>
      </c>
      <c r="H376">
        <v>-6277</v>
      </c>
      <c r="I376" s="2">
        <f>sa_retail_sales[[#This Row],[Profit]] / sa_retail_sales[[#This Row],[Revenue]]</f>
        <v>-1.9143031412015858</v>
      </c>
      <c r="J376">
        <f xml:space="preserve"> YEAR(sa_retail_sales[[#This Row],[Order Date]])</f>
        <v>2023</v>
      </c>
    </row>
    <row r="377" spans="1:10" x14ac:dyDescent="0.3">
      <c r="A377" s="1">
        <v>45518</v>
      </c>
      <c r="B377" t="s">
        <v>18</v>
      </c>
      <c r="C377" t="s">
        <v>16</v>
      </c>
      <c r="D377" t="s">
        <v>19</v>
      </c>
      <c r="E377">
        <v>5420</v>
      </c>
      <c r="F377">
        <v>5211</v>
      </c>
      <c r="G377">
        <v>20</v>
      </c>
      <c r="H377">
        <v>209</v>
      </c>
      <c r="I377" s="2">
        <f>sa_retail_sales[[#This Row],[Profit]] / sa_retail_sales[[#This Row],[Revenue]]</f>
        <v>3.8560885608856087E-2</v>
      </c>
      <c r="J377">
        <f xml:space="preserve"> YEAR(sa_retail_sales[[#This Row],[Order Date]])</f>
        <v>2024</v>
      </c>
    </row>
    <row r="378" spans="1:10" x14ac:dyDescent="0.3">
      <c r="A378" s="1">
        <v>45252</v>
      </c>
      <c r="B378" t="s">
        <v>11</v>
      </c>
      <c r="C378" t="s">
        <v>9</v>
      </c>
      <c r="D378" t="s">
        <v>15</v>
      </c>
      <c r="E378">
        <v>1255</v>
      </c>
      <c r="F378">
        <v>2520</v>
      </c>
      <c r="G378">
        <v>20</v>
      </c>
      <c r="H378">
        <v>-1265</v>
      </c>
      <c r="I378" s="2">
        <f>sa_retail_sales[[#This Row],[Profit]] / sa_retail_sales[[#This Row],[Revenue]]</f>
        <v>-1.0079681274900398</v>
      </c>
      <c r="J378">
        <f xml:space="preserve"> YEAR(sa_retail_sales[[#This Row],[Order Date]])</f>
        <v>2023</v>
      </c>
    </row>
    <row r="379" spans="1:10" x14ac:dyDescent="0.3">
      <c r="A379" s="1">
        <v>45628</v>
      </c>
      <c r="B379" t="s">
        <v>8</v>
      </c>
      <c r="C379" t="s">
        <v>13</v>
      </c>
      <c r="D379" t="s">
        <v>12</v>
      </c>
      <c r="E379">
        <v>6995</v>
      </c>
      <c r="F379">
        <v>533</v>
      </c>
      <c r="G379">
        <v>20</v>
      </c>
      <c r="H379">
        <v>6462</v>
      </c>
      <c r="I379" s="2">
        <f>sa_retail_sales[[#This Row],[Profit]] / sa_retail_sales[[#This Row],[Revenue]]</f>
        <v>0.92380271622587562</v>
      </c>
      <c r="J379">
        <f xml:space="preserve"> YEAR(sa_retail_sales[[#This Row],[Order Date]])</f>
        <v>2024</v>
      </c>
    </row>
    <row r="380" spans="1:10" x14ac:dyDescent="0.3">
      <c r="A380" s="1">
        <v>44846</v>
      </c>
      <c r="B380" t="s">
        <v>17</v>
      </c>
      <c r="C380" t="s">
        <v>14</v>
      </c>
      <c r="D380" t="s">
        <v>12</v>
      </c>
      <c r="E380">
        <v>10687</v>
      </c>
      <c r="F380">
        <v>1092</v>
      </c>
      <c r="G380">
        <v>0</v>
      </c>
      <c r="H380">
        <v>9595</v>
      </c>
      <c r="I380" s="2">
        <f>sa_retail_sales[[#This Row],[Profit]] / sa_retail_sales[[#This Row],[Revenue]]</f>
        <v>0.89781978104238791</v>
      </c>
      <c r="J380">
        <f xml:space="preserve"> YEAR(sa_retail_sales[[#This Row],[Order Date]])</f>
        <v>2022</v>
      </c>
    </row>
    <row r="381" spans="1:10" x14ac:dyDescent="0.3">
      <c r="A381" s="1">
        <v>44958</v>
      </c>
      <c r="B381" t="s">
        <v>17</v>
      </c>
      <c r="C381" t="s">
        <v>9</v>
      </c>
      <c r="D381" t="s">
        <v>19</v>
      </c>
      <c r="E381">
        <v>6435</v>
      </c>
      <c r="F381">
        <v>3410</v>
      </c>
      <c r="G381">
        <v>10</v>
      </c>
      <c r="H381">
        <v>3025</v>
      </c>
      <c r="I381" s="2">
        <f>sa_retail_sales[[#This Row],[Profit]] / sa_retail_sales[[#This Row],[Revenue]]</f>
        <v>0.47008547008547008</v>
      </c>
      <c r="J381">
        <f xml:space="preserve"> YEAR(sa_retail_sales[[#This Row],[Order Date]])</f>
        <v>2023</v>
      </c>
    </row>
    <row r="382" spans="1:10" x14ac:dyDescent="0.3">
      <c r="A382" s="1">
        <v>44573</v>
      </c>
      <c r="B382" t="s">
        <v>11</v>
      </c>
      <c r="C382" t="s">
        <v>16</v>
      </c>
      <c r="D382" t="s">
        <v>15</v>
      </c>
      <c r="E382">
        <v>10013</v>
      </c>
      <c r="F382">
        <v>2466</v>
      </c>
      <c r="G382">
        <v>10</v>
      </c>
      <c r="H382">
        <v>7547</v>
      </c>
      <c r="I382" s="2">
        <f>sa_retail_sales[[#This Row],[Profit]] / sa_retail_sales[[#This Row],[Revenue]]</f>
        <v>0.75372016378707685</v>
      </c>
      <c r="J382">
        <f xml:space="preserve"> YEAR(sa_retail_sales[[#This Row],[Order Date]])</f>
        <v>2022</v>
      </c>
    </row>
    <row r="383" spans="1:10" x14ac:dyDescent="0.3">
      <c r="A383" s="1">
        <v>45060</v>
      </c>
      <c r="B383" t="s">
        <v>17</v>
      </c>
      <c r="C383" t="s">
        <v>13</v>
      </c>
      <c r="D383" t="s">
        <v>12</v>
      </c>
      <c r="E383">
        <v>2830</v>
      </c>
      <c r="F383">
        <v>8826</v>
      </c>
      <c r="G383">
        <v>15</v>
      </c>
      <c r="H383">
        <v>-5996</v>
      </c>
      <c r="I383" s="2">
        <f>sa_retail_sales[[#This Row],[Profit]] / sa_retail_sales[[#This Row],[Revenue]]</f>
        <v>-2.1187279151943463</v>
      </c>
      <c r="J383">
        <f xml:space="preserve"> YEAR(sa_retail_sales[[#This Row],[Order Date]])</f>
        <v>2023</v>
      </c>
    </row>
    <row r="384" spans="1:10" x14ac:dyDescent="0.3">
      <c r="A384" s="1">
        <v>45315</v>
      </c>
      <c r="B384" t="s">
        <v>8</v>
      </c>
      <c r="C384" t="s">
        <v>14</v>
      </c>
      <c r="D384" t="s">
        <v>19</v>
      </c>
      <c r="E384">
        <v>6205</v>
      </c>
      <c r="F384">
        <v>9851</v>
      </c>
      <c r="G384">
        <v>10</v>
      </c>
      <c r="H384">
        <v>-3646</v>
      </c>
      <c r="I384" s="2">
        <f>sa_retail_sales[[#This Row],[Profit]] / sa_retail_sales[[#This Row],[Revenue]]</f>
        <v>-0.58759065269943589</v>
      </c>
      <c r="J384">
        <f xml:space="preserve"> YEAR(sa_retail_sales[[#This Row],[Order Date]])</f>
        <v>2024</v>
      </c>
    </row>
    <row r="385" spans="1:10" x14ac:dyDescent="0.3">
      <c r="A385" s="1">
        <v>44596</v>
      </c>
      <c r="B385" t="s">
        <v>17</v>
      </c>
      <c r="C385" t="s">
        <v>14</v>
      </c>
      <c r="D385" t="s">
        <v>10</v>
      </c>
      <c r="E385">
        <v>8801</v>
      </c>
      <c r="F385">
        <v>5493</v>
      </c>
      <c r="G385">
        <v>10</v>
      </c>
      <c r="H385">
        <v>3308</v>
      </c>
      <c r="I385" s="2">
        <f>sa_retail_sales[[#This Row],[Profit]] / sa_retail_sales[[#This Row],[Revenue]]</f>
        <v>0.37586637882058854</v>
      </c>
      <c r="J385">
        <f xml:space="preserve"> YEAR(sa_retail_sales[[#This Row],[Order Date]])</f>
        <v>2022</v>
      </c>
    </row>
    <row r="386" spans="1:10" x14ac:dyDescent="0.3">
      <c r="A386" s="1">
        <v>45288</v>
      </c>
      <c r="B386" t="s">
        <v>11</v>
      </c>
      <c r="C386" t="s">
        <v>9</v>
      </c>
      <c r="D386" t="s">
        <v>15</v>
      </c>
      <c r="E386">
        <v>1516</v>
      </c>
      <c r="F386">
        <v>1514</v>
      </c>
      <c r="G386">
        <v>20</v>
      </c>
      <c r="H386">
        <v>2</v>
      </c>
      <c r="I386" s="2">
        <f>sa_retail_sales[[#This Row],[Profit]] / sa_retail_sales[[#This Row],[Revenue]]</f>
        <v>1.3192612137203166E-3</v>
      </c>
      <c r="J386">
        <f xml:space="preserve"> YEAR(sa_retail_sales[[#This Row],[Order Date]])</f>
        <v>2023</v>
      </c>
    </row>
    <row r="387" spans="1:10" x14ac:dyDescent="0.3">
      <c r="A387" s="1">
        <v>45410</v>
      </c>
      <c r="B387" t="s">
        <v>8</v>
      </c>
      <c r="C387" t="s">
        <v>14</v>
      </c>
      <c r="D387" t="s">
        <v>10</v>
      </c>
      <c r="E387">
        <v>7847</v>
      </c>
      <c r="F387">
        <v>4719</v>
      </c>
      <c r="G387">
        <v>5</v>
      </c>
      <c r="H387">
        <v>3128</v>
      </c>
      <c r="I387" s="2">
        <f>sa_retail_sales[[#This Row],[Profit]] / sa_retail_sales[[#This Row],[Revenue]]</f>
        <v>0.39862367783866448</v>
      </c>
      <c r="J387">
        <f xml:space="preserve"> YEAR(sa_retail_sales[[#This Row],[Order Date]])</f>
        <v>2024</v>
      </c>
    </row>
    <row r="388" spans="1:10" x14ac:dyDescent="0.3">
      <c r="A388" s="1">
        <v>44651</v>
      </c>
      <c r="B388" t="s">
        <v>11</v>
      </c>
      <c r="C388" t="s">
        <v>9</v>
      </c>
      <c r="D388" t="s">
        <v>10</v>
      </c>
      <c r="E388">
        <v>14749</v>
      </c>
      <c r="F388">
        <v>7614</v>
      </c>
      <c r="G388">
        <v>10</v>
      </c>
      <c r="H388">
        <v>7135</v>
      </c>
      <c r="I388" s="2">
        <f>sa_retail_sales[[#This Row],[Profit]] / sa_retail_sales[[#This Row],[Revenue]]</f>
        <v>0.48376161095667503</v>
      </c>
      <c r="J388">
        <f xml:space="preserve"> YEAR(sa_retail_sales[[#This Row],[Order Date]])</f>
        <v>2022</v>
      </c>
    </row>
    <row r="389" spans="1:10" x14ac:dyDescent="0.3">
      <c r="A389" s="1">
        <v>45337</v>
      </c>
      <c r="B389" t="s">
        <v>17</v>
      </c>
      <c r="C389" t="s">
        <v>9</v>
      </c>
      <c r="D389" t="s">
        <v>12</v>
      </c>
      <c r="E389">
        <v>14557</v>
      </c>
      <c r="F389">
        <v>8775</v>
      </c>
      <c r="G389">
        <v>10</v>
      </c>
      <c r="H389">
        <v>5782</v>
      </c>
      <c r="I389" s="2">
        <f>sa_retail_sales[[#This Row],[Profit]] / sa_retail_sales[[#This Row],[Revenue]]</f>
        <v>0.39719722470289209</v>
      </c>
      <c r="J389">
        <f xml:space="preserve"> YEAR(sa_retail_sales[[#This Row],[Order Date]])</f>
        <v>2024</v>
      </c>
    </row>
    <row r="390" spans="1:10" x14ac:dyDescent="0.3">
      <c r="A390" s="1">
        <v>45166</v>
      </c>
      <c r="B390" t="s">
        <v>11</v>
      </c>
      <c r="C390" t="s">
        <v>13</v>
      </c>
      <c r="D390" t="s">
        <v>12</v>
      </c>
      <c r="E390">
        <v>12557</v>
      </c>
      <c r="F390">
        <v>512</v>
      </c>
      <c r="G390">
        <v>0</v>
      </c>
      <c r="H390">
        <v>12045</v>
      </c>
      <c r="I390" s="2">
        <f>sa_retail_sales[[#This Row],[Profit]] / sa_retail_sales[[#This Row],[Revenue]]</f>
        <v>0.95922592976029308</v>
      </c>
      <c r="J390">
        <f xml:space="preserve"> YEAR(sa_retail_sales[[#This Row],[Order Date]])</f>
        <v>2023</v>
      </c>
    </row>
    <row r="391" spans="1:10" x14ac:dyDescent="0.3">
      <c r="A391" s="1">
        <v>45531</v>
      </c>
      <c r="B391" t="s">
        <v>11</v>
      </c>
      <c r="C391" t="s">
        <v>13</v>
      </c>
      <c r="D391" t="s">
        <v>12</v>
      </c>
      <c r="E391">
        <v>8716</v>
      </c>
      <c r="F391">
        <v>1958</v>
      </c>
      <c r="G391">
        <v>15</v>
      </c>
      <c r="H391">
        <v>6758</v>
      </c>
      <c r="I391" s="2">
        <f>sa_retail_sales[[#This Row],[Profit]] / sa_retail_sales[[#This Row],[Revenue]]</f>
        <v>0.77535566773749431</v>
      </c>
      <c r="J391">
        <f xml:space="preserve"> YEAR(sa_retail_sales[[#This Row],[Order Date]])</f>
        <v>2024</v>
      </c>
    </row>
    <row r="392" spans="1:10" x14ac:dyDescent="0.3">
      <c r="A392" s="1">
        <v>45583</v>
      </c>
      <c r="B392" t="s">
        <v>18</v>
      </c>
      <c r="C392" t="s">
        <v>16</v>
      </c>
      <c r="D392" t="s">
        <v>15</v>
      </c>
      <c r="E392">
        <v>5438</v>
      </c>
      <c r="F392">
        <v>5324</v>
      </c>
      <c r="G392">
        <v>0</v>
      </c>
      <c r="H392">
        <v>114</v>
      </c>
      <c r="I392" s="2">
        <f>sa_retail_sales[[#This Row],[Profit]] / sa_retail_sales[[#This Row],[Revenue]]</f>
        <v>2.0963589554983449E-2</v>
      </c>
      <c r="J392">
        <f xml:space="preserve"> YEAR(sa_retail_sales[[#This Row],[Order Date]])</f>
        <v>2024</v>
      </c>
    </row>
    <row r="393" spans="1:10" x14ac:dyDescent="0.3">
      <c r="A393" s="1">
        <v>44979</v>
      </c>
      <c r="B393" t="s">
        <v>17</v>
      </c>
      <c r="C393" t="s">
        <v>13</v>
      </c>
      <c r="D393" t="s">
        <v>10</v>
      </c>
      <c r="E393">
        <v>3338</v>
      </c>
      <c r="F393">
        <v>9909</v>
      </c>
      <c r="G393">
        <v>20</v>
      </c>
      <c r="H393">
        <v>-6571</v>
      </c>
      <c r="I393" s="2">
        <f>sa_retail_sales[[#This Row],[Profit]] / sa_retail_sales[[#This Row],[Revenue]]</f>
        <v>-1.9685440383463151</v>
      </c>
      <c r="J393">
        <f xml:space="preserve"> YEAR(sa_retail_sales[[#This Row],[Order Date]])</f>
        <v>2023</v>
      </c>
    </row>
    <row r="394" spans="1:10" x14ac:dyDescent="0.3">
      <c r="A394" s="1">
        <v>44676</v>
      </c>
      <c r="B394" t="s">
        <v>17</v>
      </c>
      <c r="C394" t="s">
        <v>13</v>
      </c>
      <c r="D394" t="s">
        <v>15</v>
      </c>
      <c r="E394">
        <v>1237</v>
      </c>
      <c r="F394">
        <v>10878</v>
      </c>
      <c r="G394">
        <v>5</v>
      </c>
      <c r="H394">
        <v>-9641</v>
      </c>
      <c r="I394" s="2">
        <f>sa_retail_sales[[#This Row],[Profit]] / sa_retail_sales[[#This Row],[Revenue]]</f>
        <v>-7.793856103476152</v>
      </c>
      <c r="J394">
        <f xml:space="preserve"> YEAR(sa_retail_sales[[#This Row],[Order Date]])</f>
        <v>2022</v>
      </c>
    </row>
    <row r="395" spans="1:10" x14ac:dyDescent="0.3">
      <c r="A395" s="1">
        <v>45178</v>
      </c>
      <c r="B395" t="s">
        <v>11</v>
      </c>
      <c r="C395" t="s">
        <v>9</v>
      </c>
      <c r="D395" t="s">
        <v>12</v>
      </c>
      <c r="E395">
        <v>6700</v>
      </c>
      <c r="F395">
        <v>6217</v>
      </c>
      <c r="G395">
        <v>15</v>
      </c>
      <c r="H395">
        <v>483</v>
      </c>
      <c r="I395" s="2">
        <f>sa_retail_sales[[#This Row],[Profit]] / sa_retail_sales[[#This Row],[Revenue]]</f>
        <v>7.2089552238805976E-2</v>
      </c>
      <c r="J395">
        <f xml:space="preserve"> YEAR(sa_retail_sales[[#This Row],[Order Date]])</f>
        <v>2023</v>
      </c>
    </row>
    <row r="396" spans="1:10" x14ac:dyDescent="0.3">
      <c r="A396" s="1">
        <v>45387</v>
      </c>
      <c r="B396" t="s">
        <v>18</v>
      </c>
      <c r="C396" t="s">
        <v>13</v>
      </c>
      <c r="D396" t="s">
        <v>10</v>
      </c>
      <c r="E396">
        <v>8871</v>
      </c>
      <c r="F396">
        <v>5441</v>
      </c>
      <c r="G396">
        <v>0</v>
      </c>
      <c r="H396">
        <v>3430</v>
      </c>
      <c r="I396" s="2">
        <f>sa_retail_sales[[#This Row],[Profit]] / sa_retail_sales[[#This Row],[Revenue]]</f>
        <v>0.38665313944312929</v>
      </c>
      <c r="J396">
        <f xml:space="preserve"> YEAR(sa_retail_sales[[#This Row],[Order Date]])</f>
        <v>2024</v>
      </c>
    </row>
    <row r="397" spans="1:10" x14ac:dyDescent="0.3">
      <c r="A397" s="1">
        <v>44974</v>
      </c>
      <c r="B397" t="s">
        <v>17</v>
      </c>
      <c r="C397" t="s">
        <v>9</v>
      </c>
      <c r="D397" t="s">
        <v>15</v>
      </c>
      <c r="E397">
        <v>731</v>
      </c>
      <c r="F397">
        <v>2094</v>
      </c>
      <c r="G397">
        <v>10</v>
      </c>
      <c r="H397">
        <v>-1363</v>
      </c>
      <c r="I397" s="2">
        <f>sa_retail_sales[[#This Row],[Profit]] / sa_retail_sales[[#This Row],[Revenue]]</f>
        <v>-1.8645690834473325</v>
      </c>
      <c r="J397">
        <f xml:space="preserve"> YEAR(sa_retail_sales[[#This Row],[Order Date]])</f>
        <v>2023</v>
      </c>
    </row>
    <row r="398" spans="1:10" x14ac:dyDescent="0.3">
      <c r="A398" s="1">
        <v>45290</v>
      </c>
      <c r="B398" t="s">
        <v>8</v>
      </c>
      <c r="C398" t="s">
        <v>9</v>
      </c>
      <c r="D398" t="s">
        <v>15</v>
      </c>
      <c r="E398">
        <v>2417</v>
      </c>
      <c r="F398">
        <v>6288</v>
      </c>
      <c r="G398">
        <v>10</v>
      </c>
      <c r="H398">
        <v>-3871</v>
      </c>
      <c r="I398" s="2">
        <f>sa_retail_sales[[#This Row],[Profit]] / sa_retail_sales[[#This Row],[Revenue]]</f>
        <v>-1.6015721969383534</v>
      </c>
      <c r="J398">
        <f xml:space="preserve"> YEAR(sa_retail_sales[[#This Row],[Order Date]])</f>
        <v>2023</v>
      </c>
    </row>
    <row r="399" spans="1:10" x14ac:dyDescent="0.3">
      <c r="A399" s="1">
        <v>45582</v>
      </c>
      <c r="B399" t="s">
        <v>11</v>
      </c>
      <c r="C399" t="s">
        <v>13</v>
      </c>
      <c r="D399" t="s">
        <v>19</v>
      </c>
      <c r="E399">
        <v>9034</v>
      </c>
      <c r="F399">
        <v>8596</v>
      </c>
      <c r="G399">
        <v>15</v>
      </c>
      <c r="H399">
        <v>438</v>
      </c>
      <c r="I399" s="2">
        <f>sa_retail_sales[[#This Row],[Profit]] / sa_retail_sales[[#This Row],[Revenue]]</f>
        <v>4.8483506752269208E-2</v>
      </c>
      <c r="J399">
        <f xml:space="preserve"> YEAR(sa_retail_sales[[#This Row],[Order Date]])</f>
        <v>2024</v>
      </c>
    </row>
    <row r="400" spans="1:10" x14ac:dyDescent="0.3">
      <c r="A400" s="1">
        <v>45322</v>
      </c>
      <c r="B400" t="s">
        <v>17</v>
      </c>
      <c r="C400" t="s">
        <v>16</v>
      </c>
      <c r="D400" t="s">
        <v>15</v>
      </c>
      <c r="E400">
        <v>13264</v>
      </c>
      <c r="F400">
        <v>5878</v>
      </c>
      <c r="G400">
        <v>10</v>
      </c>
      <c r="H400">
        <v>7386</v>
      </c>
      <c r="I400" s="2">
        <f>sa_retail_sales[[#This Row],[Profit]] / sa_retail_sales[[#This Row],[Revenue]]</f>
        <v>0.55684559710494574</v>
      </c>
      <c r="J400">
        <f xml:space="preserve"> YEAR(sa_retail_sales[[#This Row],[Order Date]])</f>
        <v>2024</v>
      </c>
    </row>
    <row r="401" spans="1:10" x14ac:dyDescent="0.3">
      <c r="A401" s="1">
        <v>45237</v>
      </c>
      <c r="B401" t="s">
        <v>8</v>
      </c>
      <c r="C401" t="s">
        <v>16</v>
      </c>
      <c r="D401" t="s">
        <v>12</v>
      </c>
      <c r="E401">
        <v>6418</v>
      </c>
      <c r="F401">
        <v>5851</v>
      </c>
      <c r="G401">
        <v>0</v>
      </c>
      <c r="H401">
        <v>567</v>
      </c>
      <c r="I401" s="2">
        <f>sa_retail_sales[[#This Row],[Profit]] / sa_retail_sales[[#This Row],[Revenue]]</f>
        <v>8.8345278903085078E-2</v>
      </c>
      <c r="J401">
        <f xml:space="preserve"> YEAR(sa_retail_sales[[#This Row],[Order Date]])</f>
        <v>2023</v>
      </c>
    </row>
    <row r="402" spans="1:10" x14ac:dyDescent="0.3">
      <c r="A402" s="1">
        <v>45018</v>
      </c>
      <c r="B402" t="s">
        <v>17</v>
      </c>
      <c r="C402" t="s">
        <v>14</v>
      </c>
      <c r="D402" t="s">
        <v>15</v>
      </c>
      <c r="E402">
        <v>3123</v>
      </c>
      <c r="F402">
        <v>4145</v>
      </c>
      <c r="G402">
        <v>0</v>
      </c>
      <c r="H402">
        <v>-1022</v>
      </c>
      <c r="I402" s="2">
        <f>sa_retail_sales[[#This Row],[Profit]] / sa_retail_sales[[#This Row],[Revenue]]</f>
        <v>-0.32724943964137049</v>
      </c>
      <c r="J402">
        <f xml:space="preserve"> YEAR(sa_retail_sales[[#This Row],[Order Date]])</f>
        <v>2023</v>
      </c>
    </row>
    <row r="403" spans="1:10" x14ac:dyDescent="0.3">
      <c r="A403" s="1">
        <v>45481</v>
      </c>
      <c r="B403" t="s">
        <v>8</v>
      </c>
      <c r="C403" t="s">
        <v>14</v>
      </c>
      <c r="D403" t="s">
        <v>10</v>
      </c>
      <c r="E403">
        <v>9146</v>
      </c>
      <c r="F403">
        <v>7206</v>
      </c>
      <c r="G403">
        <v>10</v>
      </c>
      <c r="H403">
        <v>1940</v>
      </c>
      <c r="I403" s="2">
        <f>sa_retail_sales[[#This Row],[Profit]] / sa_retail_sales[[#This Row],[Revenue]]</f>
        <v>0.21211458561119614</v>
      </c>
      <c r="J403">
        <f xml:space="preserve"> YEAR(sa_retail_sales[[#This Row],[Order Date]])</f>
        <v>2024</v>
      </c>
    </row>
    <row r="404" spans="1:10" x14ac:dyDescent="0.3">
      <c r="A404" s="1">
        <v>44753</v>
      </c>
      <c r="B404" t="s">
        <v>11</v>
      </c>
      <c r="C404" t="s">
        <v>13</v>
      </c>
      <c r="D404" t="s">
        <v>15</v>
      </c>
      <c r="E404">
        <v>14043</v>
      </c>
      <c r="F404">
        <v>11784</v>
      </c>
      <c r="G404">
        <v>10</v>
      </c>
      <c r="H404">
        <v>2259</v>
      </c>
      <c r="I404" s="2">
        <f>sa_retail_sales[[#This Row],[Profit]] / sa_retail_sales[[#This Row],[Revenue]]</f>
        <v>0.16086306344798121</v>
      </c>
      <c r="J404">
        <f xml:space="preserve"> YEAR(sa_retail_sales[[#This Row],[Order Date]])</f>
        <v>2022</v>
      </c>
    </row>
    <row r="405" spans="1:10" x14ac:dyDescent="0.3">
      <c r="A405" s="1">
        <v>45300</v>
      </c>
      <c r="B405" t="s">
        <v>17</v>
      </c>
      <c r="C405" t="s">
        <v>16</v>
      </c>
      <c r="D405" t="s">
        <v>19</v>
      </c>
      <c r="E405">
        <v>13076</v>
      </c>
      <c r="F405">
        <v>678</v>
      </c>
      <c r="G405">
        <v>20</v>
      </c>
      <c r="H405">
        <v>12398</v>
      </c>
      <c r="I405" s="2">
        <f>sa_retail_sales[[#This Row],[Profit]] / sa_retail_sales[[#This Row],[Revenue]]</f>
        <v>0.9481492811257265</v>
      </c>
      <c r="J405">
        <f xml:space="preserve"> YEAR(sa_retail_sales[[#This Row],[Order Date]])</f>
        <v>2024</v>
      </c>
    </row>
    <row r="406" spans="1:10" x14ac:dyDescent="0.3">
      <c r="A406" s="1">
        <v>45539</v>
      </c>
      <c r="B406" t="s">
        <v>17</v>
      </c>
      <c r="C406" t="s">
        <v>9</v>
      </c>
      <c r="D406" t="s">
        <v>10</v>
      </c>
      <c r="E406">
        <v>14024</v>
      </c>
      <c r="F406">
        <v>3593</v>
      </c>
      <c r="G406">
        <v>5</v>
      </c>
      <c r="H406">
        <v>10431</v>
      </c>
      <c r="I406" s="2">
        <f>sa_retail_sales[[#This Row],[Profit]] / sa_retail_sales[[#This Row],[Revenue]]</f>
        <v>0.7437963491158015</v>
      </c>
      <c r="J406">
        <f xml:space="preserve"> YEAR(sa_retail_sales[[#This Row],[Order Date]])</f>
        <v>2024</v>
      </c>
    </row>
    <row r="407" spans="1:10" x14ac:dyDescent="0.3">
      <c r="A407" s="1">
        <v>45570</v>
      </c>
      <c r="B407" t="s">
        <v>18</v>
      </c>
      <c r="C407" t="s">
        <v>14</v>
      </c>
      <c r="D407" t="s">
        <v>10</v>
      </c>
      <c r="E407">
        <v>6901</v>
      </c>
      <c r="F407">
        <v>3629</v>
      </c>
      <c r="G407">
        <v>15</v>
      </c>
      <c r="H407">
        <v>3272</v>
      </c>
      <c r="I407" s="2">
        <f>sa_retail_sales[[#This Row],[Profit]] / sa_retail_sales[[#This Row],[Revenue]]</f>
        <v>0.47413418345167369</v>
      </c>
      <c r="J407">
        <f xml:space="preserve"> YEAR(sa_retail_sales[[#This Row],[Order Date]])</f>
        <v>2024</v>
      </c>
    </row>
    <row r="408" spans="1:10" x14ac:dyDescent="0.3">
      <c r="A408" s="1">
        <v>44657</v>
      </c>
      <c r="B408" t="s">
        <v>11</v>
      </c>
      <c r="C408" t="s">
        <v>9</v>
      </c>
      <c r="D408" t="s">
        <v>19</v>
      </c>
      <c r="E408">
        <v>13317</v>
      </c>
      <c r="F408">
        <v>5108</v>
      </c>
      <c r="G408">
        <v>0</v>
      </c>
      <c r="H408">
        <v>8209</v>
      </c>
      <c r="I408" s="2">
        <f>sa_retail_sales[[#This Row],[Profit]] / sa_retail_sales[[#This Row],[Revenue]]</f>
        <v>0.61643012690545917</v>
      </c>
      <c r="J408">
        <f xml:space="preserve"> YEAR(sa_retail_sales[[#This Row],[Order Date]])</f>
        <v>2022</v>
      </c>
    </row>
    <row r="409" spans="1:10" x14ac:dyDescent="0.3">
      <c r="A409" s="1">
        <v>45224</v>
      </c>
      <c r="B409" t="s">
        <v>8</v>
      </c>
      <c r="C409" t="s">
        <v>14</v>
      </c>
      <c r="D409" t="s">
        <v>12</v>
      </c>
      <c r="E409">
        <v>7572</v>
      </c>
      <c r="F409">
        <v>11930</v>
      </c>
      <c r="G409">
        <v>15</v>
      </c>
      <c r="H409">
        <v>-4358</v>
      </c>
      <c r="I409" s="2">
        <f>sa_retail_sales[[#This Row],[Profit]] / sa_retail_sales[[#This Row],[Revenue]]</f>
        <v>-0.57554146856840993</v>
      </c>
      <c r="J409">
        <f xml:space="preserve"> YEAR(sa_retail_sales[[#This Row],[Order Date]])</f>
        <v>2023</v>
      </c>
    </row>
    <row r="410" spans="1:10" x14ac:dyDescent="0.3">
      <c r="A410" s="1">
        <v>44598</v>
      </c>
      <c r="B410" t="s">
        <v>17</v>
      </c>
      <c r="C410" t="s">
        <v>13</v>
      </c>
      <c r="D410" t="s">
        <v>10</v>
      </c>
      <c r="E410">
        <v>2776</v>
      </c>
      <c r="F410">
        <v>8237</v>
      </c>
      <c r="G410">
        <v>20</v>
      </c>
      <c r="H410">
        <v>-5461</v>
      </c>
      <c r="I410" s="2">
        <f>sa_retail_sales[[#This Row],[Profit]] / sa_retail_sales[[#This Row],[Revenue]]</f>
        <v>-1.9672190201729107</v>
      </c>
      <c r="J410">
        <f xml:space="preserve"> YEAR(sa_retail_sales[[#This Row],[Order Date]])</f>
        <v>2022</v>
      </c>
    </row>
    <row r="411" spans="1:10" x14ac:dyDescent="0.3">
      <c r="A411" s="1">
        <v>44840</v>
      </c>
      <c r="B411" t="s">
        <v>17</v>
      </c>
      <c r="C411" t="s">
        <v>16</v>
      </c>
      <c r="D411" t="s">
        <v>12</v>
      </c>
      <c r="E411">
        <v>7893</v>
      </c>
      <c r="F411">
        <v>524</v>
      </c>
      <c r="G411">
        <v>0</v>
      </c>
      <c r="H411">
        <v>7369</v>
      </c>
      <c r="I411" s="2">
        <f>sa_retail_sales[[#This Row],[Profit]] / sa_retail_sales[[#This Row],[Revenue]]</f>
        <v>0.93361206132015706</v>
      </c>
      <c r="J411">
        <f xml:space="preserve"> YEAR(sa_retail_sales[[#This Row],[Order Date]])</f>
        <v>2022</v>
      </c>
    </row>
    <row r="412" spans="1:10" x14ac:dyDescent="0.3">
      <c r="A412" s="1">
        <v>44778</v>
      </c>
      <c r="B412" t="s">
        <v>8</v>
      </c>
      <c r="C412" t="s">
        <v>14</v>
      </c>
      <c r="D412" t="s">
        <v>10</v>
      </c>
      <c r="E412">
        <v>9287</v>
      </c>
      <c r="F412">
        <v>1037</v>
      </c>
      <c r="G412">
        <v>20</v>
      </c>
      <c r="H412">
        <v>8250</v>
      </c>
      <c r="I412" s="2">
        <f>sa_retail_sales[[#This Row],[Profit]] / sa_retail_sales[[#This Row],[Revenue]]</f>
        <v>0.88833853774092819</v>
      </c>
      <c r="J412">
        <f xml:space="preserve"> YEAR(sa_retail_sales[[#This Row],[Order Date]])</f>
        <v>2022</v>
      </c>
    </row>
    <row r="413" spans="1:10" x14ac:dyDescent="0.3">
      <c r="A413" s="1">
        <v>45428</v>
      </c>
      <c r="B413" t="s">
        <v>11</v>
      </c>
      <c r="C413" t="s">
        <v>16</v>
      </c>
      <c r="D413" t="s">
        <v>10</v>
      </c>
      <c r="E413">
        <v>4374</v>
      </c>
      <c r="F413">
        <v>535</v>
      </c>
      <c r="G413">
        <v>20</v>
      </c>
      <c r="H413">
        <v>3839</v>
      </c>
      <c r="I413" s="2">
        <f>sa_retail_sales[[#This Row],[Profit]] / sa_retail_sales[[#This Row],[Revenue]]</f>
        <v>0.87768632830361226</v>
      </c>
      <c r="J413">
        <f xml:space="preserve"> YEAR(sa_retail_sales[[#This Row],[Order Date]])</f>
        <v>2024</v>
      </c>
    </row>
    <row r="414" spans="1:10" x14ac:dyDescent="0.3">
      <c r="A414" s="1">
        <v>45434</v>
      </c>
      <c r="B414" t="s">
        <v>18</v>
      </c>
      <c r="C414" t="s">
        <v>9</v>
      </c>
      <c r="D414" t="s">
        <v>12</v>
      </c>
      <c r="E414">
        <v>5030</v>
      </c>
      <c r="F414">
        <v>1011</v>
      </c>
      <c r="G414">
        <v>10</v>
      </c>
      <c r="H414">
        <v>4019</v>
      </c>
      <c r="I414" s="2">
        <f>sa_retail_sales[[#This Row],[Profit]] / sa_retail_sales[[#This Row],[Revenue]]</f>
        <v>0.79900596421471171</v>
      </c>
      <c r="J414">
        <f xml:space="preserve"> YEAR(sa_retail_sales[[#This Row],[Order Date]])</f>
        <v>2024</v>
      </c>
    </row>
    <row r="415" spans="1:10" x14ac:dyDescent="0.3">
      <c r="A415" s="1">
        <v>44623</v>
      </c>
      <c r="B415" t="s">
        <v>18</v>
      </c>
      <c r="C415" t="s">
        <v>13</v>
      </c>
      <c r="D415" t="s">
        <v>10</v>
      </c>
      <c r="E415">
        <v>13669</v>
      </c>
      <c r="F415">
        <v>6288</v>
      </c>
      <c r="G415">
        <v>15</v>
      </c>
      <c r="H415">
        <v>7381</v>
      </c>
      <c r="I415" s="2">
        <f>sa_retail_sales[[#This Row],[Profit]] / sa_retail_sales[[#This Row],[Revenue]]</f>
        <v>0.53998097885726826</v>
      </c>
      <c r="J415">
        <f xml:space="preserve"> YEAR(sa_retail_sales[[#This Row],[Order Date]])</f>
        <v>2022</v>
      </c>
    </row>
    <row r="416" spans="1:10" x14ac:dyDescent="0.3">
      <c r="A416" s="1">
        <v>45157</v>
      </c>
      <c r="B416" t="s">
        <v>17</v>
      </c>
      <c r="C416" t="s">
        <v>16</v>
      </c>
      <c r="D416" t="s">
        <v>12</v>
      </c>
      <c r="E416">
        <v>7664</v>
      </c>
      <c r="F416">
        <v>2188</v>
      </c>
      <c r="G416">
        <v>15</v>
      </c>
      <c r="H416">
        <v>5476</v>
      </c>
      <c r="I416" s="2">
        <f>sa_retail_sales[[#This Row],[Profit]] / sa_retail_sales[[#This Row],[Revenue]]</f>
        <v>0.714509394572025</v>
      </c>
      <c r="J416">
        <f xml:space="preserve"> YEAR(sa_retail_sales[[#This Row],[Order Date]])</f>
        <v>2023</v>
      </c>
    </row>
    <row r="417" spans="1:10" x14ac:dyDescent="0.3">
      <c r="A417" s="1">
        <v>45290</v>
      </c>
      <c r="B417" t="s">
        <v>8</v>
      </c>
      <c r="C417" t="s">
        <v>13</v>
      </c>
      <c r="D417" t="s">
        <v>19</v>
      </c>
      <c r="E417">
        <v>14569</v>
      </c>
      <c r="F417">
        <v>7473</v>
      </c>
      <c r="G417">
        <v>10</v>
      </c>
      <c r="H417">
        <v>7096</v>
      </c>
      <c r="I417" s="2">
        <f>sa_retail_sales[[#This Row],[Profit]] / sa_retail_sales[[#This Row],[Revenue]]</f>
        <v>0.48706156908504361</v>
      </c>
      <c r="J417">
        <f xml:space="preserve"> YEAR(sa_retail_sales[[#This Row],[Order Date]])</f>
        <v>2023</v>
      </c>
    </row>
    <row r="418" spans="1:10" x14ac:dyDescent="0.3">
      <c r="A418" s="1">
        <v>44958</v>
      </c>
      <c r="B418" t="s">
        <v>17</v>
      </c>
      <c r="C418" t="s">
        <v>16</v>
      </c>
      <c r="D418" t="s">
        <v>12</v>
      </c>
      <c r="E418">
        <v>4997</v>
      </c>
      <c r="F418">
        <v>1559</v>
      </c>
      <c r="G418">
        <v>15</v>
      </c>
      <c r="H418">
        <v>3438</v>
      </c>
      <c r="I418" s="2">
        <f>sa_retail_sales[[#This Row],[Profit]] / sa_retail_sales[[#This Row],[Revenue]]</f>
        <v>0.68801280768461082</v>
      </c>
      <c r="J418">
        <f xml:space="preserve"> YEAR(sa_retail_sales[[#This Row],[Order Date]])</f>
        <v>2023</v>
      </c>
    </row>
    <row r="419" spans="1:10" x14ac:dyDescent="0.3">
      <c r="A419" s="1">
        <v>45260</v>
      </c>
      <c r="B419" t="s">
        <v>8</v>
      </c>
      <c r="C419" t="s">
        <v>9</v>
      </c>
      <c r="D419" t="s">
        <v>19</v>
      </c>
      <c r="E419">
        <v>11361</v>
      </c>
      <c r="F419">
        <v>5546</v>
      </c>
      <c r="G419">
        <v>10</v>
      </c>
      <c r="H419">
        <v>5815</v>
      </c>
      <c r="I419" s="2">
        <f>sa_retail_sales[[#This Row],[Profit]] / sa_retail_sales[[#This Row],[Revenue]]</f>
        <v>0.51183874658920869</v>
      </c>
      <c r="J419">
        <f xml:space="preserve"> YEAR(sa_retail_sales[[#This Row],[Order Date]])</f>
        <v>2023</v>
      </c>
    </row>
    <row r="420" spans="1:10" x14ac:dyDescent="0.3">
      <c r="A420" s="1">
        <v>45604</v>
      </c>
      <c r="B420" t="s">
        <v>18</v>
      </c>
      <c r="C420" t="s">
        <v>9</v>
      </c>
      <c r="D420" t="s">
        <v>10</v>
      </c>
      <c r="E420">
        <v>8433</v>
      </c>
      <c r="F420">
        <v>7571</v>
      </c>
      <c r="G420">
        <v>0</v>
      </c>
      <c r="H420">
        <v>862</v>
      </c>
      <c r="I420" s="2">
        <f>sa_retail_sales[[#This Row],[Profit]] / sa_retail_sales[[#This Row],[Revenue]]</f>
        <v>0.10221747895173722</v>
      </c>
      <c r="J420">
        <f xml:space="preserve"> YEAR(sa_retail_sales[[#This Row],[Order Date]])</f>
        <v>2024</v>
      </c>
    </row>
    <row r="421" spans="1:10" x14ac:dyDescent="0.3">
      <c r="A421" s="1">
        <v>44738</v>
      </c>
      <c r="B421" t="s">
        <v>11</v>
      </c>
      <c r="C421" t="s">
        <v>13</v>
      </c>
      <c r="D421" t="s">
        <v>12</v>
      </c>
      <c r="E421">
        <v>2635</v>
      </c>
      <c r="F421">
        <v>1048</v>
      </c>
      <c r="G421">
        <v>20</v>
      </c>
      <c r="H421">
        <v>1587</v>
      </c>
      <c r="I421" s="2">
        <f>sa_retail_sales[[#This Row],[Profit]] / sa_retail_sales[[#This Row],[Revenue]]</f>
        <v>0.60227703984819736</v>
      </c>
      <c r="J421">
        <f xml:space="preserve"> YEAR(sa_retail_sales[[#This Row],[Order Date]])</f>
        <v>2022</v>
      </c>
    </row>
    <row r="422" spans="1:10" x14ac:dyDescent="0.3">
      <c r="A422" s="1">
        <v>44957</v>
      </c>
      <c r="B422" t="s">
        <v>8</v>
      </c>
      <c r="C422" t="s">
        <v>9</v>
      </c>
      <c r="D422" t="s">
        <v>10</v>
      </c>
      <c r="E422">
        <v>7227</v>
      </c>
      <c r="F422">
        <v>3851</v>
      </c>
      <c r="G422">
        <v>20</v>
      </c>
      <c r="H422">
        <v>3376</v>
      </c>
      <c r="I422" s="2">
        <f>sa_retail_sales[[#This Row],[Profit]] / sa_retail_sales[[#This Row],[Revenue]]</f>
        <v>0.46713712467137125</v>
      </c>
      <c r="J422">
        <f xml:space="preserve"> YEAR(sa_retail_sales[[#This Row],[Order Date]])</f>
        <v>2023</v>
      </c>
    </row>
    <row r="423" spans="1:10" x14ac:dyDescent="0.3">
      <c r="A423" s="1">
        <v>45006</v>
      </c>
      <c r="B423" t="s">
        <v>18</v>
      </c>
      <c r="C423" t="s">
        <v>14</v>
      </c>
      <c r="D423" t="s">
        <v>12</v>
      </c>
      <c r="E423">
        <v>12656</v>
      </c>
      <c r="F423">
        <v>6700</v>
      </c>
      <c r="G423">
        <v>15</v>
      </c>
      <c r="H423">
        <v>5956</v>
      </c>
      <c r="I423" s="2">
        <f>sa_retail_sales[[#This Row],[Profit]] / sa_retail_sales[[#This Row],[Revenue]]</f>
        <v>0.47060682680151705</v>
      </c>
      <c r="J423">
        <f xml:space="preserve"> YEAR(sa_retail_sales[[#This Row],[Order Date]])</f>
        <v>2023</v>
      </c>
    </row>
    <row r="424" spans="1:10" x14ac:dyDescent="0.3">
      <c r="A424" s="1">
        <v>44637</v>
      </c>
      <c r="B424" t="s">
        <v>17</v>
      </c>
      <c r="C424" t="s">
        <v>16</v>
      </c>
      <c r="D424" t="s">
        <v>19</v>
      </c>
      <c r="E424">
        <v>2065</v>
      </c>
      <c r="F424">
        <v>6943</v>
      </c>
      <c r="G424">
        <v>5</v>
      </c>
      <c r="H424">
        <v>-4878</v>
      </c>
      <c r="I424" s="2">
        <f>sa_retail_sales[[#This Row],[Profit]] / sa_retail_sales[[#This Row],[Revenue]]</f>
        <v>-2.3622276029055689</v>
      </c>
      <c r="J424">
        <f xml:space="preserve"> YEAR(sa_retail_sales[[#This Row],[Order Date]])</f>
        <v>2022</v>
      </c>
    </row>
    <row r="425" spans="1:10" x14ac:dyDescent="0.3">
      <c r="A425" s="1">
        <v>44826</v>
      </c>
      <c r="B425" t="s">
        <v>8</v>
      </c>
      <c r="C425" t="s">
        <v>9</v>
      </c>
      <c r="D425" t="s">
        <v>19</v>
      </c>
      <c r="E425">
        <v>808</v>
      </c>
      <c r="F425">
        <v>9001</v>
      </c>
      <c r="G425">
        <v>20</v>
      </c>
      <c r="H425">
        <v>-8193</v>
      </c>
      <c r="I425" s="2">
        <f>sa_retail_sales[[#This Row],[Profit]] / sa_retail_sales[[#This Row],[Revenue]]</f>
        <v>-10.139851485148515</v>
      </c>
      <c r="J425">
        <f xml:space="preserve"> YEAR(sa_retail_sales[[#This Row],[Order Date]])</f>
        <v>2022</v>
      </c>
    </row>
    <row r="426" spans="1:10" x14ac:dyDescent="0.3">
      <c r="A426" s="1">
        <v>45016</v>
      </c>
      <c r="B426" t="s">
        <v>11</v>
      </c>
      <c r="C426" t="s">
        <v>14</v>
      </c>
      <c r="D426" t="s">
        <v>12</v>
      </c>
      <c r="E426">
        <v>9034</v>
      </c>
      <c r="F426">
        <v>2123</v>
      </c>
      <c r="G426">
        <v>10</v>
      </c>
      <c r="H426">
        <v>6911</v>
      </c>
      <c r="I426" s="2">
        <f>sa_retail_sales[[#This Row],[Profit]] / sa_retail_sales[[#This Row],[Revenue]]</f>
        <v>0.76499889307062208</v>
      </c>
      <c r="J426">
        <f xml:space="preserve"> YEAR(sa_retail_sales[[#This Row],[Order Date]])</f>
        <v>2023</v>
      </c>
    </row>
    <row r="427" spans="1:10" x14ac:dyDescent="0.3">
      <c r="A427" s="1">
        <v>45279</v>
      </c>
      <c r="B427" t="s">
        <v>17</v>
      </c>
      <c r="C427" t="s">
        <v>13</v>
      </c>
      <c r="D427" t="s">
        <v>19</v>
      </c>
      <c r="E427">
        <v>9127</v>
      </c>
      <c r="F427">
        <v>7152</v>
      </c>
      <c r="G427">
        <v>5</v>
      </c>
      <c r="H427">
        <v>1975</v>
      </c>
      <c r="I427" s="2">
        <f>sa_retail_sales[[#This Row],[Profit]] / sa_retail_sales[[#This Row],[Revenue]]</f>
        <v>0.21639092801577736</v>
      </c>
      <c r="J427">
        <f xml:space="preserve"> YEAR(sa_retail_sales[[#This Row],[Order Date]])</f>
        <v>2023</v>
      </c>
    </row>
    <row r="428" spans="1:10" x14ac:dyDescent="0.3">
      <c r="A428" s="1">
        <v>45296</v>
      </c>
      <c r="B428" t="s">
        <v>17</v>
      </c>
      <c r="C428" t="s">
        <v>14</v>
      </c>
      <c r="D428" t="s">
        <v>10</v>
      </c>
      <c r="E428">
        <v>8868</v>
      </c>
      <c r="F428">
        <v>11433</v>
      </c>
      <c r="G428">
        <v>5</v>
      </c>
      <c r="H428">
        <v>-2565</v>
      </c>
      <c r="I428" s="2">
        <f>sa_retail_sales[[#This Row],[Profit]] / sa_retail_sales[[#This Row],[Revenue]]</f>
        <v>-0.28924221921515564</v>
      </c>
      <c r="J428">
        <f xml:space="preserve"> YEAR(sa_retail_sales[[#This Row],[Order Date]])</f>
        <v>2024</v>
      </c>
    </row>
    <row r="429" spans="1:10" x14ac:dyDescent="0.3">
      <c r="A429" s="1">
        <v>45412</v>
      </c>
      <c r="B429" t="s">
        <v>18</v>
      </c>
      <c r="C429" t="s">
        <v>13</v>
      </c>
      <c r="D429" t="s">
        <v>10</v>
      </c>
      <c r="E429">
        <v>638</v>
      </c>
      <c r="F429">
        <v>8077</v>
      </c>
      <c r="G429">
        <v>20</v>
      </c>
      <c r="H429">
        <v>-7439</v>
      </c>
      <c r="I429" s="2">
        <f>sa_retail_sales[[#This Row],[Profit]] / sa_retail_sales[[#This Row],[Revenue]]</f>
        <v>-11.659874608150471</v>
      </c>
      <c r="J429">
        <f xml:space="preserve"> YEAR(sa_retail_sales[[#This Row],[Order Date]])</f>
        <v>2024</v>
      </c>
    </row>
    <row r="430" spans="1:10" x14ac:dyDescent="0.3">
      <c r="A430" s="1">
        <v>44705</v>
      </c>
      <c r="B430" t="s">
        <v>8</v>
      </c>
      <c r="C430" t="s">
        <v>13</v>
      </c>
      <c r="D430" t="s">
        <v>15</v>
      </c>
      <c r="E430">
        <v>693</v>
      </c>
      <c r="F430">
        <v>4532</v>
      </c>
      <c r="G430">
        <v>20</v>
      </c>
      <c r="H430">
        <v>-3839</v>
      </c>
      <c r="I430" s="2">
        <f>sa_retail_sales[[#This Row],[Profit]] / sa_retail_sales[[#This Row],[Revenue]]</f>
        <v>-5.5396825396825395</v>
      </c>
      <c r="J430">
        <f xml:space="preserve"> YEAR(sa_retail_sales[[#This Row],[Order Date]])</f>
        <v>2022</v>
      </c>
    </row>
    <row r="431" spans="1:10" x14ac:dyDescent="0.3">
      <c r="A431" s="1">
        <v>45446</v>
      </c>
      <c r="B431" t="s">
        <v>17</v>
      </c>
      <c r="C431" t="s">
        <v>16</v>
      </c>
      <c r="D431" t="s">
        <v>19</v>
      </c>
      <c r="E431">
        <v>3757</v>
      </c>
      <c r="F431">
        <v>6819</v>
      </c>
      <c r="G431">
        <v>20</v>
      </c>
      <c r="H431">
        <v>-3062</v>
      </c>
      <c r="I431" s="2">
        <f>sa_retail_sales[[#This Row],[Profit]] / sa_retail_sales[[#This Row],[Revenue]]</f>
        <v>-0.81501197764173539</v>
      </c>
      <c r="J431">
        <f xml:space="preserve"> YEAR(sa_retail_sales[[#This Row],[Order Date]])</f>
        <v>2024</v>
      </c>
    </row>
    <row r="432" spans="1:10" x14ac:dyDescent="0.3">
      <c r="A432" s="1">
        <v>45654</v>
      </c>
      <c r="B432" t="s">
        <v>11</v>
      </c>
      <c r="C432" t="s">
        <v>16</v>
      </c>
      <c r="D432" t="s">
        <v>10</v>
      </c>
      <c r="E432">
        <v>3735</v>
      </c>
      <c r="F432">
        <v>10626</v>
      </c>
      <c r="G432">
        <v>10</v>
      </c>
      <c r="H432">
        <v>-6891</v>
      </c>
      <c r="I432" s="2">
        <f>sa_retail_sales[[#This Row],[Profit]] / sa_retail_sales[[#This Row],[Revenue]]</f>
        <v>-1.8449799196787149</v>
      </c>
      <c r="J432">
        <f xml:space="preserve"> YEAR(sa_retail_sales[[#This Row],[Order Date]])</f>
        <v>2024</v>
      </c>
    </row>
    <row r="433" spans="1:10" x14ac:dyDescent="0.3">
      <c r="A433" s="1">
        <v>44957</v>
      </c>
      <c r="B433" t="s">
        <v>8</v>
      </c>
      <c r="C433" t="s">
        <v>14</v>
      </c>
      <c r="D433" t="s">
        <v>12</v>
      </c>
      <c r="E433">
        <v>13972</v>
      </c>
      <c r="F433">
        <v>2077</v>
      </c>
      <c r="G433">
        <v>5</v>
      </c>
      <c r="H433">
        <v>11895</v>
      </c>
      <c r="I433" s="2">
        <f>sa_retail_sales[[#This Row],[Profit]] / sa_retail_sales[[#This Row],[Revenue]]</f>
        <v>0.85134554823933584</v>
      </c>
      <c r="J433">
        <f xml:space="preserve"> YEAR(sa_retail_sales[[#This Row],[Order Date]])</f>
        <v>2023</v>
      </c>
    </row>
    <row r="434" spans="1:10" x14ac:dyDescent="0.3">
      <c r="A434" s="1">
        <v>45610</v>
      </c>
      <c r="B434" t="s">
        <v>11</v>
      </c>
      <c r="C434" t="s">
        <v>16</v>
      </c>
      <c r="D434" t="s">
        <v>19</v>
      </c>
      <c r="E434">
        <v>1442</v>
      </c>
      <c r="F434">
        <v>1522</v>
      </c>
      <c r="G434">
        <v>15</v>
      </c>
      <c r="H434">
        <v>-80</v>
      </c>
      <c r="I434" s="2">
        <f>sa_retail_sales[[#This Row],[Profit]] / sa_retail_sales[[#This Row],[Revenue]]</f>
        <v>-5.5478502080443831E-2</v>
      </c>
      <c r="J434">
        <f xml:space="preserve"> YEAR(sa_retail_sales[[#This Row],[Order Date]])</f>
        <v>2024</v>
      </c>
    </row>
    <row r="435" spans="1:10" x14ac:dyDescent="0.3">
      <c r="A435" s="1">
        <v>45509</v>
      </c>
      <c r="B435" t="s">
        <v>17</v>
      </c>
      <c r="C435" t="s">
        <v>16</v>
      </c>
      <c r="D435" t="s">
        <v>10</v>
      </c>
      <c r="E435">
        <v>5120</v>
      </c>
      <c r="F435">
        <v>7930</v>
      </c>
      <c r="G435">
        <v>10</v>
      </c>
      <c r="H435">
        <v>-2810</v>
      </c>
      <c r="I435" s="2">
        <f>sa_retail_sales[[#This Row],[Profit]] / sa_retail_sales[[#This Row],[Revenue]]</f>
        <v>-0.548828125</v>
      </c>
      <c r="J435">
        <f xml:space="preserve"> YEAR(sa_retail_sales[[#This Row],[Order Date]])</f>
        <v>2024</v>
      </c>
    </row>
    <row r="436" spans="1:10" x14ac:dyDescent="0.3">
      <c r="A436" s="1">
        <v>45452</v>
      </c>
      <c r="B436" t="s">
        <v>11</v>
      </c>
      <c r="C436" t="s">
        <v>16</v>
      </c>
      <c r="D436" t="s">
        <v>19</v>
      </c>
      <c r="E436">
        <v>12571</v>
      </c>
      <c r="F436">
        <v>2077</v>
      </c>
      <c r="G436">
        <v>0</v>
      </c>
      <c r="H436">
        <v>10494</v>
      </c>
      <c r="I436" s="2">
        <f>sa_retail_sales[[#This Row],[Profit]] / sa_retail_sales[[#This Row],[Revenue]]</f>
        <v>0.83477845835653486</v>
      </c>
      <c r="J436">
        <f xml:space="preserve"> YEAR(sa_retail_sales[[#This Row],[Order Date]])</f>
        <v>2024</v>
      </c>
    </row>
    <row r="437" spans="1:10" x14ac:dyDescent="0.3">
      <c r="A437" s="1">
        <v>45130</v>
      </c>
      <c r="B437" t="s">
        <v>18</v>
      </c>
      <c r="C437" t="s">
        <v>14</v>
      </c>
      <c r="D437" t="s">
        <v>12</v>
      </c>
      <c r="E437">
        <v>6220</v>
      </c>
      <c r="F437">
        <v>9796</v>
      </c>
      <c r="G437">
        <v>20</v>
      </c>
      <c r="H437">
        <v>-3576</v>
      </c>
      <c r="I437" s="2">
        <f>sa_retail_sales[[#This Row],[Profit]] / sa_retail_sales[[#This Row],[Revenue]]</f>
        <v>-0.57491961414790993</v>
      </c>
      <c r="J437">
        <f xml:space="preserve"> YEAR(sa_retail_sales[[#This Row],[Order Date]])</f>
        <v>2023</v>
      </c>
    </row>
    <row r="438" spans="1:10" x14ac:dyDescent="0.3">
      <c r="A438" s="1">
        <v>45624</v>
      </c>
      <c r="B438" t="s">
        <v>11</v>
      </c>
      <c r="C438" t="s">
        <v>9</v>
      </c>
      <c r="D438" t="s">
        <v>10</v>
      </c>
      <c r="E438">
        <v>11805</v>
      </c>
      <c r="F438">
        <v>7790</v>
      </c>
      <c r="G438">
        <v>5</v>
      </c>
      <c r="H438">
        <v>4015</v>
      </c>
      <c r="I438" s="2">
        <f>sa_retail_sales[[#This Row],[Profit]] / sa_retail_sales[[#This Row],[Revenue]]</f>
        <v>0.34011012282930964</v>
      </c>
      <c r="J438">
        <f xml:space="preserve"> YEAR(sa_retail_sales[[#This Row],[Order Date]])</f>
        <v>2024</v>
      </c>
    </row>
    <row r="439" spans="1:10" x14ac:dyDescent="0.3">
      <c r="A439" s="1">
        <v>44670</v>
      </c>
      <c r="B439" t="s">
        <v>8</v>
      </c>
      <c r="C439" t="s">
        <v>16</v>
      </c>
      <c r="D439" t="s">
        <v>15</v>
      </c>
      <c r="E439">
        <v>11654</v>
      </c>
      <c r="F439">
        <v>5159</v>
      </c>
      <c r="G439">
        <v>10</v>
      </c>
      <c r="H439">
        <v>6495</v>
      </c>
      <c r="I439" s="2">
        <f>sa_retail_sales[[#This Row],[Profit]] / sa_retail_sales[[#This Row],[Revenue]]</f>
        <v>0.55731937532177789</v>
      </c>
      <c r="J439">
        <f xml:space="preserve"> YEAR(sa_retail_sales[[#This Row],[Order Date]])</f>
        <v>2022</v>
      </c>
    </row>
    <row r="440" spans="1:10" x14ac:dyDescent="0.3">
      <c r="A440" s="1">
        <v>45627</v>
      </c>
      <c r="B440" t="s">
        <v>11</v>
      </c>
      <c r="C440" t="s">
        <v>16</v>
      </c>
      <c r="D440" t="s">
        <v>15</v>
      </c>
      <c r="E440">
        <v>6853</v>
      </c>
      <c r="F440">
        <v>9193</v>
      </c>
      <c r="G440">
        <v>0</v>
      </c>
      <c r="H440">
        <v>-2340</v>
      </c>
      <c r="I440" s="2">
        <f>sa_retail_sales[[#This Row],[Profit]] / sa_retail_sales[[#This Row],[Revenue]]</f>
        <v>-0.34145629651247628</v>
      </c>
      <c r="J440">
        <f xml:space="preserve"> YEAR(sa_retail_sales[[#This Row],[Order Date]])</f>
        <v>2024</v>
      </c>
    </row>
    <row r="441" spans="1:10" x14ac:dyDescent="0.3">
      <c r="A441" s="1">
        <v>45496</v>
      </c>
      <c r="B441" t="s">
        <v>11</v>
      </c>
      <c r="C441" t="s">
        <v>14</v>
      </c>
      <c r="D441" t="s">
        <v>19</v>
      </c>
      <c r="E441">
        <v>13528</v>
      </c>
      <c r="F441">
        <v>8418</v>
      </c>
      <c r="G441">
        <v>10</v>
      </c>
      <c r="H441">
        <v>5110</v>
      </c>
      <c r="I441" s="2">
        <f>sa_retail_sales[[#This Row],[Profit]] / sa_retail_sales[[#This Row],[Revenue]]</f>
        <v>0.37773506800709639</v>
      </c>
      <c r="J441">
        <f xml:space="preserve"> YEAR(sa_retail_sales[[#This Row],[Order Date]])</f>
        <v>2024</v>
      </c>
    </row>
    <row r="442" spans="1:10" x14ac:dyDescent="0.3">
      <c r="A442" s="1">
        <v>44959</v>
      </c>
      <c r="B442" t="s">
        <v>18</v>
      </c>
      <c r="C442" t="s">
        <v>9</v>
      </c>
      <c r="D442" t="s">
        <v>12</v>
      </c>
      <c r="E442">
        <v>5457</v>
      </c>
      <c r="F442">
        <v>3289</v>
      </c>
      <c r="G442">
        <v>10</v>
      </c>
      <c r="H442">
        <v>2168</v>
      </c>
      <c r="I442" s="2">
        <f>sa_retail_sales[[#This Row],[Profit]] / sa_retail_sales[[#This Row],[Revenue]]</f>
        <v>0.39728788711746382</v>
      </c>
      <c r="J442">
        <f xml:space="preserve"> YEAR(sa_retail_sales[[#This Row],[Order Date]])</f>
        <v>2023</v>
      </c>
    </row>
    <row r="443" spans="1:10" x14ac:dyDescent="0.3">
      <c r="A443" s="1">
        <v>45195</v>
      </c>
      <c r="B443" t="s">
        <v>11</v>
      </c>
      <c r="C443" t="s">
        <v>16</v>
      </c>
      <c r="D443" t="s">
        <v>10</v>
      </c>
      <c r="E443">
        <v>9645</v>
      </c>
      <c r="F443">
        <v>8643</v>
      </c>
      <c r="G443">
        <v>15</v>
      </c>
      <c r="H443">
        <v>1002</v>
      </c>
      <c r="I443" s="2">
        <f>sa_retail_sales[[#This Row],[Profit]] / sa_retail_sales[[#This Row],[Revenue]]</f>
        <v>0.10388802488335926</v>
      </c>
      <c r="J443">
        <f xml:space="preserve"> YEAR(sa_retail_sales[[#This Row],[Order Date]])</f>
        <v>2023</v>
      </c>
    </row>
    <row r="444" spans="1:10" x14ac:dyDescent="0.3">
      <c r="A444" s="1">
        <v>45294</v>
      </c>
      <c r="B444" t="s">
        <v>11</v>
      </c>
      <c r="C444" t="s">
        <v>13</v>
      </c>
      <c r="D444" t="s">
        <v>12</v>
      </c>
      <c r="E444">
        <v>9994</v>
      </c>
      <c r="F444">
        <v>1625</v>
      </c>
      <c r="G444">
        <v>15</v>
      </c>
      <c r="H444">
        <v>8369</v>
      </c>
      <c r="I444" s="2">
        <f>sa_retail_sales[[#This Row],[Profit]] / sa_retail_sales[[#This Row],[Revenue]]</f>
        <v>0.83740244146487897</v>
      </c>
      <c r="J444">
        <f xml:space="preserve"> YEAR(sa_retail_sales[[#This Row],[Order Date]])</f>
        <v>2024</v>
      </c>
    </row>
    <row r="445" spans="1:10" x14ac:dyDescent="0.3">
      <c r="A445" s="1">
        <v>44796</v>
      </c>
      <c r="B445" t="s">
        <v>17</v>
      </c>
      <c r="C445" t="s">
        <v>14</v>
      </c>
      <c r="D445" t="s">
        <v>10</v>
      </c>
      <c r="E445">
        <v>14062</v>
      </c>
      <c r="F445">
        <v>9793</v>
      </c>
      <c r="G445">
        <v>10</v>
      </c>
      <c r="H445">
        <v>4269</v>
      </c>
      <c r="I445" s="2">
        <f>sa_retail_sales[[#This Row],[Profit]] / sa_retail_sales[[#This Row],[Revenue]]</f>
        <v>0.30358412743564217</v>
      </c>
      <c r="J445">
        <f xml:space="preserve"> YEAR(sa_retail_sales[[#This Row],[Order Date]])</f>
        <v>2022</v>
      </c>
    </row>
    <row r="446" spans="1:10" x14ac:dyDescent="0.3">
      <c r="A446" s="1">
        <v>45219</v>
      </c>
      <c r="B446" t="s">
        <v>17</v>
      </c>
      <c r="C446" t="s">
        <v>16</v>
      </c>
      <c r="D446" t="s">
        <v>19</v>
      </c>
      <c r="E446">
        <v>3881</v>
      </c>
      <c r="F446">
        <v>10203</v>
      </c>
      <c r="G446">
        <v>0</v>
      </c>
      <c r="H446">
        <v>-6322</v>
      </c>
      <c r="I446" s="2">
        <f>sa_retail_sales[[#This Row],[Profit]] / sa_retail_sales[[#This Row],[Revenue]]</f>
        <v>-1.6289616078330327</v>
      </c>
      <c r="J446">
        <f xml:space="preserve"> YEAR(sa_retail_sales[[#This Row],[Order Date]])</f>
        <v>2023</v>
      </c>
    </row>
    <row r="447" spans="1:10" x14ac:dyDescent="0.3">
      <c r="A447" s="1">
        <v>45312</v>
      </c>
      <c r="B447" t="s">
        <v>8</v>
      </c>
      <c r="C447" t="s">
        <v>16</v>
      </c>
      <c r="D447" t="s">
        <v>10</v>
      </c>
      <c r="E447">
        <v>6339</v>
      </c>
      <c r="F447">
        <v>5427</v>
      </c>
      <c r="G447">
        <v>5</v>
      </c>
      <c r="H447">
        <v>912</v>
      </c>
      <c r="I447" s="2">
        <f>sa_retail_sales[[#This Row],[Profit]] / sa_retail_sales[[#This Row],[Revenue]]</f>
        <v>0.14387127307146239</v>
      </c>
      <c r="J447">
        <f xml:space="preserve"> YEAR(sa_retail_sales[[#This Row],[Order Date]])</f>
        <v>2024</v>
      </c>
    </row>
    <row r="448" spans="1:10" x14ac:dyDescent="0.3">
      <c r="A448" s="1">
        <v>45149</v>
      </c>
      <c r="B448" t="s">
        <v>17</v>
      </c>
      <c r="C448" t="s">
        <v>13</v>
      </c>
      <c r="D448" t="s">
        <v>12</v>
      </c>
      <c r="E448">
        <v>3380</v>
      </c>
      <c r="F448">
        <v>9298</v>
      </c>
      <c r="G448">
        <v>5</v>
      </c>
      <c r="H448">
        <v>-5918</v>
      </c>
      <c r="I448" s="2">
        <f>sa_retail_sales[[#This Row],[Profit]] / sa_retail_sales[[#This Row],[Revenue]]</f>
        <v>-1.7508875739644971</v>
      </c>
      <c r="J448">
        <f xml:space="preserve"> YEAR(sa_retail_sales[[#This Row],[Order Date]])</f>
        <v>2023</v>
      </c>
    </row>
    <row r="449" spans="1:10" x14ac:dyDescent="0.3">
      <c r="A449" s="1">
        <v>45594</v>
      </c>
      <c r="B449" t="s">
        <v>17</v>
      </c>
      <c r="C449" t="s">
        <v>13</v>
      </c>
      <c r="D449" t="s">
        <v>12</v>
      </c>
      <c r="E449">
        <v>10879</v>
      </c>
      <c r="F449">
        <v>3022</v>
      </c>
      <c r="G449">
        <v>20</v>
      </c>
      <c r="H449">
        <v>7857</v>
      </c>
      <c r="I449" s="2">
        <f>sa_retail_sales[[#This Row],[Profit]] / sa_retail_sales[[#This Row],[Revenue]]</f>
        <v>0.72221711554370804</v>
      </c>
      <c r="J449">
        <f xml:space="preserve"> YEAR(sa_retail_sales[[#This Row],[Order Date]])</f>
        <v>2024</v>
      </c>
    </row>
    <row r="450" spans="1:10" x14ac:dyDescent="0.3">
      <c r="A450" s="1">
        <v>45515</v>
      </c>
      <c r="B450" t="s">
        <v>17</v>
      </c>
      <c r="C450" t="s">
        <v>14</v>
      </c>
      <c r="D450" t="s">
        <v>19</v>
      </c>
      <c r="E450">
        <v>5387</v>
      </c>
      <c r="F450">
        <v>4956</v>
      </c>
      <c r="G450">
        <v>20</v>
      </c>
      <c r="H450">
        <v>431</v>
      </c>
      <c r="I450" s="2">
        <f>sa_retail_sales[[#This Row],[Profit]] / sa_retail_sales[[#This Row],[Revenue]]</f>
        <v>8.000742528308892E-2</v>
      </c>
      <c r="J450">
        <f xml:space="preserve"> YEAR(sa_retail_sales[[#This Row],[Order Date]])</f>
        <v>2024</v>
      </c>
    </row>
    <row r="451" spans="1:10" x14ac:dyDescent="0.3">
      <c r="A451" s="1">
        <v>45053</v>
      </c>
      <c r="B451" t="s">
        <v>17</v>
      </c>
      <c r="C451" t="s">
        <v>14</v>
      </c>
      <c r="D451" t="s">
        <v>12</v>
      </c>
      <c r="E451">
        <v>1045</v>
      </c>
      <c r="F451">
        <v>1625</v>
      </c>
      <c r="G451">
        <v>5</v>
      </c>
      <c r="H451">
        <v>-580</v>
      </c>
      <c r="I451" s="2">
        <f>sa_retail_sales[[#This Row],[Profit]] / sa_retail_sales[[#This Row],[Revenue]]</f>
        <v>-0.55502392344497609</v>
      </c>
      <c r="J451">
        <f xml:space="preserve"> YEAR(sa_retail_sales[[#This Row],[Order Date]])</f>
        <v>2023</v>
      </c>
    </row>
    <row r="452" spans="1:10" x14ac:dyDescent="0.3">
      <c r="A452" s="1">
        <v>45474</v>
      </c>
      <c r="B452" t="s">
        <v>18</v>
      </c>
      <c r="C452" t="s">
        <v>13</v>
      </c>
      <c r="D452" t="s">
        <v>10</v>
      </c>
      <c r="E452">
        <v>14632</v>
      </c>
      <c r="F452">
        <v>4433</v>
      </c>
      <c r="G452">
        <v>10</v>
      </c>
      <c r="H452">
        <v>10199</v>
      </c>
      <c r="I452" s="2">
        <f>sa_retail_sales[[#This Row],[Profit]] / sa_retail_sales[[#This Row],[Revenue]]</f>
        <v>0.69703389830508478</v>
      </c>
      <c r="J452">
        <f xml:space="preserve"> YEAR(sa_retail_sales[[#This Row],[Order Date]])</f>
        <v>2024</v>
      </c>
    </row>
    <row r="453" spans="1:10" x14ac:dyDescent="0.3">
      <c r="A453" s="1">
        <v>44731</v>
      </c>
      <c r="B453" t="s">
        <v>17</v>
      </c>
      <c r="C453" t="s">
        <v>14</v>
      </c>
      <c r="D453" t="s">
        <v>19</v>
      </c>
      <c r="E453">
        <v>13804</v>
      </c>
      <c r="F453">
        <v>9651</v>
      </c>
      <c r="G453">
        <v>10</v>
      </c>
      <c r="H453">
        <v>4153</v>
      </c>
      <c r="I453" s="2">
        <f>sa_retail_sales[[#This Row],[Profit]] / sa_retail_sales[[#This Row],[Revenue]]</f>
        <v>0.30085482468849611</v>
      </c>
      <c r="J453">
        <f xml:space="preserve"> YEAR(sa_retail_sales[[#This Row],[Order Date]])</f>
        <v>2022</v>
      </c>
    </row>
    <row r="454" spans="1:10" x14ac:dyDescent="0.3">
      <c r="A454" s="1">
        <v>45507</v>
      </c>
      <c r="B454" t="s">
        <v>18</v>
      </c>
      <c r="C454" t="s">
        <v>13</v>
      </c>
      <c r="D454" t="s">
        <v>10</v>
      </c>
      <c r="E454">
        <v>2427</v>
      </c>
      <c r="F454">
        <v>3169</v>
      </c>
      <c r="G454">
        <v>15</v>
      </c>
      <c r="H454">
        <v>-742</v>
      </c>
      <c r="I454" s="2">
        <f>sa_retail_sales[[#This Row],[Profit]] / sa_retail_sales[[#This Row],[Revenue]]</f>
        <v>-0.30572723526988049</v>
      </c>
      <c r="J454">
        <f xml:space="preserve"> YEAR(sa_retail_sales[[#This Row],[Order Date]])</f>
        <v>2024</v>
      </c>
    </row>
    <row r="455" spans="1:10" x14ac:dyDescent="0.3">
      <c r="A455" s="1">
        <v>45356</v>
      </c>
      <c r="B455" t="s">
        <v>18</v>
      </c>
      <c r="C455" t="s">
        <v>16</v>
      </c>
      <c r="D455" t="s">
        <v>12</v>
      </c>
      <c r="E455">
        <v>14341</v>
      </c>
      <c r="F455">
        <v>1542</v>
      </c>
      <c r="G455">
        <v>15</v>
      </c>
      <c r="H455">
        <v>12799</v>
      </c>
      <c r="I455" s="2">
        <f>sa_retail_sales[[#This Row],[Profit]] / sa_retail_sales[[#This Row],[Revenue]]</f>
        <v>0.8924761174255631</v>
      </c>
      <c r="J455">
        <f xml:space="preserve"> YEAR(sa_retail_sales[[#This Row],[Order Date]])</f>
        <v>2024</v>
      </c>
    </row>
    <row r="456" spans="1:10" x14ac:dyDescent="0.3">
      <c r="A456" s="1">
        <v>45195</v>
      </c>
      <c r="B456" t="s">
        <v>17</v>
      </c>
      <c r="C456" t="s">
        <v>13</v>
      </c>
      <c r="D456" t="s">
        <v>19</v>
      </c>
      <c r="E456">
        <v>4652</v>
      </c>
      <c r="F456">
        <v>8839</v>
      </c>
      <c r="G456">
        <v>20</v>
      </c>
      <c r="H456">
        <v>-4187</v>
      </c>
      <c r="I456" s="2">
        <f>sa_retail_sales[[#This Row],[Profit]] / sa_retail_sales[[#This Row],[Revenue]]</f>
        <v>-0.90004299226139295</v>
      </c>
      <c r="J456">
        <f xml:space="preserve"> YEAR(sa_retail_sales[[#This Row],[Order Date]])</f>
        <v>2023</v>
      </c>
    </row>
    <row r="457" spans="1:10" x14ac:dyDescent="0.3">
      <c r="A457" s="1">
        <v>44590</v>
      </c>
      <c r="B457" t="s">
        <v>11</v>
      </c>
      <c r="C457" t="s">
        <v>13</v>
      </c>
      <c r="D457" t="s">
        <v>10</v>
      </c>
      <c r="E457">
        <v>14947</v>
      </c>
      <c r="F457">
        <v>2131</v>
      </c>
      <c r="G457">
        <v>5</v>
      </c>
      <c r="H457">
        <v>12816</v>
      </c>
      <c r="I457" s="2">
        <f>sa_retail_sales[[#This Row],[Profit]] / sa_retail_sales[[#This Row],[Revenue]]</f>
        <v>0.85742958453201312</v>
      </c>
      <c r="J457">
        <f xml:space="preserve"> YEAR(sa_retail_sales[[#This Row],[Order Date]])</f>
        <v>2022</v>
      </c>
    </row>
    <row r="458" spans="1:10" x14ac:dyDescent="0.3">
      <c r="A458" s="1">
        <v>44900</v>
      </c>
      <c r="B458" t="s">
        <v>18</v>
      </c>
      <c r="C458" t="s">
        <v>9</v>
      </c>
      <c r="D458" t="s">
        <v>12</v>
      </c>
      <c r="E458">
        <v>504</v>
      </c>
      <c r="F458">
        <v>1869</v>
      </c>
      <c r="G458">
        <v>10</v>
      </c>
      <c r="H458">
        <v>-1365</v>
      </c>
      <c r="I458" s="2">
        <f>sa_retail_sales[[#This Row],[Profit]] / sa_retail_sales[[#This Row],[Revenue]]</f>
        <v>-2.7083333333333335</v>
      </c>
      <c r="J458">
        <f xml:space="preserve"> YEAR(sa_retail_sales[[#This Row],[Order Date]])</f>
        <v>2022</v>
      </c>
    </row>
    <row r="459" spans="1:10" x14ac:dyDescent="0.3">
      <c r="A459" s="1">
        <v>45061</v>
      </c>
      <c r="B459" t="s">
        <v>11</v>
      </c>
      <c r="C459" t="s">
        <v>13</v>
      </c>
      <c r="D459" t="s">
        <v>12</v>
      </c>
      <c r="E459">
        <v>12173</v>
      </c>
      <c r="F459">
        <v>7546</v>
      </c>
      <c r="G459">
        <v>5</v>
      </c>
      <c r="H459">
        <v>4627</v>
      </c>
      <c r="I459" s="2">
        <f>sa_retail_sales[[#This Row],[Profit]] / sa_retail_sales[[#This Row],[Revenue]]</f>
        <v>0.38010350776308222</v>
      </c>
      <c r="J459">
        <f xml:space="preserve"> YEAR(sa_retail_sales[[#This Row],[Order Date]])</f>
        <v>2023</v>
      </c>
    </row>
    <row r="460" spans="1:10" x14ac:dyDescent="0.3">
      <c r="A460" s="1">
        <v>45072</v>
      </c>
      <c r="B460" t="s">
        <v>11</v>
      </c>
      <c r="C460" t="s">
        <v>13</v>
      </c>
      <c r="D460" t="s">
        <v>15</v>
      </c>
      <c r="E460">
        <v>6033</v>
      </c>
      <c r="F460">
        <v>2218</v>
      </c>
      <c r="G460">
        <v>0</v>
      </c>
      <c r="H460">
        <v>3815</v>
      </c>
      <c r="I460" s="2">
        <f>sa_retail_sales[[#This Row],[Profit]] / sa_retail_sales[[#This Row],[Revenue]]</f>
        <v>0.6323553787502072</v>
      </c>
      <c r="J460">
        <f xml:space="preserve"> YEAR(sa_retail_sales[[#This Row],[Order Date]])</f>
        <v>2023</v>
      </c>
    </row>
    <row r="461" spans="1:10" x14ac:dyDescent="0.3">
      <c r="A461" s="1">
        <v>44778</v>
      </c>
      <c r="B461" t="s">
        <v>17</v>
      </c>
      <c r="C461" t="s">
        <v>9</v>
      </c>
      <c r="D461" t="s">
        <v>12</v>
      </c>
      <c r="E461">
        <v>11945</v>
      </c>
      <c r="F461">
        <v>6716</v>
      </c>
      <c r="G461">
        <v>5</v>
      </c>
      <c r="H461">
        <v>5229</v>
      </c>
      <c r="I461" s="2">
        <f>sa_retail_sales[[#This Row],[Profit]] / sa_retail_sales[[#This Row],[Revenue]]</f>
        <v>0.43775638342402678</v>
      </c>
      <c r="J461">
        <f xml:space="preserve"> YEAR(sa_retail_sales[[#This Row],[Order Date]])</f>
        <v>2022</v>
      </c>
    </row>
    <row r="462" spans="1:10" x14ac:dyDescent="0.3">
      <c r="A462" s="1">
        <v>45655</v>
      </c>
      <c r="B462" t="s">
        <v>8</v>
      </c>
      <c r="C462" t="s">
        <v>14</v>
      </c>
      <c r="D462" t="s">
        <v>10</v>
      </c>
      <c r="E462">
        <v>10054</v>
      </c>
      <c r="F462">
        <v>3532</v>
      </c>
      <c r="G462">
        <v>0</v>
      </c>
      <c r="H462">
        <v>6522</v>
      </c>
      <c r="I462" s="2">
        <f>sa_retail_sales[[#This Row],[Profit]] / sa_retail_sales[[#This Row],[Revenue]]</f>
        <v>0.64869703600556994</v>
      </c>
      <c r="J462">
        <f xml:space="preserve"> YEAR(sa_retail_sales[[#This Row],[Order Date]])</f>
        <v>2024</v>
      </c>
    </row>
    <row r="463" spans="1:10" x14ac:dyDescent="0.3">
      <c r="A463" s="1">
        <v>45006</v>
      </c>
      <c r="B463" t="s">
        <v>17</v>
      </c>
      <c r="C463" t="s">
        <v>9</v>
      </c>
      <c r="D463" t="s">
        <v>19</v>
      </c>
      <c r="E463">
        <v>10512</v>
      </c>
      <c r="F463">
        <v>4058</v>
      </c>
      <c r="G463">
        <v>15</v>
      </c>
      <c r="H463">
        <v>6454</v>
      </c>
      <c r="I463" s="2">
        <f>sa_retail_sales[[#This Row],[Profit]] / sa_retail_sales[[#This Row],[Revenue]]</f>
        <v>0.61396499238964997</v>
      </c>
      <c r="J463">
        <f xml:space="preserve"> YEAR(sa_retail_sales[[#This Row],[Order Date]])</f>
        <v>2023</v>
      </c>
    </row>
    <row r="464" spans="1:10" x14ac:dyDescent="0.3">
      <c r="A464" s="1">
        <v>45437</v>
      </c>
      <c r="B464" t="s">
        <v>8</v>
      </c>
      <c r="C464" t="s">
        <v>16</v>
      </c>
      <c r="D464" t="s">
        <v>15</v>
      </c>
      <c r="E464">
        <v>5878</v>
      </c>
      <c r="F464">
        <v>6297</v>
      </c>
      <c r="G464">
        <v>15</v>
      </c>
      <c r="H464">
        <v>-419</v>
      </c>
      <c r="I464" s="2">
        <f>sa_retail_sales[[#This Row],[Profit]] / sa_retail_sales[[#This Row],[Revenue]]</f>
        <v>-7.1282749234433479E-2</v>
      </c>
      <c r="J464">
        <f xml:space="preserve"> YEAR(sa_retail_sales[[#This Row],[Order Date]])</f>
        <v>2024</v>
      </c>
    </row>
    <row r="465" spans="1:10" x14ac:dyDescent="0.3">
      <c r="A465" s="1">
        <v>44728</v>
      </c>
      <c r="B465" t="s">
        <v>8</v>
      </c>
      <c r="C465" t="s">
        <v>9</v>
      </c>
      <c r="D465" t="s">
        <v>12</v>
      </c>
      <c r="E465">
        <v>6733</v>
      </c>
      <c r="F465">
        <v>2655</v>
      </c>
      <c r="G465">
        <v>20</v>
      </c>
      <c r="H465">
        <v>4078</v>
      </c>
      <c r="I465" s="2">
        <f>sa_retail_sales[[#This Row],[Profit]] / sa_retail_sales[[#This Row],[Revenue]]</f>
        <v>0.60567354819545527</v>
      </c>
      <c r="J465">
        <f xml:space="preserve"> YEAR(sa_retail_sales[[#This Row],[Order Date]])</f>
        <v>2022</v>
      </c>
    </row>
    <row r="466" spans="1:10" x14ac:dyDescent="0.3">
      <c r="A466" s="1">
        <v>44652</v>
      </c>
      <c r="B466" t="s">
        <v>17</v>
      </c>
      <c r="C466" t="s">
        <v>16</v>
      </c>
      <c r="D466" t="s">
        <v>12</v>
      </c>
      <c r="E466">
        <v>3163</v>
      </c>
      <c r="F466">
        <v>9889</v>
      </c>
      <c r="G466">
        <v>5</v>
      </c>
      <c r="H466">
        <v>-6726</v>
      </c>
      <c r="I466" s="2">
        <f>sa_retail_sales[[#This Row],[Profit]] / sa_retail_sales[[#This Row],[Revenue]]</f>
        <v>-2.1264622194119505</v>
      </c>
      <c r="J466">
        <f xml:space="preserve"> YEAR(sa_retail_sales[[#This Row],[Order Date]])</f>
        <v>2022</v>
      </c>
    </row>
    <row r="467" spans="1:10" x14ac:dyDescent="0.3">
      <c r="A467" s="1">
        <v>45275</v>
      </c>
      <c r="B467" t="s">
        <v>17</v>
      </c>
      <c r="C467" t="s">
        <v>14</v>
      </c>
      <c r="D467" t="s">
        <v>12</v>
      </c>
      <c r="E467">
        <v>11630</v>
      </c>
      <c r="F467">
        <v>11272</v>
      </c>
      <c r="G467">
        <v>5</v>
      </c>
      <c r="H467">
        <v>358</v>
      </c>
      <c r="I467" s="2">
        <f>sa_retail_sales[[#This Row],[Profit]] / sa_retail_sales[[#This Row],[Revenue]]</f>
        <v>3.0782459157351678E-2</v>
      </c>
      <c r="J467">
        <f xml:space="preserve"> YEAR(sa_retail_sales[[#This Row],[Order Date]])</f>
        <v>2023</v>
      </c>
    </row>
    <row r="468" spans="1:10" x14ac:dyDescent="0.3">
      <c r="A468" s="1">
        <v>44600</v>
      </c>
      <c r="B468" t="s">
        <v>8</v>
      </c>
      <c r="C468" t="s">
        <v>9</v>
      </c>
      <c r="D468" t="s">
        <v>10</v>
      </c>
      <c r="E468">
        <v>9965</v>
      </c>
      <c r="F468">
        <v>2124</v>
      </c>
      <c r="G468">
        <v>0</v>
      </c>
      <c r="H468">
        <v>7841</v>
      </c>
      <c r="I468" s="2">
        <f>sa_retail_sales[[#This Row],[Profit]] / sa_retail_sales[[#This Row],[Revenue]]</f>
        <v>0.78685398896136483</v>
      </c>
      <c r="J468">
        <f xml:space="preserve"> YEAR(sa_retail_sales[[#This Row],[Order Date]])</f>
        <v>2022</v>
      </c>
    </row>
    <row r="469" spans="1:10" x14ac:dyDescent="0.3">
      <c r="A469" s="1">
        <v>44734</v>
      </c>
      <c r="B469" t="s">
        <v>17</v>
      </c>
      <c r="C469" t="s">
        <v>9</v>
      </c>
      <c r="D469" t="s">
        <v>15</v>
      </c>
      <c r="E469">
        <v>3826</v>
      </c>
      <c r="F469">
        <v>10983</v>
      </c>
      <c r="G469">
        <v>15</v>
      </c>
      <c r="H469">
        <v>-7157</v>
      </c>
      <c r="I469" s="2">
        <f>sa_retail_sales[[#This Row],[Profit]] / sa_retail_sales[[#This Row],[Revenue]]</f>
        <v>-1.8706220595922634</v>
      </c>
      <c r="J469">
        <f xml:space="preserve"> YEAR(sa_retail_sales[[#This Row],[Order Date]])</f>
        <v>2022</v>
      </c>
    </row>
    <row r="470" spans="1:10" x14ac:dyDescent="0.3">
      <c r="A470" s="1">
        <v>45214</v>
      </c>
      <c r="B470" t="s">
        <v>8</v>
      </c>
      <c r="C470" t="s">
        <v>14</v>
      </c>
      <c r="D470" t="s">
        <v>10</v>
      </c>
      <c r="E470">
        <v>4159</v>
      </c>
      <c r="F470">
        <v>7580</v>
      </c>
      <c r="G470">
        <v>0</v>
      </c>
      <c r="H470">
        <v>-3421</v>
      </c>
      <c r="I470" s="2">
        <f>sa_retail_sales[[#This Row],[Profit]] / sa_retail_sales[[#This Row],[Revenue]]</f>
        <v>-0.82255349843712433</v>
      </c>
      <c r="J470">
        <f xml:space="preserve"> YEAR(sa_retail_sales[[#This Row],[Order Date]])</f>
        <v>2023</v>
      </c>
    </row>
    <row r="471" spans="1:10" x14ac:dyDescent="0.3">
      <c r="A471" s="1">
        <v>45315</v>
      </c>
      <c r="B471" t="s">
        <v>11</v>
      </c>
      <c r="C471" t="s">
        <v>16</v>
      </c>
      <c r="D471" t="s">
        <v>15</v>
      </c>
      <c r="E471">
        <v>11637</v>
      </c>
      <c r="F471">
        <v>4360</v>
      </c>
      <c r="G471">
        <v>15</v>
      </c>
      <c r="H471">
        <v>7277</v>
      </c>
      <c r="I471" s="2">
        <f>sa_retail_sales[[#This Row],[Profit]] / sa_retail_sales[[#This Row],[Revenue]]</f>
        <v>0.62533298960213113</v>
      </c>
      <c r="J471">
        <f xml:space="preserve"> YEAR(sa_retail_sales[[#This Row],[Order Date]])</f>
        <v>2024</v>
      </c>
    </row>
    <row r="472" spans="1:10" x14ac:dyDescent="0.3">
      <c r="A472" s="1">
        <v>45643</v>
      </c>
      <c r="B472" t="s">
        <v>17</v>
      </c>
      <c r="C472" t="s">
        <v>9</v>
      </c>
      <c r="D472" t="s">
        <v>19</v>
      </c>
      <c r="E472">
        <v>11710</v>
      </c>
      <c r="F472">
        <v>5624</v>
      </c>
      <c r="G472">
        <v>0</v>
      </c>
      <c r="H472">
        <v>6086</v>
      </c>
      <c r="I472" s="2">
        <f>sa_retail_sales[[#This Row],[Profit]] / sa_retail_sales[[#This Row],[Revenue]]</f>
        <v>0.51972672929120411</v>
      </c>
      <c r="J472">
        <f xml:space="preserve"> YEAR(sa_retail_sales[[#This Row],[Order Date]])</f>
        <v>2024</v>
      </c>
    </row>
    <row r="473" spans="1:10" x14ac:dyDescent="0.3">
      <c r="A473" s="1">
        <v>45037</v>
      </c>
      <c r="B473" t="s">
        <v>11</v>
      </c>
      <c r="C473" t="s">
        <v>16</v>
      </c>
      <c r="D473" t="s">
        <v>10</v>
      </c>
      <c r="E473">
        <v>1631</v>
      </c>
      <c r="F473">
        <v>704</v>
      </c>
      <c r="G473">
        <v>15</v>
      </c>
      <c r="H473">
        <v>927</v>
      </c>
      <c r="I473" s="2">
        <f>sa_retail_sales[[#This Row],[Profit]] / sa_retail_sales[[#This Row],[Revenue]]</f>
        <v>0.56836296750459836</v>
      </c>
      <c r="J473">
        <f xml:space="preserve"> YEAR(sa_retail_sales[[#This Row],[Order Date]])</f>
        <v>2023</v>
      </c>
    </row>
    <row r="474" spans="1:10" x14ac:dyDescent="0.3">
      <c r="A474" s="1">
        <v>45017</v>
      </c>
      <c r="B474" t="s">
        <v>18</v>
      </c>
      <c r="C474" t="s">
        <v>9</v>
      </c>
      <c r="D474" t="s">
        <v>10</v>
      </c>
      <c r="E474">
        <v>5263</v>
      </c>
      <c r="F474">
        <v>2021</v>
      </c>
      <c r="G474">
        <v>0</v>
      </c>
      <c r="H474">
        <v>3242</v>
      </c>
      <c r="I474" s="2">
        <f>sa_retail_sales[[#This Row],[Profit]] / sa_retail_sales[[#This Row],[Revenue]]</f>
        <v>0.6159984799543986</v>
      </c>
      <c r="J474">
        <f xml:space="preserve"> YEAR(sa_retail_sales[[#This Row],[Order Date]])</f>
        <v>2023</v>
      </c>
    </row>
    <row r="475" spans="1:10" x14ac:dyDescent="0.3">
      <c r="A475" s="1">
        <v>45390</v>
      </c>
      <c r="B475" t="s">
        <v>11</v>
      </c>
      <c r="C475" t="s">
        <v>13</v>
      </c>
      <c r="D475" t="s">
        <v>19</v>
      </c>
      <c r="E475">
        <v>7237</v>
      </c>
      <c r="F475">
        <v>5616</v>
      </c>
      <c r="G475">
        <v>15</v>
      </c>
      <c r="H475">
        <v>1621</v>
      </c>
      <c r="I475" s="2">
        <f>sa_retail_sales[[#This Row],[Profit]] / sa_retail_sales[[#This Row],[Revenue]]</f>
        <v>0.2239878402653033</v>
      </c>
      <c r="J475">
        <f xml:space="preserve"> YEAR(sa_retail_sales[[#This Row],[Order Date]])</f>
        <v>2024</v>
      </c>
    </row>
    <row r="476" spans="1:10" x14ac:dyDescent="0.3">
      <c r="A476" s="1">
        <v>45456</v>
      </c>
      <c r="B476" t="s">
        <v>11</v>
      </c>
      <c r="C476" t="s">
        <v>9</v>
      </c>
      <c r="D476" t="s">
        <v>15</v>
      </c>
      <c r="E476">
        <v>11328</v>
      </c>
      <c r="F476">
        <v>11317</v>
      </c>
      <c r="G476">
        <v>0</v>
      </c>
      <c r="H476">
        <v>11</v>
      </c>
      <c r="I476" s="2">
        <f>sa_retail_sales[[#This Row],[Profit]] / sa_retail_sales[[#This Row],[Revenue]]</f>
        <v>9.7104519774011305E-4</v>
      </c>
      <c r="J476">
        <f xml:space="preserve"> YEAR(sa_retail_sales[[#This Row],[Order Date]])</f>
        <v>2024</v>
      </c>
    </row>
    <row r="477" spans="1:10" x14ac:dyDescent="0.3">
      <c r="A477" s="1">
        <v>45586</v>
      </c>
      <c r="B477" t="s">
        <v>8</v>
      </c>
      <c r="C477" t="s">
        <v>14</v>
      </c>
      <c r="D477" t="s">
        <v>12</v>
      </c>
      <c r="E477">
        <v>11721</v>
      </c>
      <c r="F477">
        <v>4145</v>
      </c>
      <c r="G477">
        <v>5</v>
      </c>
      <c r="H477">
        <v>7576</v>
      </c>
      <c r="I477" s="2">
        <f>sa_retail_sales[[#This Row],[Profit]] / sa_retail_sales[[#This Row],[Revenue]]</f>
        <v>0.64636123197679374</v>
      </c>
      <c r="J477">
        <f xml:space="preserve"> YEAR(sa_retail_sales[[#This Row],[Order Date]])</f>
        <v>2024</v>
      </c>
    </row>
    <row r="478" spans="1:10" x14ac:dyDescent="0.3">
      <c r="A478" s="1">
        <v>44948</v>
      </c>
      <c r="B478" t="s">
        <v>11</v>
      </c>
      <c r="C478" t="s">
        <v>14</v>
      </c>
      <c r="D478" t="s">
        <v>19</v>
      </c>
      <c r="E478">
        <v>11711</v>
      </c>
      <c r="F478">
        <v>4510</v>
      </c>
      <c r="G478">
        <v>20</v>
      </c>
      <c r="H478">
        <v>7201</v>
      </c>
      <c r="I478" s="2">
        <f>sa_retail_sales[[#This Row],[Profit]] / sa_retail_sales[[#This Row],[Revenue]]</f>
        <v>0.61489198189736149</v>
      </c>
      <c r="J478">
        <f xml:space="preserve"> YEAR(sa_retail_sales[[#This Row],[Order Date]])</f>
        <v>2023</v>
      </c>
    </row>
    <row r="479" spans="1:10" x14ac:dyDescent="0.3">
      <c r="A479" s="1">
        <v>44909</v>
      </c>
      <c r="B479" t="s">
        <v>17</v>
      </c>
      <c r="C479" t="s">
        <v>16</v>
      </c>
      <c r="D479" t="s">
        <v>12</v>
      </c>
      <c r="E479">
        <v>14069</v>
      </c>
      <c r="F479">
        <v>11684</v>
      </c>
      <c r="G479">
        <v>0</v>
      </c>
      <c r="H479">
        <v>2385</v>
      </c>
      <c r="I479" s="2">
        <f>sa_retail_sales[[#This Row],[Profit]] / sa_retail_sales[[#This Row],[Revenue]]</f>
        <v>0.16952164332930555</v>
      </c>
      <c r="J479">
        <f xml:space="preserve"> YEAR(sa_retail_sales[[#This Row],[Order Date]])</f>
        <v>2022</v>
      </c>
    </row>
    <row r="480" spans="1:10" x14ac:dyDescent="0.3">
      <c r="A480" s="1">
        <v>44751</v>
      </c>
      <c r="B480" t="s">
        <v>8</v>
      </c>
      <c r="C480" t="s">
        <v>9</v>
      </c>
      <c r="D480" t="s">
        <v>12</v>
      </c>
      <c r="E480">
        <v>5592</v>
      </c>
      <c r="F480">
        <v>364</v>
      </c>
      <c r="G480">
        <v>20</v>
      </c>
      <c r="H480">
        <v>5228</v>
      </c>
      <c r="I480" s="2">
        <f>sa_retail_sales[[#This Row],[Profit]] / sa_retail_sales[[#This Row],[Revenue]]</f>
        <v>0.93490701001430621</v>
      </c>
      <c r="J480">
        <f xml:space="preserve"> YEAR(sa_retail_sales[[#This Row],[Order Date]])</f>
        <v>2022</v>
      </c>
    </row>
    <row r="481" spans="1:10" x14ac:dyDescent="0.3">
      <c r="A481" s="1">
        <v>45066</v>
      </c>
      <c r="B481" t="s">
        <v>18</v>
      </c>
      <c r="C481" t="s">
        <v>16</v>
      </c>
      <c r="D481" t="s">
        <v>19</v>
      </c>
      <c r="E481">
        <v>6522</v>
      </c>
      <c r="F481">
        <v>9791</v>
      </c>
      <c r="G481">
        <v>5</v>
      </c>
      <c r="H481">
        <v>-3269</v>
      </c>
      <c r="I481" s="2">
        <f>sa_retail_sales[[#This Row],[Profit]] / sa_retail_sales[[#This Row],[Revenue]]</f>
        <v>-0.50122661760196263</v>
      </c>
      <c r="J481">
        <f xml:space="preserve"> YEAR(sa_retail_sales[[#This Row],[Order Date]])</f>
        <v>2023</v>
      </c>
    </row>
    <row r="482" spans="1:10" x14ac:dyDescent="0.3">
      <c r="A482" s="1">
        <v>45385</v>
      </c>
      <c r="B482" t="s">
        <v>17</v>
      </c>
      <c r="C482" t="s">
        <v>16</v>
      </c>
      <c r="D482" t="s">
        <v>15</v>
      </c>
      <c r="E482">
        <v>13069</v>
      </c>
      <c r="F482">
        <v>6682</v>
      </c>
      <c r="G482">
        <v>5</v>
      </c>
      <c r="H482">
        <v>6387</v>
      </c>
      <c r="I482" s="2">
        <f>sa_retail_sales[[#This Row],[Profit]] / sa_retail_sales[[#This Row],[Revenue]]</f>
        <v>0.48871375009564616</v>
      </c>
      <c r="J482">
        <f xml:space="preserve"> YEAR(sa_retail_sales[[#This Row],[Order Date]])</f>
        <v>2024</v>
      </c>
    </row>
    <row r="483" spans="1:10" x14ac:dyDescent="0.3">
      <c r="A483" s="1">
        <v>45490</v>
      </c>
      <c r="B483" t="s">
        <v>18</v>
      </c>
      <c r="C483" t="s">
        <v>13</v>
      </c>
      <c r="D483" t="s">
        <v>12</v>
      </c>
      <c r="E483">
        <v>3659</v>
      </c>
      <c r="F483">
        <v>9907</v>
      </c>
      <c r="G483">
        <v>15</v>
      </c>
      <c r="H483">
        <v>-6248</v>
      </c>
      <c r="I483" s="2">
        <f>sa_retail_sales[[#This Row],[Profit]] / sa_retail_sales[[#This Row],[Revenue]]</f>
        <v>-1.7075703744192403</v>
      </c>
      <c r="J483">
        <f xml:space="preserve"> YEAR(sa_retail_sales[[#This Row],[Order Date]])</f>
        <v>2024</v>
      </c>
    </row>
    <row r="484" spans="1:10" x14ac:dyDescent="0.3">
      <c r="A484" s="1">
        <v>45495</v>
      </c>
      <c r="B484" t="s">
        <v>11</v>
      </c>
      <c r="C484" t="s">
        <v>13</v>
      </c>
      <c r="D484" t="s">
        <v>19</v>
      </c>
      <c r="E484">
        <v>14015</v>
      </c>
      <c r="F484">
        <v>1268</v>
      </c>
      <c r="G484">
        <v>20</v>
      </c>
      <c r="H484">
        <v>12747</v>
      </c>
      <c r="I484" s="2">
        <f>sa_retail_sales[[#This Row],[Profit]] / sa_retail_sales[[#This Row],[Revenue]]</f>
        <v>0.90952550838387447</v>
      </c>
      <c r="J484">
        <f xml:space="preserve"> YEAR(sa_retail_sales[[#This Row],[Order Date]])</f>
        <v>2024</v>
      </c>
    </row>
    <row r="485" spans="1:10" x14ac:dyDescent="0.3">
      <c r="A485" s="1">
        <v>44695</v>
      </c>
      <c r="B485" t="s">
        <v>17</v>
      </c>
      <c r="C485" t="s">
        <v>14</v>
      </c>
      <c r="D485" t="s">
        <v>10</v>
      </c>
      <c r="E485">
        <v>6659</v>
      </c>
      <c r="F485">
        <v>668</v>
      </c>
      <c r="G485">
        <v>10</v>
      </c>
      <c r="H485">
        <v>5991</v>
      </c>
      <c r="I485" s="2">
        <f>sa_retail_sales[[#This Row],[Profit]] / sa_retail_sales[[#This Row],[Revenue]]</f>
        <v>0.89968463733293291</v>
      </c>
      <c r="J485">
        <f xml:space="preserve"> YEAR(sa_retail_sales[[#This Row],[Order Date]])</f>
        <v>2022</v>
      </c>
    </row>
    <row r="486" spans="1:10" x14ac:dyDescent="0.3">
      <c r="A486" s="1">
        <v>44619</v>
      </c>
      <c r="B486" t="s">
        <v>17</v>
      </c>
      <c r="C486" t="s">
        <v>16</v>
      </c>
      <c r="D486" t="s">
        <v>10</v>
      </c>
      <c r="E486">
        <v>7818</v>
      </c>
      <c r="F486">
        <v>8724</v>
      </c>
      <c r="G486">
        <v>15</v>
      </c>
      <c r="H486">
        <v>-906</v>
      </c>
      <c r="I486" s="2">
        <f>sa_retail_sales[[#This Row],[Profit]] / sa_retail_sales[[#This Row],[Revenue]]</f>
        <v>-0.11588641596316193</v>
      </c>
      <c r="J486">
        <f xml:space="preserve"> YEAR(sa_retail_sales[[#This Row],[Order Date]])</f>
        <v>2022</v>
      </c>
    </row>
    <row r="487" spans="1:10" x14ac:dyDescent="0.3">
      <c r="A487" s="1">
        <v>45246</v>
      </c>
      <c r="B487" t="s">
        <v>18</v>
      </c>
      <c r="C487" t="s">
        <v>14</v>
      </c>
      <c r="D487" t="s">
        <v>10</v>
      </c>
      <c r="E487">
        <v>13723</v>
      </c>
      <c r="F487">
        <v>2542</v>
      </c>
      <c r="G487">
        <v>20</v>
      </c>
      <c r="H487">
        <v>11181</v>
      </c>
      <c r="I487" s="2">
        <f>sa_retail_sales[[#This Row],[Profit]] / sa_retail_sales[[#This Row],[Revenue]]</f>
        <v>0.814763535670043</v>
      </c>
      <c r="J487">
        <f xml:space="preserve"> YEAR(sa_retail_sales[[#This Row],[Order Date]])</f>
        <v>2023</v>
      </c>
    </row>
    <row r="488" spans="1:10" x14ac:dyDescent="0.3">
      <c r="A488" s="1">
        <v>45233</v>
      </c>
      <c r="B488" t="s">
        <v>17</v>
      </c>
      <c r="C488" t="s">
        <v>9</v>
      </c>
      <c r="D488" t="s">
        <v>19</v>
      </c>
      <c r="E488">
        <v>8945</v>
      </c>
      <c r="F488">
        <v>5302</v>
      </c>
      <c r="G488">
        <v>0</v>
      </c>
      <c r="H488">
        <v>3643</v>
      </c>
      <c r="I488" s="2">
        <f>sa_retail_sales[[#This Row],[Profit]] / sa_retail_sales[[#This Row],[Revenue]]</f>
        <v>0.4072666294019005</v>
      </c>
      <c r="J488">
        <f xml:space="preserve"> YEAR(sa_retail_sales[[#This Row],[Order Date]])</f>
        <v>2023</v>
      </c>
    </row>
    <row r="489" spans="1:10" x14ac:dyDescent="0.3">
      <c r="A489" s="1">
        <v>44734</v>
      </c>
      <c r="B489" t="s">
        <v>17</v>
      </c>
      <c r="C489" t="s">
        <v>16</v>
      </c>
      <c r="D489" t="s">
        <v>10</v>
      </c>
      <c r="E489">
        <v>5807</v>
      </c>
      <c r="F489">
        <v>3383</v>
      </c>
      <c r="G489">
        <v>0</v>
      </c>
      <c r="H489">
        <v>2424</v>
      </c>
      <c r="I489" s="2">
        <f>sa_retail_sales[[#This Row],[Profit]] / sa_retail_sales[[#This Row],[Revenue]]</f>
        <v>0.41742724298260719</v>
      </c>
      <c r="J489">
        <f xml:space="preserve"> YEAR(sa_retail_sales[[#This Row],[Order Date]])</f>
        <v>2022</v>
      </c>
    </row>
    <row r="490" spans="1:10" x14ac:dyDescent="0.3">
      <c r="A490" s="1">
        <v>45376</v>
      </c>
      <c r="B490" t="s">
        <v>17</v>
      </c>
      <c r="C490" t="s">
        <v>16</v>
      </c>
      <c r="D490" t="s">
        <v>12</v>
      </c>
      <c r="E490">
        <v>9020</v>
      </c>
      <c r="F490">
        <v>8373</v>
      </c>
      <c r="G490">
        <v>5</v>
      </c>
      <c r="H490">
        <v>647</v>
      </c>
      <c r="I490" s="2">
        <f>sa_retail_sales[[#This Row],[Profit]] / sa_retail_sales[[#This Row],[Revenue]]</f>
        <v>7.1729490022172951E-2</v>
      </c>
      <c r="J490">
        <f xml:space="preserve"> YEAR(sa_retail_sales[[#This Row],[Order Date]])</f>
        <v>2024</v>
      </c>
    </row>
    <row r="491" spans="1:10" x14ac:dyDescent="0.3">
      <c r="A491" s="1">
        <v>44641</v>
      </c>
      <c r="B491" t="s">
        <v>11</v>
      </c>
      <c r="C491" t="s">
        <v>9</v>
      </c>
      <c r="D491" t="s">
        <v>10</v>
      </c>
      <c r="E491">
        <v>11283</v>
      </c>
      <c r="F491">
        <v>9412</v>
      </c>
      <c r="G491">
        <v>10</v>
      </c>
      <c r="H491">
        <v>1871</v>
      </c>
      <c r="I491" s="2">
        <f>sa_retail_sales[[#This Row],[Profit]] / sa_retail_sales[[#This Row],[Revenue]]</f>
        <v>0.16582469201453515</v>
      </c>
      <c r="J491">
        <f xml:space="preserve"> YEAR(sa_retail_sales[[#This Row],[Order Date]])</f>
        <v>2022</v>
      </c>
    </row>
    <row r="492" spans="1:10" x14ac:dyDescent="0.3">
      <c r="A492" s="1">
        <v>45447</v>
      </c>
      <c r="B492" t="s">
        <v>18</v>
      </c>
      <c r="C492" t="s">
        <v>9</v>
      </c>
      <c r="D492" t="s">
        <v>10</v>
      </c>
      <c r="E492">
        <v>11522</v>
      </c>
      <c r="F492">
        <v>9180</v>
      </c>
      <c r="G492">
        <v>0</v>
      </c>
      <c r="H492">
        <v>2342</v>
      </c>
      <c r="I492" s="2">
        <f>sa_retail_sales[[#This Row],[Profit]] / sa_retail_sales[[#This Row],[Revenue]]</f>
        <v>0.20326332233987154</v>
      </c>
      <c r="J492">
        <f xml:space="preserve"> YEAR(sa_retail_sales[[#This Row],[Order Date]])</f>
        <v>2024</v>
      </c>
    </row>
    <row r="493" spans="1:10" x14ac:dyDescent="0.3">
      <c r="A493" s="1">
        <v>44764</v>
      </c>
      <c r="B493" t="s">
        <v>17</v>
      </c>
      <c r="C493" t="s">
        <v>14</v>
      </c>
      <c r="D493" t="s">
        <v>12</v>
      </c>
      <c r="E493">
        <v>3544</v>
      </c>
      <c r="F493">
        <v>1769</v>
      </c>
      <c r="G493">
        <v>20</v>
      </c>
      <c r="H493">
        <v>1775</v>
      </c>
      <c r="I493" s="2">
        <f>sa_retail_sales[[#This Row],[Profit]] / sa_retail_sales[[#This Row],[Revenue]]</f>
        <v>0.50084650112866813</v>
      </c>
      <c r="J493">
        <f xml:space="preserve"> YEAR(sa_retail_sales[[#This Row],[Order Date]])</f>
        <v>2022</v>
      </c>
    </row>
    <row r="494" spans="1:10" x14ac:dyDescent="0.3">
      <c r="A494" s="1">
        <v>45325</v>
      </c>
      <c r="B494" t="s">
        <v>8</v>
      </c>
      <c r="C494" t="s">
        <v>14</v>
      </c>
      <c r="D494" t="s">
        <v>10</v>
      </c>
      <c r="E494">
        <v>10112</v>
      </c>
      <c r="F494">
        <v>5025</v>
      </c>
      <c r="G494">
        <v>20</v>
      </c>
      <c r="H494">
        <v>5087</v>
      </c>
      <c r="I494" s="2">
        <f>sa_retail_sales[[#This Row],[Profit]] / sa_retail_sales[[#This Row],[Revenue]]</f>
        <v>0.503065664556962</v>
      </c>
      <c r="J494">
        <f xml:space="preserve"> YEAR(sa_retail_sales[[#This Row],[Order Date]])</f>
        <v>2024</v>
      </c>
    </row>
    <row r="495" spans="1:10" x14ac:dyDescent="0.3">
      <c r="A495" s="1">
        <v>44608</v>
      </c>
      <c r="B495" t="s">
        <v>8</v>
      </c>
      <c r="C495" t="s">
        <v>9</v>
      </c>
      <c r="D495" t="s">
        <v>12</v>
      </c>
      <c r="E495">
        <v>6136</v>
      </c>
      <c r="F495">
        <v>4559</v>
      </c>
      <c r="G495">
        <v>0</v>
      </c>
      <c r="H495">
        <v>1577</v>
      </c>
      <c r="I495" s="2">
        <f>sa_retail_sales[[#This Row],[Profit]] / sa_retail_sales[[#This Row],[Revenue]]</f>
        <v>0.25700782268578881</v>
      </c>
      <c r="J495">
        <f xml:space="preserve"> YEAR(sa_retail_sales[[#This Row],[Order Date]])</f>
        <v>2022</v>
      </c>
    </row>
    <row r="496" spans="1:10" x14ac:dyDescent="0.3">
      <c r="A496" s="1">
        <v>45217</v>
      </c>
      <c r="B496" t="s">
        <v>8</v>
      </c>
      <c r="C496" t="s">
        <v>14</v>
      </c>
      <c r="D496" t="s">
        <v>10</v>
      </c>
      <c r="E496">
        <v>12093</v>
      </c>
      <c r="F496">
        <v>3922</v>
      </c>
      <c r="G496">
        <v>20</v>
      </c>
      <c r="H496">
        <v>8171</v>
      </c>
      <c r="I496" s="2">
        <f>sa_retail_sales[[#This Row],[Profit]] / sa_retail_sales[[#This Row],[Revenue]]</f>
        <v>0.67568014553874145</v>
      </c>
      <c r="J496">
        <f xml:space="preserve"> YEAR(sa_retail_sales[[#This Row],[Order Date]])</f>
        <v>2023</v>
      </c>
    </row>
    <row r="497" spans="1:10" x14ac:dyDescent="0.3">
      <c r="A497" s="1">
        <v>45032</v>
      </c>
      <c r="B497" t="s">
        <v>8</v>
      </c>
      <c r="C497" t="s">
        <v>9</v>
      </c>
      <c r="D497" t="s">
        <v>12</v>
      </c>
      <c r="E497">
        <v>3392</v>
      </c>
      <c r="F497">
        <v>10592</v>
      </c>
      <c r="G497">
        <v>20</v>
      </c>
      <c r="H497">
        <v>-7200</v>
      </c>
      <c r="I497" s="2">
        <f>sa_retail_sales[[#This Row],[Profit]] / sa_retail_sales[[#This Row],[Revenue]]</f>
        <v>-2.1226415094339623</v>
      </c>
      <c r="J497">
        <f xml:space="preserve"> YEAR(sa_retail_sales[[#This Row],[Order Date]])</f>
        <v>2023</v>
      </c>
    </row>
    <row r="498" spans="1:10" x14ac:dyDescent="0.3">
      <c r="A498" s="1">
        <v>45532</v>
      </c>
      <c r="B498" t="s">
        <v>11</v>
      </c>
      <c r="C498" t="s">
        <v>16</v>
      </c>
      <c r="D498" t="s">
        <v>10</v>
      </c>
      <c r="E498">
        <v>5788</v>
      </c>
      <c r="F498">
        <v>10757</v>
      </c>
      <c r="G498">
        <v>5</v>
      </c>
      <c r="H498">
        <v>-4969</v>
      </c>
      <c r="I498" s="2">
        <f>sa_retail_sales[[#This Row],[Profit]] / sa_retail_sales[[#This Row],[Revenue]]</f>
        <v>-0.85850034554250176</v>
      </c>
      <c r="J498">
        <f xml:space="preserve"> YEAR(sa_retail_sales[[#This Row],[Order Date]])</f>
        <v>2024</v>
      </c>
    </row>
    <row r="499" spans="1:10" x14ac:dyDescent="0.3">
      <c r="A499" s="1">
        <v>45597</v>
      </c>
      <c r="B499" t="s">
        <v>17</v>
      </c>
      <c r="C499" t="s">
        <v>16</v>
      </c>
      <c r="D499" t="s">
        <v>12</v>
      </c>
      <c r="E499">
        <v>6312</v>
      </c>
      <c r="F499">
        <v>1123</v>
      </c>
      <c r="G499">
        <v>10</v>
      </c>
      <c r="H499">
        <v>5189</v>
      </c>
      <c r="I499" s="2">
        <f>sa_retail_sales[[#This Row],[Profit]] / sa_retail_sales[[#This Row],[Revenue]]</f>
        <v>0.82208491761723701</v>
      </c>
      <c r="J499">
        <f xml:space="preserve"> YEAR(sa_retail_sales[[#This Row],[Order Date]])</f>
        <v>2024</v>
      </c>
    </row>
    <row r="500" spans="1:10" x14ac:dyDescent="0.3">
      <c r="A500" s="1">
        <v>45297</v>
      </c>
      <c r="B500" t="s">
        <v>18</v>
      </c>
      <c r="C500" t="s">
        <v>13</v>
      </c>
      <c r="D500" t="s">
        <v>19</v>
      </c>
      <c r="E500">
        <v>13989</v>
      </c>
      <c r="F500">
        <v>3731</v>
      </c>
      <c r="G500">
        <v>5</v>
      </c>
      <c r="H500">
        <v>10258</v>
      </c>
      <c r="I500" s="2">
        <f>sa_retail_sales[[#This Row],[Profit]] / sa_retail_sales[[#This Row],[Revenue]]</f>
        <v>0.73329044249052833</v>
      </c>
      <c r="J500">
        <f xml:space="preserve"> YEAR(sa_retail_sales[[#This Row],[Order Date]])</f>
        <v>2024</v>
      </c>
    </row>
    <row r="501" spans="1:10" x14ac:dyDescent="0.3">
      <c r="A501" s="1">
        <v>45345</v>
      </c>
      <c r="B501" t="s">
        <v>17</v>
      </c>
      <c r="C501" t="s">
        <v>16</v>
      </c>
      <c r="D501" t="s">
        <v>12</v>
      </c>
      <c r="E501">
        <v>1154</v>
      </c>
      <c r="F501">
        <v>6828</v>
      </c>
      <c r="G501">
        <v>10</v>
      </c>
      <c r="H501">
        <v>-5674</v>
      </c>
      <c r="I501" s="2">
        <f>sa_retail_sales[[#This Row],[Profit]] / sa_retail_sales[[#This Row],[Revenue]]</f>
        <v>-4.9168110918544192</v>
      </c>
      <c r="J501">
        <f xml:space="preserve"> YEAR(sa_retail_sales[[#This Row],[Order Date]])</f>
        <v>2024</v>
      </c>
    </row>
    <row r="502" spans="1:10" x14ac:dyDescent="0.3">
      <c r="A502" s="1">
        <v>45529</v>
      </c>
      <c r="B502" t="s">
        <v>11</v>
      </c>
      <c r="C502" t="s">
        <v>9</v>
      </c>
      <c r="D502" t="s">
        <v>10</v>
      </c>
      <c r="E502">
        <v>5981</v>
      </c>
      <c r="F502">
        <v>4451</v>
      </c>
      <c r="G502">
        <v>20</v>
      </c>
      <c r="H502">
        <v>1530</v>
      </c>
      <c r="I502" s="2">
        <f>sa_retail_sales[[#This Row],[Profit]] / sa_retail_sales[[#This Row],[Revenue]]</f>
        <v>0.25581006520648719</v>
      </c>
      <c r="J502">
        <f xml:space="preserve"> YEAR(sa_retail_sales[[#This Row],[Order Date]])</f>
        <v>2024</v>
      </c>
    </row>
    <row r="503" spans="1:10" x14ac:dyDescent="0.3">
      <c r="A503" s="1">
        <v>44919</v>
      </c>
      <c r="B503" t="s">
        <v>8</v>
      </c>
      <c r="C503" t="s">
        <v>14</v>
      </c>
      <c r="D503" t="s">
        <v>10</v>
      </c>
      <c r="E503">
        <v>1259</v>
      </c>
      <c r="F503">
        <v>4513</v>
      </c>
      <c r="G503">
        <v>10</v>
      </c>
      <c r="H503">
        <v>-3254</v>
      </c>
      <c r="I503" s="2">
        <f>sa_retail_sales[[#This Row],[Profit]] / sa_retail_sales[[#This Row],[Revenue]]</f>
        <v>-2.584590945194599</v>
      </c>
      <c r="J503">
        <f xml:space="preserve"> YEAR(sa_retail_sales[[#This Row],[Order Date]])</f>
        <v>2022</v>
      </c>
    </row>
    <row r="504" spans="1:10" x14ac:dyDescent="0.3">
      <c r="A504" s="1">
        <v>45533</v>
      </c>
      <c r="B504" t="s">
        <v>11</v>
      </c>
      <c r="C504" t="s">
        <v>13</v>
      </c>
      <c r="D504" t="s">
        <v>15</v>
      </c>
      <c r="E504">
        <v>7282</v>
      </c>
      <c r="F504">
        <v>7720</v>
      </c>
      <c r="G504">
        <v>20</v>
      </c>
      <c r="H504">
        <v>-438</v>
      </c>
      <c r="I504" s="2">
        <f>sa_retail_sales[[#This Row],[Profit]] / sa_retail_sales[[#This Row],[Revenue]]</f>
        <v>-6.0148310903597915E-2</v>
      </c>
      <c r="J504">
        <f xml:space="preserve"> YEAR(sa_retail_sales[[#This Row],[Order Date]])</f>
        <v>2024</v>
      </c>
    </row>
    <row r="505" spans="1:10" x14ac:dyDescent="0.3">
      <c r="A505" s="1">
        <v>45229</v>
      </c>
      <c r="B505" t="s">
        <v>17</v>
      </c>
      <c r="C505" t="s">
        <v>14</v>
      </c>
      <c r="D505" t="s">
        <v>12</v>
      </c>
      <c r="E505">
        <v>2298</v>
      </c>
      <c r="F505">
        <v>9289</v>
      </c>
      <c r="G505">
        <v>20</v>
      </c>
      <c r="H505">
        <v>-6991</v>
      </c>
      <c r="I505" s="2">
        <f>sa_retail_sales[[#This Row],[Profit]] / sa_retail_sales[[#This Row],[Revenue]]</f>
        <v>-3.0422106179286335</v>
      </c>
      <c r="J505">
        <f xml:space="preserve"> YEAR(sa_retail_sales[[#This Row],[Order Date]])</f>
        <v>2023</v>
      </c>
    </row>
    <row r="506" spans="1:10" x14ac:dyDescent="0.3">
      <c r="A506" s="1">
        <v>44934</v>
      </c>
      <c r="B506" t="s">
        <v>18</v>
      </c>
      <c r="C506" t="s">
        <v>9</v>
      </c>
      <c r="D506" t="s">
        <v>19</v>
      </c>
      <c r="E506">
        <v>5659</v>
      </c>
      <c r="F506">
        <v>1079</v>
      </c>
      <c r="G506">
        <v>5</v>
      </c>
      <c r="H506">
        <v>4580</v>
      </c>
      <c r="I506" s="2">
        <f>sa_retail_sales[[#This Row],[Profit]] / sa_retail_sales[[#This Row],[Revenue]]</f>
        <v>0.80933027036578897</v>
      </c>
      <c r="J506">
        <f xml:space="preserve"> YEAR(sa_retail_sales[[#This Row],[Order Date]])</f>
        <v>2023</v>
      </c>
    </row>
    <row r="507" spans="1:10" x14ac:dyDescent="0.3">
      <c r="A507" s="1">
        <v>45593</v>
      </c>
      <c r="B507" t="s">
        <v>11</v>
      </c>
      <c r="C507" t="s">
        <v>16</v>
      </c>
      <c r="D507" t="s">
        <v>12</v>
      </c>
      <c r="E507">
        <v>11663</v>
      </c>
      <c r="F507">
        <v>11342</v>
      </c>
      <c r="G507">
        <v>5</v>
      </c>
      <c r="H507">
        <v>321</v>
      </c>
      <c r="I507" s="2">
        <f>sa_retail_sales[[#This Row],[Profit]] / sa_retail_sales[[#This Row],[Revenue]]</f>
        <v>2.7522935779816515E-2</v>
      </c>
      <c r="J507">
        <f xml:space="preserve"> YEAR(sa_retail_sales[[#This Row],[Order Date]])</f>
        <v>2024</v>
      </c>
    </row>
    <row r="508" spans="1:10" x14ac:dyDescent="0.3">
      <c r="A508" s="1">
        <v>45237</v>
      </c>
      <c r="B508" t="s">
        <v>18</v>
      </c>
      <c r="C508" t="s">
        <v>13</v>
      </c>
      <c r="D508" t="s">
        <v>12</v>
      </c>
      <c r="E508">
        <v>13203</v>
      </c>
      <c r="F508">
        <v>3192</v>
      </c>
      <c r="G508">
        <v>15</v>
      </c>
      <c r="H508">
        <v>10011</v>
      </c>
      <c r="I508" s="2">
        <f>sa_retail_sales[[#This Row],[Profit]] / sa_retail_sales[[#This Row],[Revenue]]</f>
        <v>0.75823676437173371</v>
      </c>
      <c r="J508">
        <f xml:space="preserve"> YEAR(sa_retail_sales[[#This Row],[Order Date]])</f>
        <v>2023</v>
      </c>
    </row>
    <row r="509" spans="1:10" x14ac:dyDescent="0.3">
      <c r="A509" s="1">
        <v>44651</v>
      </c>
      <c r="B509" t="s">
        <v>11</v>
      </c>
      <c r="C509" t="s">
        <v>9</v>
      </c>
      <c r="D509" t="s">
        <v>19</v>
      </c>
      <c r="E509">
        <v>12118</v>
      </c>
      <c r="F509">
        <v>5834</v>
      </c>
      <c r="G509">
        <v>0</v>
      </c>
      <c r="H509">
        <v>6284</v>
      </c>
      <c r="I509" s="2">
        <f>sa_retail_sales[[#This Row],[Profit]] / sa_retail_sales[[#This Row],[Revenue]]</f>
        <v>0.51856742036639714</v>
      </c>
      <c r="J509">
        <f xml:space="preserve"> YEAR(sa_retail_sales[[#This Row],[Order Date]])</f>
        <v>2022</v>
      </c>
    </row>
    <row r="510" spans="1:10" x14ac:dyDescent="0.3">
      <c r="A510" s="1">
        <v>45259</v>
      </c>
      <c r="B510" t="s">
        <v>18</v>
      </c>
      <c r="C510" t="s">
        <v>13</v>
      </c>
      <c r="D510" t="s">
        <v>12</v>
      </c>
      <c r="E510">
        <v>8946</v>
      </c>
      <c r="F510">
        <v>10385</v>
      </c>
      <c r="G510">
        <v>15</v>
      </c>
      <c r="H510">
        <v>-1439</v>
      </c>
      <c r="I510" s="2">
        <f>sa_retail_sales[[#This Row],[Profit]] / sa_retail_sales[[#This Row],[Revenue]]</f>
        <v>-0.16085401296668903</v>
      </c>
      <c r="J510">
        <f xml:space="preserve"> YEAR(sa_retail_sales[[#This Row],[Order Date]])</f>
        <v>2023</v>
      </c>
    </row>
    <row r="511" spans="1:10" x14ac:dyDescent="0.3">
      <c r="A511" s="1">
        <v>45101</v>
      </c>
      <c r="B511" t="s">
        <v>18</v>
      </c>
      <c r="C511" t="s">
        <v>13</v>
      </c>
      <c r="D511" t="s">
        <v>19</v>
      </c>
      <c r="E511">
        <v>5762</v>
      </c>
      <c r="F511">
        <v>3606</v>
      </c>
      <c r="G511">
        <v>15</v>
      </c>
      <c r="H511">
        <v>2156</v>
      </c>
      <c r="I511" s="2">
        <f>sa_retail_sales[[#This Row],[Profit]] / sa_retail_sales[[#This Row],[Revenue]]</f>
        <v>0.37417563346060395</v>
      </c>
      <c r="J511">
        <f xml:space="preserve"> YEAR(sa_retail_sales[[#This Row],[Order Date]])</f>
        <v>2023</v>
      </c>
    </row>
    <row r="512" spans="1:10" x14ac:dyDescent="0.3">
      <c r="A512" s="1">
        <v>45293</v>
      </c>
      <c r="B512" t="s">
        <v>8</v>
      </c>
      <c r="C512" t="s">
        <v>16</v>
      </c>
      <c r="D512" t="s">
        <v>19</v>
      </c>
      <c r="E512">
        <v>4323</v>
      </c>
      <c r="F512">
        <v>3202</v>
      </c>
      <c r="G512">
        <v>10</v>
      </c>
      <c r="H512">
        <v>1121</v>
      </c>
      <c r="I512" s="2">
        <f>sa_retail_sales[[#This Row],[Profit]] / sa_retail_sales[[#This Row],[Revenue]]</f>
        <v>0.25931066389081658</v>
      </c>
      <c r="J512">
        <f xml:space="preserve"> YEAR(sa_retail_sales[[#This Row],[Order Date]])</f>
        <v>2024</v>
      </c>
    </row>
    <row r="513" spans="1:10" x14ac:dyDescent="0.3">
      <c r="A513" s="1">
        <v>45430</v>
      </c>
      <c r="B513" t="s">
        <v>18</v>
      </c>
      <c r="C513" t="s">
        <v>9</v>
      </c>
      <c r="D513" t="s">
        <v>12</v>
      </c>
      <c r="E513">
        <v>2376</v>
      </c>
      <c r="F513">
        <v>4018</v>
      </c>
      <c r="G513">
        <v>20</v>
      </c>
      <c r="H513">
        <v>-1642</v>
      </c>
      <c r="I513" s="2">
        <f>sa_retail_sales[[#This Row],[Profit]] / sa_retail_sales[[#This Row],[Revenue]]</f>
        <v>-0.69107744107744107</v>
      </c>
      <c r="J513">
        <f xml:space="preserve"> YEAR(sa_retail_sales[[#This Row],[Order Date]])</f>
        <v>2024</v>
      </c>
    </row>
    <row r="514" spans="1:10" x14ac:dyDescent="0.3">
      <c r="A514" s="1">
        <v>44602</v>
      </c>
      <c r="B514" t="s">
        <v>8</v>
      </c>
      <c r="C514" t="s">
        <v>14</v>
      </c>
      <c r="D514" t="s">
        <v>12</v>
      </c>
      <c r="E514">
        <v>11449</v>
      </c>
      <c r="F514">
        <v>321</v>
      </c>
      <c r="G514">
        <v>20</v>
      </c>
      <c r="H514">
        <v>11128</v>
      </c>
      <c r="I514" s="2">
        <f>sa_retail_sales[[#This Row],[Profit]] / sa_retail_sales[[#This Row],[Revenue]]</f>
        <v>0.9719626168224299</v>
      </c>
      <c r="J514">
        <f xml:space="preserve"> YEAR(sa_retail_sales[[#This Row],[Order Date]])</f>
        <v>2022</v>
      </c>
    </row>
    <row r="515" spans="1:10" x14ac:dyDescent="0.3">
      <c r="A515" s="1">
        <v>45301</v>
      </c>
      <c r="B515" t="s">
        <v>17</v>
      </c>
      <c r="C515" t="s">
        <v>13</v>
      </c>
      <c r="D515" t="s">
        <v>10</v>
      </c>
      <c r="E515">
        <v>11316</v>
      </c>
      <c r="F515">
        <v>1800</v>
      </c>
      <c r="G515">
        <v>20</v>
      </c>
      <c r="H515">
        <v>9516</v>
      </c>
      <c r="I515" s="2">
        <f>sa_retail_sales[[#This Row],[Profit]] / sa_retail_sales[[#This Row],[Revenue]]</f>
        <v>0.84093319194061511</v>
      </c>
      <c r="J515">
        <f xml:space="preserve"> YEAR(sa_retail_sales[[#This Row],[Order Date]])</f>
        <v>2024</v>
      </c>
    </row>
    <row r="516" spans="1:10" x14ac:dyDescent="0.3">
      <c r="A516" s="1">
        <v>45063</v>
      </c>
      <c r="B516" t="s">
        <v>17</v>
      </c>
      <c r="C516" t="s">
        <v>13</v>
      </c>
      <c r="D516" t="s">
        <v>10</v>
      </c>
      <c r="E516">
        <v>13687</v>
      </c>
      <c r="F516">
        <v>9334</v>
      </c>
      <c r="G516">
        <v>0</v>
      </c>
      <c r="H516">
        <v>4353</v>
      </c>
      <c r="I516" s="2">
        <f>sa_retail_sales[[#This Row],[Profit]] / sa_retail_sales[[#This Row],[Revenue]]</f>
        <v>0.31803901512384014</v>
      </c>
      <c r="J516">
        <f xml:space="preserve"> YEAR(sa_retail_sales[[#This Row],[Order Date]])</f>
        <v>2023</v>
      </c>
    </row>
    <row r="517" spans="1:10" x14ac:dyDescent="0.3">
      <c r="A517" s="1">
        <v>45520</v>
      </c>
      <c r="B517" t="s">
        <v>8</v>
      </c>
      <c r="C517" t="s">
        <v>14</v>
      </c>
      <c r="D517" t="s">
        <v>15</v>
      </c>
      <c r="E517">
        <v>6654</v>
      </c>
      <c r="F517">
        <v>10252</v>
      </c>
      <c r="G517">
        <v>10</v>
      </c>
      <c r="H517">
        <v>-3598</v>
      </c>
      <c r="I517" s="2">
        <f>sa_retail_sales[[#This Row],[Profit]] / sa_retail_sales[[#This Row],[Revenue]]</f>
        <v>-0.54072738202584913</v>
      </c>
      <c r="J517">
        <f xml:space="preserve"> YEAR(sa_retail_sales[[#This Row],[Order Date]])</f>
        <v>2024</v>
      </c>
    </row>
    <row r="518" spans="1:10" x14ac:dyDescent="0.3">
      <c r="A518" s="1">
        <v>45490</v>
      </c>
      <c r="B518" t="s">
        <v>8</v>
      </c>
      <c r="C518" t="s">
        <v>9</v>
      </c>
      <c r="D518" t="s">
        <v>15</v>
      </c>
      <c r="E518">
        <v>8287</v>
      </c>
      <c r="F518">
        <v>3941</v>
      </c>
      <c r="G518">
        <v>10</v>
      </c>
      <c r="H518">
        <v>4346</v>
      </c>
      <c r="I518" s="2">
        <f>sa_retail_sales[[#This Row],[Profit]] / sa_retail_sales[[#This Row],[Revenue]]</f>
        <v>0.52443586340050685</v>
      </c>
      <c r="J518">
        <f xml:space="preserve"> YEAR(sa_retail_sales[[#This Row],[Order Date]])</f>
        <v>2024</v>
      </c>
    </row>
    <row r="519" spans="1:10" x14ac:dyDescent="0.3">
      <c r="A519" s="1">
        <v>45022</v>
      </c>
      <c r="B519" t="s">
        <v>11</v>
      </c>
      <c r="C519" t="s">
        <v>13</v>
      </c>
      <c r="D519" t="s">
        <v>12</v>
      </c>
      <c r="E519">
        <v>12813</v>
      </c>
      <c r="F519">
        <v>5512</v>
      </c>
      <c r="G519">
        <v>20</v>
      </c>
      <c r="H519">
        <v>7301</v>
      </c>
      <c r="I519" s="2">
        <f>sa_retail_sales[[#This Row],[Profit]] / sa_retail_sales[[#This Row],[Revenue]]</f>
        <v>0.56981190977913054</v>
      </c>
      <c r="J519">
        <f xml:space="preserve"> YEAR(sa_retail_sales[[#This Row],[Order Date]])</f>
        <v>2023</v>
      </c>
    </row>
    <row r="520" spans="1:10" x14ac:dyDescent="0.3">
      <c r="A520" s="1">
        <v>45293</v>
      </c>
      <c r="B520" t="s">
        <v>11</v>
      </c>
      <c r="C520" t="s">
        <v>13</v>
      </c>
      <c r="D520" t="s">
        <v>19</v>
      </c>
      <c r="E520">
        <v>11696</v>
      </c>
      <c r="F520">
        <v>491</v>
      </c>
      <c r="G520">
        <v>15</v>
      </c>
      <c r="H520">
        <v>11205</v>
      </c>
      <c r="I520" s="2">
        <f>sa_retail_sales[[#This Row],[Profit]] / sa_retail_sales[[#This Row],[Revenue]]</f>
        <v>0.95801983584131323</v>
      </c>
      <c r="J520">
        <f xml:space="preserve"> YEAR(sa_retail_sales[[#This Row],[Order Date]])</f>
        <v>2024</v>
      </c>
    </row>
    <row r="521" spans="1:10" x14ac:dyDescent="0.3">
      <c r="A521" s="1">
        <v>45313</v>
      </c>
      <c r="B521" t="s">
        <v>11</v>
      </c>
      <c r="C521" t="s">
        <v>13</v>
      </c>
      <c r="D521" t="s">
        <v>15</v>
      </c>
      <c r="E521">
        <v>5016</v>
      </c>
      <c r="F521">
        <v>8887</v>
      </c>
      <c r="G521">
        <v>0</v>
      </c>
      <c r="H521">
        <v>-3871</v>
      </c>
      <c r="I521" s="2">
        <f>sa_retail_sales[[#This Row],[Profit]] / sa_retail_sales[[#This Row],[Revenue]]</f>
        <v>-0.77173046251993616</v>
      </c>
      <c r="J521">
        <f xml:space="preserve"> YEAR(sa_retail_sales[[#This Row],[Order Date]])</f>
        <v>2024</v>
      </c>
    </row>
    <row r="522" spans="1:10" x14ac:dyDescent="0.3">
      <c r="A522" s="1">
        <v>45486</v>
      </c>
      <c r="B522" t="s">
        <v>17</v>
      </c>
      <c r="C522" t="s">
        <v>9</v>
      </c>
      <c r="D522" t="s">
        <v>12</v>
      </c>
      <c r="E522">
        <v>4234</v>
      </c>
      <c r="F522">
        <v>7474</v>
      </c>
      <c r="G522">
        <v>15</v>
      </c>
      <c r="H522">
        <v>-3240</v>
      </c>
      <c r="I522" s="2">
        <f>sa_retail_sales[[#This Row],[Profit]] / sa_retail_sales[[#This Row],[Revenue]]</f>
        <v>-0.76523382144544161</v>
      </c>
      <c r="J522">
        <f xml:space="preserve"> YEAR(sa_retail_sales[[#This Row],[Order Date]])</f>
        <v>2024</v>
      </c>
    </row>
    <row r="523" spans="1:10" x14ac:dyDescent="0.3">
      <c r="A523" s="1">
        <v>45470</v>
      </c>
      <c r="B523" t="s">
        <v>11</v>
      </c>
      <c r="C523" t="s">
        <v>9</v>
      </c>
      <c r="D523" t="s">
        <v>15</v>
      </c>
      <c r="E523">
        <v>9936</v>
      </c>
      <c r="F523">
        <v>5414</v>
      </c>
      <c r="G523">
        <v>5</v>
      </c>
      <c r="H523">
        <v>4522</v>
      </c>
      <c r="I523" s="2">
        <f>sa_retail_sales[[#This Row],[Profit]] / sa_retail_sales[[#This Row],[Revenue]]</f>
        <v>0.45511272141706927</v>
      </c>
      <c r="J523">
        <f xml:space="preserve"> YEAR(sa_retail_sales[[#This Row],[Order Date]])</f>
        <v>2024</v>
      </c>
    </row>
    <row r="524" spans="1:10" x14ac:dyDescent="0.3">
      <c r="A524" s="1">
        <v>44951</v>
      </c>
      <c r="B524" t="s">
        <v>18</v>
      </c>
      <c r="C524" t="s">
        <v>14</v>
      </c>
      <c r="D524" t="s">
        <v>19</v>
      </c>
      <c r="E524">
        <v>6472</v>
      </c>
      <c r="F524">
        <v>4962</v>
      </c>
      <c r="G524">
        <v>10</v>
      </c>
      <c r="H524">
        <v>1510</v>
      </c>
      <c r="I524" s="2">
        <f>sa_retail_sales[[#This Row],[Profit]] / sa_retail_sales[[#This Row],[Revenue]]</f>
        <v>0.23331273176761433</v>
      </c>
      <c r="J524">
        <f xml:space="preserve"> YEAR(sa_retail_sales[[#This Row],[Order Date]])</f>
        <v>2023</v>
      </c>
    </row>
    <row r="525" spans="1:10" x14ac:dyDescent="0.3">
      <c r="A525" s="1">
        <v>45444</v>
      </c>
      <c r="B525" t="s">
        <v>18</v>
      </c>
      <c r="C525" t="s">
        <v>9</v>
      </c>
      <c r="D525" t="s">
        <v>12</v>
      </c>
      <c r="E525">
        <v>7139</v>
      </c>
      <c r="F525">
        <v>4626</v>
      </c>
      <c r="G525">
        <v>10</v>
      </c>
      <c r="H525">
        <v>2513</v>
      </c>
      <c r="I525" s="2">
        <f>sa_retail_sales[[#This Row],[Profit]] / sa_retail_sales[[#This Row],[Revenue]]</f>
        <v>0.35201008544614093</v>
      </c>
      <c r="J525">
        <f xml:space="preserve"> YEAR(sa_retail_sales[[#This Row],[Order Date]])</f>
        <v>2024</v>
      </c>
    </row>
    <row r="526" spans="1:10" x14ac:dyDescent="0.3">
      <c r="A526" s="1">
        <v>44817</v>
      </c>
      <c r="B526" t="s">
        <v>11</v>
      </c>
      <c r="C526" t="s">
        <v>9</v>
      </c>
      <c r="D526" t="s">
        <v>19</v>
      </c>
      <c r="E526">
        <v>5856</v>
      </c>
      <c r="F526">
        <v>9365</v>
      </c>
      <c r="G526">
        <v>15</v>
      </c>
      <c r="H526">
        <v>-3509</v>
      </c>
      <c r="I526" s="2">
        <f>sa_retail_sales[[#This Row],[Profit]] / sa_retail_sales[[#This Row],[Revenue]]</f>
        <v>-0.59921448087431695</v>
      </c>
      <c r="J526">
        <f xml:space="preserve"> YEAR(sa_retail_sales[[#This Row],[Order Date]])</f>
        <v>2022</v>
      </c>
    </row>
    <row r="527" spans="1:10" x14ac:dyDescent="0.3">
      <c r="A527" s="1">
        <v>45270</v>
      </c>
      <c r="B527" t="s">
        <v>18</v>
      </c>
      <c r="C527" t="s">
        <v>16</v>
      </c>
      <c r="D527" t="s">
        <v>12</v>
      </c>
      <c r="E527">
        <v>6880</v>
      </c>
      <c r="F527">
        <v>11113</v>
      </c>
      <c r="G527">
        <v>0</v>
      </c>
      <c r="H527">
        <v>-4233</v>
      </c>
      <c r="I527" s="2">
        <f>sa_retail_sales[[#This Row],[Profit]] / sa_retail_sales[[#This Row],[Revenue]]</f>
        <v>-0.61526162790697669</v>
      </c>
      <c r="J527">
        <f xml:space="preserve"> YEAR(sa_retail_sales[[#This Row],[Order Date]])</f>
        <v>2023</v>
      </c>
    </row>
    <row r="528" spans="1:10" x14ac:dyDescent="0.3">
      <c r="A528" s="1">
        <v>45011</v>
      </c>
      <c r="B528" t="s">
        <v>17</v>
      </c>
      <c r="C528" t="s">
        <v>14</v>
      </c>
      <c r="D528" t="s">
        <v>15</v>
      </c>
      <c r="E528">
        <v>1508</v>
      </c>
      <c r="F528">
        <v>4635</v>
      </c>
      <c r="G528">
        <v>10</v>
      </c>
      <c r="H528">
        <v>-3127</v>
      </c>
      <c r="I528" s="2">
        <f>sa_retail_sales[[#This Row],[Profit]] / sa_retail_sales[[#This Row],[Revenue]]</f>
        <v>-2.0736074270557028</v>
      </c>
      <c r="J528">
        <f xml:space="preserve"> YEAR(sa_retail_sales[[#This Row],[Order Date]])</f>
        <v>2023</v>
      </c>
    </row>
    <row r="529" spans="1:10" x14ac:dyDescent="0.3">
      <c r="A529" s="1">
        <v>44571</v>
      </c>
      <c r="B529" t="s">
        <v>18</v>
      </c>
      <c r="C529" t="s">
        <v>13</v>
      </c>
      <c r="D529" t="s">
        <v>10</v>
      </c>
      <c r="E529">
        <v>4814</v>
      </c>
      <c r="F529">
        <v>8581</v>
      </c>
      <c r="G529">
        <v>15</v>
      </c>
      <c r="H529">
        <v>-3767</v>
      </c>
      <c r="I529" s="2">
        <f>sa_retail_sales[[#This Row],[Profit]] / sa_retail_sales[[#This Row],[Revenue]]</f>
        <v>-0.78250934773577063</v>
      </c>
      <c r="J529">
        <f xml:space="preserve"> YEAR(sa_retail_sales[[#This Row],[Order Date]])</f>
        <v>2022</v>
      </c>
    </row>
    <row r="530" spans="1:10" x14ac:dyDescent="0.3">
      <c r="A530" s="1">
        <v>45385</v>
      </c>
      <c r="B530" t="s">
        <v>17</v>
      </c>
      <c r="C530" t="s">
        <v>9</v>
      </c>
      <c r="D530" t="s">
        <v>15</v>
      </c>
      <c r="E530">
        <v>10202</v>
      </c>
      <c r="F530">
        <v>10771</v>
      </c>
      <c r="G530">
        <v>0</v>
      </c>
      <c r="H530">
        <v>-569</v>
      </c>
      <c r="I530" s="2">
        <f>sa_retail_sales[[#This Row],[Profit]] / sa_retail_sales[[#This Row],[Revenue]]</f>
        <v>-5.5773377769064887E-2</v>
      </c>
      <c r="J530">
        <f xml:space="preserve"> YEAR(sa_retail_sales[[#This Row],[Order Date]])</f>
        <v>2024</v>
      </c>
    </row>
    <row r="531" spans="1:10" x14ac:dyDescent="0.3">
      <c r="A531" s="1">
        <v>45359</v>
      </c>
      <c r="B531" t="s">
        <v>8</v>
      </c>
      <c r="C531" t="s">
        <v>13</v>
      </c>
      <c r="D531" t="s">
        <v>15</v>
      </c>
      <c r="E531">
        <v>10651</v>
      </c>
      <c r="F531">
        <v>8948</v>
      </c>
      <c r="G531">
        <v>15</v>
      </c>
      <c r="H531">
        <v>1703</v>
      </c>
      <c r="I531" s="2">
        <f>sa_retail_sales[[#This Row],[Profit]] / sa_retail_sales[[#This Row],[Revenue]]</f>
        <v>0.15989109003849403</v>
      </c>
      <c r="J531">
        <f xml:space="preserve"> YEAR(sa_retail_sales[[#This Row],[Order Date]])</f>
        <v>2024</v>
      </c>
    </row>
    <row r="532" spans="1:10" x14ac:dyDescent="0.3">
      <c r="A532" s="1">
        <v>45438</v>
      </c>
      <c r="B532" t="s">
        <v>8</v>
      </c>
      <c r="C532" t="s">
        <v>13</v>
      </c>
      <c r="D532" t="s">
        <v>10</v>
      </c>
      <c r="E532">
        <v>3008</v>
      </c>
      <c r="F532">
        <v>10772</v>
      </c>
      <c r="G532">
        <v>0</v>
      </c>
      <c r="H532">
        <v>-7764</v>
      </c>
      <c r="I532" s="2">
        <f>sa_retail_sales[[#This Row],[Profit]] / sa_retail_sales[[#This Row],[Revenue]]</f>
        <v>-2.5811170212765959</v>
      </c>
      <c r="J532">
        <f xml:space="preserve"> YEAR(sa_retail_sales[[#This Row],[Order Date]])</f>
        <v>2024</v>
      </c>
    </row>
    <row r="533" spans="1:10" x14ac:dyDescent="0.3">
      <c r="A533" s="1">
        <v>45590</v>
      </c>
      <c r="B533" t="s">
        <v>8</v>
      </c>
      <c r="C533" t="s">
        <v>16</v>
      </c>
      <c r="D533" t="s">
        <v>10</v>
      </c>
      <c r="E533">
        <v>5258</v>
      </c>
      <c r="F533">
        <v>9496</v>
      </c>
      <c r="G533">
        <v>20</v>
      </c>
      <c r="H533">
        <v>-4238</v>
      </c>
      <c r="I533" s="2">
        <f>sa_retail_sales[[#This Row],[Profit]] / sa_retail_sales[[#This Row],[Revenue]]</f>
        <v>-0.80600988969189802</v>
      </c>
      <c r="J533">
        <f xml:space="preserve"> YEAR(sa_retail_sales[[#This Row],[Order Date]])</f>
        <v>2024</v>
      </c>
    </row>
    <row r="534" spans="1:10" x14ac:dyDescent="0.3">
      <c r="A534" s="1">
        <v>45577</v>
      </c>
      <c r="B534" t="s">
        <v>8</v>
      </c>
      <c r="C534" t="s">
        <v>9</v>
      </c>
      <c r="D534" t="s">
        <v>12</v>
      </c>
      <c r="E534">
        <v>3182</v>
      </c>
      <c r="F534">
        <v>5794</v>
      </c>
      <c r="G534">
        <v>0</v>
      </c>
      <c r="H534">
        <v>-2612</v>
      </c>
      <c r="I534" s="2">
        <f>sa_retail_sales[[#This Row],[Profit]] / sa_retail_sales[[#This Row],[Revenue]]</f>
        <v>-0.82086737900691387</v>
      </c>
      <c r="J534">
        <f xml:space="preserve"> YEAR(sa_retail_sales[[#This Row],[Order Date]])</f>
        <v>2024</v>
      </c>
    </row>
    <row r="535" spans="1:10" x14ac:dyDescent="0.3">
      <c r="A535" s="1">
        <v>44935</v>
      </c>
      <c r="B535" t="s">
        <v>18</v>
      </c>
      <c r="C535" t="s">
        <v>14</v>
      </c>
      <c r="D535" t="s">
        <v>12</v>
      </c>
      <c r="E535">
        <v>7811</v>
      </c>
      <c r="F535">
        <v>8836</v>
      </c>
      <c r="G535">
        <v>5</v>
      </c>
      <c r="H535">
        <v>-1025</v>
      </c>
      <c r="I535" s="2">
        <f>sa_retail_sales[[#This Row],[Profit]] / sa_retail_sales[[#This Row],[Revenue]]</f>
        <v>-0.1312251952374856</v>
      </c>
      <c r="J535">
        <f xml:space="preserve"> YEAR(sa_retail_sales[[#This Row],[Order Date]])</f>
        <v>2023</v>
      </c>
    </row>
    <row r="536" spans="1:10" x14ac:dyDescent="0.3">
      <c r="A536" s="1">
        <v>45650</v>
      </c>
      <c r="B536" t="s">
        <v>11</v>
      </c>
      <c r="C536" t="s">
        <v>9</v>
      </c>
      <c r="D536" t="s">
        <v>19</v>
      </c>
      <c r="E536">
        <v>1489</v>
      </c>
      <c r="F536">
        <v>3011</v>
      </c>
      <c r="G536">
        <v>20</v>
      </c>
      <c r="H536">
        <v>-1522</v>
      </c>
      <c r="I536" s="2">
        <f>sa_retail_sales[[#This Row],[Profit]] / sa_retail_sales[[#This Row],[Revenue]]</f>
        <v>-1.0221625251846878</v>
      </c>
      <c r="J536">
        <f xml:space="preserve"> YEAR(sa_retail_sales[[#This Row],[Order Date]])</f>
        <v>2024</v>
      </c>
    </row>
    <row r="537" spans="1:10" x14ac:dyDescent="0.3">
      <c r="A537" s="1">
        <v>44707</v>
      </c>
      <c r="B537" t="s">
        <v>18</v>
      </c>
      <c r="C537" t="s">
        <v>13</v>
      </c>
      <c r="D537" t="s">
        <v>19</v>
      </c>
      <c r="E537">
        <v>12976</v>
      </c>
      <c r="F537">
        <v>7895</v>
      </c>
      <c r="G537">
        <v>15</v>
      </c>
      <c r="H537">
        <v>5081</v>
      </c>
      <c r="I537" s="2">
        <f>sa_retail_sales[[#This Row],[Profit]] / sa_retail_sales[[#This Row],[Revenue]]</f>
        <v>0.39156905055487051</v>
      </c>
      <c r="J537">
        <f xml:space="preserve"> YEAR(sa_retail_sales[[#This Row],[Order Date]])</f>
        <v>2022</v>
      </c>
    </row>
    <row r="538" spans="1:10" x14ac:dyDescent="0.3">
      <c r="A538" s="1">
        <v>44785</v>
      </c>
      <c r="B538" t="s">
        <v>17</v>
      </c>
      <c r="C538" t="s">
        <v>14</v>
      </c>
      <c r="D538" t="s">
        <v>15</v>
      </c>
      <c r="E538">
        <v>8946</v>
      </c>
      <c r="F538">
        <v>6573</v>
      </c>
      <c r="G538">
        <v>20</v>
      </c>
      <c r="H538">
        <v>2373</v>
      </c>
      <c r="I538" s="2">
        <f>sa_retail_sales[[#This Row],[Profit]] / sa_retail_sales[[#This Row],[Revenue]]</f>
        <v>0.26525821596244131</v>
      </c>
      <c r="J538">
        <f xml:space="preserve"> YEAR(sa_retail_sales[[#This Row],[Order Date]])</f>
        <v>2022</v>
      </c>
    </row>
    <row r="539" spans="1:10" x14ac:dyDescent="0.3">
      <c r="A539" s="1">
        <v>44738</v>
      </c>
      <c r="B539" t="s">
        <v>18</v>
      </c>
      <c r="C539" t="s">
        <v>9</v>
      </c>
      <c r="D539" t="s">
        <v>10</v>
      </c>
      <c r="E539">
        <v>12855</v>
      </c>
      <c r="F539">
        <v>6584</v>
      </c>
      <c r="G539">
        <v>20</v>
      </c>
      <c r="H539">
        <v>6271</v>
      </c>
      <c r="I539" s="2">
        <f>sa_retail_sales[[#This Row],[Profit]] / sa_retail_sales[[#This Row],[Revenue]]</f>
        <v>0.48782574873590046</v>
      </c>
      <c r="J539">
        <f xml:space="preserve"> YEAR(sa_retail_sales[[#This Row],[Order Date]])</f>
        <v>2022</v>
      </c>
    </row>
    <row r="540" spans="1:10" x14ac:dyDescent="0.3">
      <c r="A540" s="1">
        <v>45414</v>
      </c>
      <c r="B540" t="s">
        <v>18</v>
      </c>
      <c r="C540" t="s">
        <v>13</v>
      </c>
      <c r="D540" t="s">
        <v>19</v>
      </c>
      <c r="E540">
        <v>5211</v>
      </c>
      <c r="F540">
        <v>10954</v>
      </c>
      <c r="G540">
        <v>15</v>
      </c>
      <c r="H540">
        <v>-5743</v>
      </c>
      <c r="I540" s="2">
        <f>sa_retail_sales[[#This Row],[Profit]] / sa_retail_sales[[#This Row],[Revenue]]</f>
        <v>-1.1020917290347343</v>
      </c>
      <c r="J540">
        <f xml:space="preserve"> YEAR(sa_retail_sales[[#This Row],[Order Date]])</f>
        <v>2024</v>
      </c>
    </row>
    <row r="541" spans="1:10" x14ac:dyDescent="0.3">
      <c r="A541" s="1">
        <v>44624</v>
      </c>
      <c r="B541" t="s">
        <v>17</v>
      </c>
      <c r="C541" t="s">
        <v>13</v>
      </c>
      <c r="D541" t="s">
        <v>15</v>
      </c>
      <c r="E541">
        <v>6979</v>
      </c>
      <c r="F541">
        <v>9608</v>
      </c>
      <c r="G541">
        <v>15</v>
      </c>
      <c r="H541">
        <v>-2629</v>
      </c>
      <c r="I541" s="2">
        <f>sa_retail_sales[[#This Row],[Profit]] / sa_retail_sales[[#This Row],[Revenue]]</f>
        <v>-0.3767015331709414</v>
      </c>
      <c r="J541">
        <f xml:space="preserve"> YEAR(sa_retail_sales[[#This Row],[Order Date]])</f>
        <v>2022</v>
      </c>
    </row>
    <row r="542" spans="1:10" x14ac:dyDescent="0.3">
      <c r="A542" s="1">
        <v>45388</v>
      </c>
      <c r="B542" t="s">
        <v>8</v>
      </c>
      <c r="C542" t="s">
        <v>16</v>
      </c>
      <c r="D542" t="s">
        <v>10</v>
      </c>
      <c r="E542">
        <v>7464</v>
      </c>
      <c r="F542">
        <v>9117</v>
      </c>
      <c r="G542">
        <v>5</v>
      </c>
      <c r="H542">
        <v>-1653</v>
      </c>
      <c r="I542" s="2">
        <f>sa_retail_sales[[#This Row],[Profit]] / sa_retail_sales[[#This Row],[Revenue]]</f>
        <v>-0.22146302250803859</v>
      </c>
      <c r="J542">
        <f xml:space="preserve"> YEAR(sa_retail_sales[[#This Row],[Order Date]])</f>
        <v>2024</v>
      </c>
    </row>
    <row r="543" spans="1:10" x14ac:dyDescent="0.3">
      <c r="A543" s="1">
        <v>45356</v>
      </c>
      <c r="B543" t="s">
        <v>8</v>
      </c>
      <c r="C543" t="s">
        <v>16</v>
      </c>
      <c r="D543" t="s">
        <v>12</v>
      </c>
      <c r="E543">
        <v>13661</v>
      </c>
      <c r="F543">
        <v>10471</v>
      </c>
      <c r="G543">
        <v>15</v>
      </c>
      <c r="H543">
        <v>3190</v>
      </c>
      <c r="I543" s="2">
        <f>sa_retail_sales[[#This Row],[Profit]] / sa_retail_sales[[#This Row],[Revenue]]</f>
        <v>0.23351145596954834</v>
      </c>
      <c r="J543">
        <f xml:space="preserve"> YEAR(sa_retail_sales[[#This Row],[Order Date]])</f>
        <v>2024</v>
      </c>
    </row>
    <row r="544" spans="1:10" x14ac:dyDescent="0.3">
      <c r="A544" s="1">
        <v>45250</v>
      </c>
      <c r="B544" t="s">
        <v>8</v>
      </c>
      <c r="C544" t="s">
        <v>16</v>
      </c>
      <c r="D544" t="s">
        <v>15</v>
      </c>
      <c r="E544">
        <v>8575</v>
      </c>
      <c r="F544">
        <v>4294</v>
      </c>
      <c r="G544">
        <v>10</v>
      </c>
      <c r="H544">
        <v>4281</v>
      </c>
      <c r="I544" s="2">
        <f>sa_retail_sales[[#This Row],[Profit]] / sa_retail_sales[[#This Row],[Revenue]]</f>
        <v>0.49924198250728863</v>
      </c>
      <c r="J544">
        <f xml:space="preserve"> YEAR(sa_retail_sales[[#This Row],[Order Date]])</f>
        <v>2023</v>
      </c>
    </row>
    <row r="545" spans="1:10" x14ac:dyDescent="0.3">
      <c r="A545" s="1">
        <v>44666</v>
      </c>
      <c r="B545" t="s">
        <v>11</v>
      </c>
      <c r="C545" t="s">
        <v>13</v>
      </c>
      <c r="D545" t="s">
        <v>12</v>
      </c>
      <c r="E545">
        <v>14413</v>
      </c>
      <c r="F545">
        <v>1978</v>
      </c>
      <c r="G545">
        <v>10</v>
      </c>
      <c r="H545">
        <v>12435</v>
      </c>
      <c r="I545" s="2">
        <f>sa_retail_sales[[#This Row],[Profit]] / sa_retail_sales[[#This Row],[Revenue]]</f>
        <v>0.86276278359814051</v>
      </c>
      <c r="J545">
        <f xml:space="preserve"> YEAR(sa_retail_sales[[#This Row],[Order Date]])</f>
        <v>2022</v>
      </c>
    </row>
    <row r="546" spans="1:10" x14ac:dyDescent="0.3">
      <c r="A546" s="1">
        <v>45072</v>
      </c>
      <c r="B546" t="s">
        <v>17</v>
      </c>
      <c r="C546" t="s">
        <v>9</v>
      </c>
      <c r="D546" t="s">
        <v>19</v>
      </c>
      <c r="E546">
        <v>4952</v>
      </c>
      <c r="F546">
        <v>8714</v>
      </c>
      <c r="G546">
        <v>5</v>
      </c>
      <c r="H546">
        <v>-3762</v>
      </c>
      <c r="I546" s="2">
        <f>sa_retail_sales[[#This Row],[Profit]] / sa_retail_sales[[#This Row],[Revenue]]</f>
        <v>-0.75969305331179326</v>
      </c>
      <c r="J546">
        <f xml:space="preserve"> YEAR(sa_retail_sales[[#This Row],[Order Date]])</f>
        <v>2023</v>
      </c>
    </row>
    <row r="547" spans="1:10" x14ac:dyDescent="0.3">
      <c r="A547" s="1">
        <v>44946</v>
      </c>
      <c r="B547" t="s">
        <v>17</v>
      </c>
      <c r="C547" t="s">
        <v>16</v>
      </c>
      <c r="D547" t="s">
        <v>19</v>
      </c>
      <c r="E547">
        <v>8947</v>
      </c>
      <c r="F547">
        <v>1043</v>
      </c>
      <c r="G547">
        <v>0</v>
      </c>
      <c r="H547">
        <v>7904</v>
      </c>
      <c r="I547" s="2">
        <f>sa_retail_sales[[#This Row],[Profit]] / sa_retail_sales[[#This Row],[Revenue]]</f>
        <v>0.8834246116016542</v>
      </c>
      <c r="J547">
        <f xml:space="preserve"> YEAR(sa_retail_sales[[#This Row],[Order Date]])</f>
        <v>2023</v>
      </c>
    </row>
    <row r="548" spans="1:10" x14ac:dyDescent="0.3">
      <c r="A548" s="1">
        <v>44966</v>
      </c>
      <c r="B548" t="s">
        <v>18</v>
      </c>
      <c r="C548" t="s">
        <v>9</v>
      </c>
      <c r="D548" t="s">
        <v>10</v>
      </c>
      <c r="E548">
        <v>1507</v>
      </c>
      <c r="F548">
        <v>762</v>
      </c>
      <c r="G548">
        <v>0</v>
      </c>
      <c r="H548">
        <v>745</v>
      </c>
      <c r="I548" s="2">
        <f>sa_retail_sales[[#This Row],[Profit]] / sa_retail_sales[[#This Row],[Revenue]]</f>
        <v>0.49435965494359657</v>
      </c>
      <c r="J548">
        <f xml:space="preserve"> YEAR(sa_retail_sales[[#This Row],[Order Date]])</f>
        <v>2023</v>
      </c>
    </row>
    <row r="549" spans="1:10" x14ac:dyDescent="0.3">
      <c r="A549" s="1">
        <v>45384</v>
      </c>
      <c r="B549" t="s">
        <v>11</v>
      </c>
      <c r="C549" t="s">
        <v>16</v>
      </c>
      <c r="D549" t="s">
        <v>15</v>
      </c>
      <c r="E549">
        <v>6996</v>
      </c>
      <c r="F549">
        <v>1868</v>
      </c>
      <c r="G549">
        <v>10</v>
      </c>
      <c r="H549">
        <v>5128</v>
      </c>
      <c r="I549" s="2">
        <f>sa_retail_sales[[#This Row],[Profit]] / sa_retail_sales[[#This Row],[Revenue]]</f>
        <v>0.73299028016009149</v>
      </c>
      <c r="J549">
        <f xml:space="preserve"> YEAR(sa_retail_sales[[#This Row],[Order Date]])</f>
        <v>2024</v>
      </c>
    </row>
    <row r="550" spans="1:10" x14ac:dyDescent="0.3">
      <c r="A550" s="1">
        <v>45079</v>
      </c>
      <c r="B550" t="s">
        <v>8</v>
      </c>
      <c r="C550" t="s">
        <v>14</v>
      </c>
      <c r="D550" t="s">
        <v>12</v>
      </c>
      <c r="E550">
        <v>10447</v>
      </c>
      <c r="F550">
        <v>11839</v>
      </c>
      <c r="G550">
        <v>15</v>
      </c>
      <c r="H550">
        <v>-1392</v>
      </c>
      <c r="I550" s="2">
        <f>sa_retail_sales[[#This Row],[Profit]] / sa_retail_sales[[#This Row],[Revenue]]</f>
        <v>-0.13324399349095434</v>
      </c>
      <c r="J550">
        <f xml:space="preserve"> YEAR(sa_retail_sales[[#This Row],[Order Date]])</f>
        <v>2023</v>
      </c>
    </row>
    <row r="551" spans="1:10" x14ac:dyDescent="0.3">
      <c r="A551" s="1">
        <v>45037</v>
      </c>
      <c r="B551" t="s">
        <v>11</v>
      </c>
      <c r="C551" t="s">
        <v>14</v>
      </c>
      <c r="D551" t="s">
        <v>10</v>
      </c>
      <c r="E551">
        <v>8188</v>
      </c>
      <c r="F551">
        <v>2036</v>
      </c>
      <c r="G551">
        <v>5</v>
      </c>
      <c r="H551">
        <v>6152</v>
      </c>
      <c r="I551" s="2">
        <f>sa_retail_sales[[#This Row],[Profit]] / sa_retail_sales[[#This Row],[Revenue]]</f>
        <v>0.75134342940889109</v>
      </c>
      <c r="J551">
        <f xml:space="preserve"> YEAR(sa_retail_sales[[#This Row],[Order Date]])</f>
        <v>2023</v>
      </c>
    </row>
    <row r="552" spans="1:10" x14ac:dyDescent="0.3">
      <c r="A552" s="1">
        <v>45270</v>
      </c>
      <c r="B552" t="s">
        <v>17</v>
      </c>
      <c r="C552" t="s">
        <v>16</v>
      </c>
      <c r="D552" t="s">
        <v>19</v>
      </c>
      <c r="E552">
        <v>11263</v>
      </c>
      <c r="F552">
        <v>8203</v>
      </c>
      <c r="G552">
        <v>0</v>
      </c>
      <c r="H552">
        <v>3060</v>
      </c>
      <c r="I552" s="2">
        <f>sa_retail_sales[[#This Row],[Profit]] / sa_retail_sales[[#This Row],[Revenue]]</f>
        <v>0.27168605167362159</v>
      </c>
      <c r="J552">
        <f xml:space="preserve"> YEAR(sa_retail_sales[[#This Row],[Order Date]])</f>
        <v>2023</v>
      </c>
    </row>
    <row r="553" spans="1:10" x14ac:dyDescent="0.3">
      <c r="A553" s="1">
        <v>45332</v>
      </c>
      <c r="B553" t="s">
        <v>17</v>
      </c>
      <c r="C553" t="s">
        <v>13</v>
      </c>
      <c r="D553" t="s">
        <v>19</v>
      </c>
      <c r="E553">
        <v>4408</v>
      </c>
      <c r="F553">
        <v>7302</v>
      </c>
      <c r="G553">
        <v>0</v>
      </c>
      <c r="H553">
        <v>-2894</v>
      </c>
      <c r="I553" s="2">
        <f>sa_retail_sales[[#This Row],[Profit]] / sa_retail_sales[[#This Row],[Revenue]]</f>
        <v>-0.65653357531760437</v>
      </c>
      <c r="J553">
        <f xml:space="preserve"> YEAR(sa_retail_sales[[#This Row],[Order Date]])</f>
        <v>2024</v>
      </c>
    </row>
    <row r="554" spans="1:10" x14ac:dyDescent="0.3">
      <c r="A554" s="1">
        <v>45608</v>
      </c>
      <c r="B554" t="s">
        <v>18</v>
      </c>
      <c r="C554" t="s">
        <v>16</v>
      </c>
      <c r="D554" t="s">
        <v>15</v>
      </c>
      <c r="E554">
        <v>11689</v>
      </c>
      <c r="F554">
        <v>9156</v>
      </c>
      <c r="G554">
        <v>20</v>
      </c>
      <c r="H554">
        <v>2533</v>
      </c>
      <c r="I554" s="2">
        <f>sa_retail_sales[[#This Row],[Profit]] / sa_retail_sales[[#This Row],[Revenue]]</f>
        <v>0.21669946103173923</v>
      </c>
      <c r="J554">
        <f xml:space="preserve"> YEAR(sa_retail_sales[[#This Row],[Order Date]])</f>
        <v>2024</v>
      </c>
    </row>
    <row r="555" spans="1:10" x14ac:dyDescent="0.3">
      <c r="A555" s="1">
        <v>45558</v>
      </c>
      <c r="B555" t="s">
        <v>18</v>
      </c>
      <c r="C555" t="s">
        <v>16</v>
      </c>
      <c r="D555" t="s">
        <v>12</v>
      </c>
      <c r="E555">
        <v>3303</v>
      </c>
      <c r="F555">
        <v>1656</v>
      </c>
      <c r="G555">
        <v>10</v>
      </c>
      <c r="H555">
        <v>1647</v>
      </c>
      <c r="I555" s="2">
        <f>sa_retail_sales[[#This Row],[Profit]] / sa_retail_sales[[#This Row],[Revenue]]</f>
        <v>0.49863760217983649</v>
      </c>
      <c r="J555">
        <f xml:space="preserve"> YEAR(sa_retail_sales[[#This Row],[Order Date]])</f>
        <v>2024</v>
      </c>
    </row>
    <row r="556" spans="1:10" x14ac:dyDescent="0.3">
      <c r="A556" s="1">
        <v>45238</v>
      </c>
      <c r="B556" t="s">
        <v>17</v>
      </c>
      <c r="C556" t="s">
        <v>13</v>
      </c>
      <c r="D556" t="s">
        <v>15</v>
      </c>
      <c r="E556">
        <v>12457</v>
      </c>
      <c r="F556">
        <v>1314</v>
      </c>
      <c r="G556">
        <v>15</v>
      </c>
      <c r="H556">
        <v>11143</v>
      </c>
      <c r="I556" s="2">
        <f>sa_retail_sales[[#This Row],[Profit]] / sa_retail_sales[[#This Row],[Revenue]]</f>
        <v>0.89451713895801555</v>
      </c>
      <c r="J556">
        <f xml:space="preserve"> YEAR(sa_retail_sales[[#This Row],[Order Date]])</f>
        <v>2023</v>
      </c>
    </row>
    <row r="557" spans="1:10" x14ac:dyDescent="0.3">
      <c r="A557" s="1">
        <v>45275</v>
      </c>
      <c r="B557" t="s">
        <v>8</v>
      </c>
      <c r="C557" t="s">
        <v>14</v>
      </c>
      <c r="D557" t="s">
        <v>12</v>
      </c>
      <c r="E557">
        <v>4879</v>
      </c>
      <c r="F557">
        <v>10624</v>
      </c>
      <c r="G557">
        <v>5</v>
      </c>
      <c r="H557">
        <v>-5745</v>
      </c>
      <c r="I557" s="2">
        <f>sa_retail_sales[[#This Row],[Profit]] / sa_retail_sales[[#This Row],[Revenue]]</f>
        <v>-1.177495388399262</v>
      </c>
      <c r="J557">
        <f xml:space="preserve"> YEAR(sa_retail_sales[[#This Row],[Order Date]])</f>
        <v>2023</v>
      </c>
    </row>
    <row r="558" spans="1:10" x14ac:dyDescent="0.3">
      <c r="A558" s="1">
        <v>44644</v>
      </c>
      <c r="B558" t="s">
        <v>8</v>
      </c>
      <c r="C558" t="s">
        <v>9</v>
      </c>
      <c r="D558" t="s">
        <v>12</v>
      </c>
      <c r="E558">
        <v>12075</v>
      </c>
      <c r="F558">
        <v>11160</v>
      </c>
      <c r="G558">
        <v>0</v>
      </c>
      <c r="H558">
        <v>915</v>
      </c>
      <c r="I558" s="2">
        <f>sa_retail_sales[[#This Row],[Profit]] / sa_retail_sales[[#This Row],[Revenue]]</f>
        <v>7.5776397515527949E-2</v>
      </c>
      <c r="J558">
        <f xml:space="preserve"> YEAR(sa_retail_sales[[#This Row],[Order Date]])</f>
        <v>2022</v>
      </c>
    </row>
    <row r="559" spans="1:10" x14ac:dyDescent="0.3">
      <c r="A559" s="1">
        <v>45018</v>
      </c>
      <c r="B559" t="s">
        <v>11</v>
      </c>
      <c r="C559" t="s">
        <v>16</v>
      </c>
      <c r="D559" t="s">
        <v>15</v>
      </c>
      <c r="E559">
        <v>598</v>
      </c>
      <c r="F559">
        <v>1354</v>
      </c>
      <c r="G559">
        <v>20</v>
      </c>
      <c r="H559">
        <v>-756</v>
      </c>
      <c r="I559" s="2">
        <f>sa_retail_sales[[#This Row],[Profit]] / sa_retail_sales[[#This Row],[Revenue]]</f>
        <v>-1.2642140468227425</v>
      </c>
      <c r="J559">
        <f xml:space="preserve"> YEAR(sa_retail_sales[[#This Row],[Order Date]])</f>
        <v>2023</v>
      </c>
    </row>
    <row r="560" spans="1:10" x14ac:dyDescent="0.3">
      <c r="A560" s="1">
        <v>44562</v>
      </c>
      <c r="B560" t="s">
        <v>17</v>
      </c>
      <c r="C560" t="s">
        <v>13</v>
      </c>
      <c r="D560" t="s">
        <v>10</v>
      </c>
      <c r="E560">
        <v>8888</v>
      </c>
      <c r="F560">
        <v>2064</v>
      </c>
      <c r="G560">
        <v>10</v>
      </c>
      <c r="H560">
        <v>6824</v>
      </c>
      <c r="I560" s="2">
        <f>sa_retail_sales[[#This Row],[Profit]] / sa_retail_sales[[#This Row],[Revenue]]</f>
        <v>0.76777677767776775</v>
      </c>
      <c r="J560">
        <f xml:space="preserve"> YEAR(sa_retail_sales[[#This Row],[Order Date]])</f>
        <v>2022</v>
      </c>
    </row>
    <row r="561" spans="1:10" x14ac:dyDescent="0.3">
      <c r="A561" s="1">
        <v>44612</v>
      </c>
      <c r="B561" t="s">
        <v>17</v>
      </c>
      <c r="C561" t="s">
        <v>16</v>
      </c>
      <c r="D561" t="s">
        <v>15</v>
      </c>
      <c r="E561">
        <v>11221</v>
      </c>
      <c r="F561">
        <v>6309</v>
      </c>
      <c r="G561">
        <v>10</v>
      </c>
      <c r="H561">
        <v>4912</v>
      </c>
      <c r="I561" s="2">
        <f>sa_retail_sales[[#This Row],[Profit]] / sa_retail_sales[[#This Row],[Revenue]]</f>
        <v>0.43775064610997239</v>
      </c>
      <c r="J561">
        <f xml:space="preserve"> YEAR(sa_retail_sales[[#This Row],[Order Date]])</f>
        <v>2022</v>
      </c>
    </row>
    <row r="562" spans="1:10" x14ac:dyDescent="0.3">
      <c r="A562" s="1">
        <v>45246</v>
      </c>
      <c r="B562" t="s">
        <v>8</v>
      </c>
      <c r="C562" t="s">
        <v>13</v>
      </c>
      <c r="D562" t="s">
        <v>15</v>
      </c>
      <c r="E562">
        <v>1377</v>
      </c>
      <c r="F562">
        <v>4758</v>
      </c>
      <c r="G562">
        <v>5</v>
      </c>
      <c r="H562">
        <v>-3381</v>
      </c>
      <c r="I562" s="2">
        <f>sa_retail_sales[[#This Row],[Profit]] / sa_retail_sales[[#This Row],[Revenue]]</f>
        <v>-2.4553376906318083</v>
      </c>
      <c r="J562">
        <f xml:space="preserve"> YEAR(sa_retail_sales[[#This Row],[Order Date]])</f>
        <v>2023</v>
      </c>
    </row>
    <row r="563" spans="1:10" x14ac:dyDescent="0.3">
      <c r="A563" s="1">
        <v>45278</v>
      </c>
      <c r="B563" t="s">
        <v>8</v>
      </c>
      <c r="C563" t="s">
        <v>9</v>
      </c>
      <c r="D563" t="s">
        <v>19</v>
      </c>
      <c r="E563">
        <v>2368</v>
      </c>
      <c r="F563">
        <v>11361</v>
      </c>
      <c r="G563">
        <v>0</v>
      </c>
      <c r="H563">
        <v>-8993</v>
      </c>
      <c r="I563" s="2">
        <f>sa_retail_sales[[#This Row],[Profit]] / sa_retail_sales[[#This Row],[Revenue]]</f>
        <v>-3.7977195945945947</v>
      </c>
      <c r="J563">
        <f xml:space="preserve"> YEAR(sa_retail_sales[[#This Row],[Order Date]])</f>
        <v>2023</v>
      </c>
    </row>
    <row r="564" spans="1:10" x14ac:dyDescent="0.3">
      <c r="A564" s="1">
        <v>45010</v>
      </c>
      <c r="B564" t="s">
        <v>17</v>
      </c>
      <c r="C564" t="s">
        <v>9</v>
      </c>
      <c r="D564" t="s">
        <v>19</v>
      </c>
      <c r="E564">
        <v>3165</v>
      </c>
      <c r="F564">
        <v>9904</v>
      </c>
      <c r="G564">
        <v>5</v>
      </c>
      <c r="H564">
        <v>-6739</v>
      </c>
      <c r="I564" s="2">
        <f>sa_retail_sales[[#This Row],[Profit]] / sa_retail_sales[[#This Row],[Revenue]]</f>
        <v>-2.129225908372828</v>
      </c>
      <c r="J564">
        <f xml:space="preserve"> YEAR(sa_retail_sales[[#This Row],[Order Date]])</f>
        <v>2023</v>
      </c>
    </row>
    <row r="565" spans="1:10" x14ac:dyDescent="0.3">
      <c r="A565" s="1">
        <v>45442</v>
      </c>
      <c r="B565" t="s">
        <v>18</v>
      </c>
      <c r="C565" t="s">
        <v>14</v>
      </c>
      <c r="D565" t="s">
        <v>15</v>
      </c>
      <c r="E565">
        <v>1888</v>
      </c>
      <c r="F565">
        <v>967</v>
      </c>
      <c r="G565">
        <v>5</v>
      </c>
      <c r="H565">
        <v>921</v>
      </c>
      <c r="I565" s="2">
        <f>sa_retail_sales[[#This Row],[Profit]] / sa_retail_sales[[#This Row],[Revenue]]</f>
        <v>0.4878177966101695</v>
      </c>
      <c r="J565">
        <f xml:space="preserve"> YEAR(sa_retail_sales[[#This Row],[Order Date]])</f>
        <v>2024</v>
      </c>
    </row>
    <row r="566" spans="1:10" x14ac:dyDescent="0.3">
      <c r="A566" s="1">
        <v>45049</v>
      </c>
      <c r="B566" t="s">
        <v>17</v>
      </c>
      <c r="C566" t="s">
        <v>13</v>
      </c>
      <c r="D566" t="s">
        <v>15</v>
      </c>
      <c r="E566">
        <v>2915</v>
      </c>
      <c r="F566">
        <v>3670</v>
      </c>
      <c r="G566">
        <v>20</v>
      </c>
      <c r="H566">
        <v>-755</v>
      </c>
      <c r="I566" s="2">
        <f>sa_retail_sales[[#This Row],[Profit]] / sa_retail_sales[[#This Row],[Revenue]]</f>
        <v>-0.25900514579759865</v>
      </c>
      <c r="J566">
        <f xml:space="preserve"> YEAR(sa_retail_sales[[#This Row],[Order Date]])</f>
        <v>2023</v>
      </c>
    </row>
    <row r="567" spans="1:10" x14ac:dyDescent="0.3">
      <c r="A567" s="1">
        <v>44595</v>
      </c>
      <c r="B567" t="s">
        <v>17</v>
      </c>
      <c r="C567" t="s">
        <v>13</v>
      </c>
      <c r="D567" t="s">
        <v>19</v>
      </c>
      <c r="E567">
        <v>9261</v>
      </c>
      <c r="F567">
        <v>6276</v>
      </c>
      <c r="G567">
        <v>10</v>
      </c>
      <c r="H567">
        <v>2985</v>
      </c>
      <c r="I567" s="2">
        <f>sa_retail_sales[[#This Row],[Profit]] / sa_retail_sales[[#This Row],[Revenue]]</f>
        <v>0.32231940395205699</v>
      </c>
      <c r="J567">
        <f xml:space="preserve"> YEAR(sa_retail_sales[[#This Row],[Order Date]])</f>
        <v>2022</v>
      </c>
    </row>
    <row r="568" spans="1:10" x14ac:dyDescent="0.3">
      <c r="A568" s="1">
        <v>44656</v>
      </c>
      <c r="B568" t="s">
        <v>8</v>
      </c>
      <c r="C568" t="s">
        <v>14</v>
      </c>
      <c r="D568" t="s">
        <v>12</v>
      </c>
      <c r="E568">
        <v>3137</v>
      </c>
      <c r="F568">
        <v>1694</v>
      </c>
      <c r="G568">
        <v>15</v>
      </c>
      <c r="H568">
        <v>1443</v>
      </c>
      <c r="I568" s="2">
        <f>sa_retail_sales[[#This Row],[Profit]] / sa_retail_sales[[#This Row],[Revenue]]</f>
        <v>0.45999362448198916</v>
      </c>
      <c r="J568">
        <f xml:space="preserve"> YEAR(sa_retail_sales[[#This Row],[Order Date]])</f>
        <v>2022</v>
      </c>
    </row>
    <row r="569" spans="1:10" x14ac:dyDescent="0.3">
      <c r="A569" s="1">
        <v>45657</v>
      </c>
      <c r="B569" t="s">
        <v>8</v>
      </c>
      <c r="C569" t="s">
        <v>14</v>
      </c>
      <c r="D569" t="s">
        <v>15</v>
      </c>
      <c r="E569">
        <v>7742</v>
      </c>
      <c r="F569">
        <v>8590</v>
      </c>
      <c r="G569">
        <v>10</v>
      </c>
      <c r="H569">
        <v>-848</v>
      </c>
      <c r="I569" s="2">
        <f>sa_retail_sales[[#This Row],[Profit]] / sa_retail_sales[[#This Row],[Revenue]]</f>
        <v>-0.10953242056316197</v>
      </c>
      <c r="J569">
        <f xml:space="preserve"> YEAR(sa_retail_sales[[#This Row],[Order Date]])</f>
        <v>2024</v>
      </c>
    </row>
    <row r="570" spans="1:10" x14ac:dyDescent="0.3">
      <c r="A570" s="1">
        <v>44715</v>
      </c>
      <c r="B570" t="s">
        <v>18</v>
      </c>
      <c r="C570" t="s">
        <v>13</v>
      </c>
      <c r="D570" t="s">
        <v>10</v>
      </c>
      <c r="E570">
        <v>9757</v>
      </c>
      <c r="F570">
        <v>4370</v>
      </c>
      <c r="G570">
        <v>10</v>
      </c>
      <c r="H570">
        <v>5387</v>
      </c>
      <c r="I570" s="2">
        <f>sa_retail_sales[[#This Row],[Profit]] / sa_retail_sales[[#This Row],[Revenue]]</f>
        <v>0.55211642923029625</v>
      </c>
      <c r="J570">
        <f xml:space="preserve"> YEAR(sa_retail_sales[[#This Row],[Order Date]])</f>
        <v>2022</v>
      </c>
    </row>
    <row r="571" spans="1:10" x14ac:dyDescent="0.3">
      <c r="A571" s="1">
        <v>44811</v>
      </c>
      <c r="B571" t="s">
        <v>18</v>
      </c>
      <c r="C571" t="s">
        <v>14</v>
      </c>
      <c r="D571" t="s">
        <v>10</v>
      </c>
      <c r="E571">
        <v>9113</v>
      </c>
      <c r="F571">
        <v>7282</v>
      </c>
      <c r="G571">
        <v>20</v>
      </c>
      <c r="H571">
        <v>1831</v>
      </c>
      <c r="I571" s="2">
        <f>sa_retail_sales[[#This Row],[Profit]] / sa_retail_sales[[#This Row],[Revenue]]</f>
        <v>0.20092176012290136</v>
      </c>
      <c r="J571">
        <f xml:space="preserve"> YEAR(sa_retail_sales[[#This Row],[Order Date]])</f>
        <v>2022</v>
      </c>
    </row>
    <row r="572" spans="1:10" x14ac:dyDescent="0.3">
      <c r="A572" s="1">
        <v>45235</v>
      </c>
      <c r="B572" t="s">
        <v>11</v>
      </c>
      <c r="C572" t="s">
        <v>9</v>
      </c>
      <c r="D572" t="s">
        <v>10</v>
      </c>
      <c r="E572">
        <v>3383</v>
      </c>
      <c r="F572">
        <v>8913</v>
      </c>
      <c r="G572">
        <v>15</v>
      </c>
      <c r="H572">
        <v>-5530</v>
      </c>
      <c r="I572" s="2">
        <f>sa_retail_sales[[#This Row],[Profit]] / sa_retail_sales[[#This Row],[Revenue]]</f>
        <v>-1.6346438072716525</v>
      </c>
      <c r="J572">
        <f xml:space="preserve"> YEAR(sa_retail_sales[[#This Row],[Order Date]])</f>
        <v>2023</v>
      </c>
    </row>
    <row r="573" spans="1:10" x14ac:dyDescent="0.3">
      <c r="A573" s="1">
        <v>44999</v>
      </c>
      <c r="B573" t="s">
        <v>17</v>
      </c>
      <c r="C573" t="s">
        <v>16</v>
      </c>
      <c r="D573" t="s">
        <v>15</v>
      </c>
      <c r="E573">
        <v>1704</v>
      </c>
      <c r="F573">
        <v>5899</v>
      </c>
      <c r="G573">
        <v>0</v>
      </c>
      <c r="H573">
        <v>-4195</v>
      </c>
      <c r="I573" s="2">
        <f>sa_retail_sales[[#This Row],[Profit]] / sa_retail_sales[[#This Row],[Revenue]]</f>
        <v>-2.4618544600938965</v>
      </c>
      <c r="J573">
        <f xml:space="preserve"> YEAR(sa_retail_sales[[#This Row],[Order Date]])</f>
        <v>2023</v>
      </c>
    </row>
    <row r="574" spans="1:10" x14ac:dyDescent="0.3">
      <c r="A574" s="1">
        <v>44679</v>
      </c>
      <c r="B574" t="s">
        <v>8</v>
      </c>
      <c r="C574" t="s">
        <v>9</v>
      </c>
      <c r="D574" t="s">
        <v>12</v>
      </c>
      <c r="E574">
        <v>1044</v>
      </c>
      <c r="F574">
        <v>3950</v>
      </c>
      <c r="G574">
        <v>15</v>
      </c>
      <c r="H574">
        <v>-2906</v>
      </c>
      <c r="I574" s="2">
        <f>sa_retail_sales[[#This Row],[Profit]] / sa_retail_sales[[#This Row],[Revenue]]</f>
        <v>-2.7835249042145596</v>
      </c>
      <c r="J574">
        <f xml:space="preserve"> YEAR(sa_retail_sales[[#This Row],[Order Date]])</f>
        <v>2022</v>
      </c>
    </row>
    <row r="575" spans="1:10" x14ac:dyDescent="0.3">
      <c r="A575" s="1">
        <v>45332</v>
      </c>
      <c r="B575" t="s">
        <v>18</v>
      </c>
      <c r="C575" t="s">
        <v>14</v>
      </c>
      <c r="D575" t="s">
        <v>12</v>
      </c>
      <c r="E575">
        <v>12858</v>
      </c>
      <c r="F575">
        <v>9624</v>
      </c>
      <c r="G575">
        <v>0</v>
      </c>
      <c r="H575">
        <v>3234</v>
      </c>
      <c r="I575" s="2">
        <f>sa_retail_sales[[#This Row],[Profit]] / sa_retail_sales[[#This Row],[Revenue]]</f>
        <v>0.25151656556229585</v>
      </c>
      <c r="J575">
        <f xml:space="preserve"> YEAR(sa_retail_sales[[#This Row],[Order Date]])</f>
        <v>2024</v>
      </c>
    </row>
    <row r="576" spans="1:10" x14ac:dyDescent="0.3">
      <c r="A576" s="1">
        <v>44829</v>
      </c>
      <c r="B576" t="s">
        <v>11</v>
      </c>
      <c r="C576" t="s">
        <v>13</v>
      </c>
      <c r="D576" t="s">
        <v>19</v>
      </c>
      <c r="E576">
        <v>12331</v>
      </c>
      <c r="F576">
        <v>10194</v>
      </c>
      <c r="G576">
        <v>15</v>
      </c>
      <c r="H576">
        <v>2137</v>
      </c>
      <c r="I576" s="2">
        <f>sa_retail_sales[[#This Row],[Profit]] / sa_retail_sales[[#This Row],[Revenue]]</f>
        <v>0.17330305733517151</v>
      </c>
      <c r="J576">
        <f xml:space="preserve"> YEAR(sa_retail_sales[[#This Row],[Order Date]])</f>
        <v>2022</v>
      </c>
    </row>
    <row r="577" spans="1:10" x14ac:dyDescent="0.3">
      <c r="A577" s="1">
        <v>45639</v>
      </c>
      <c r="B577" t="s">
        <v>11</v>
      </c>
      <c r="C577" t="s">
        <v>13</v>
      </c>
      <c r="D577" t="s">
        <v>15</v>
      </c>
      <c r="E577">
        <v>1723</v>
      </c>
      <c r="F577">
        <v>3920</v>
      </c>
      <c r="G577">
        <v>5</v>
      </c>
      <c r="H577">
        <v>-2197</v>
      </c>
      <c r="I577" s="2">
        <f>sa_retail_sales[[#This Row],[Profit]] / sa_retail_sales[[#This Row],[Revenue]]</f>
        <v>-1.2751015670342427</v>
      </c>
      <c r="J577">
        <f xml:space="preserve"> YEAR(sa_retail_sales[[#This Row],[Order Date]])</f>
        <v>2024</v>
      </c>
    </row>
    <row r="578" spans="1:10" x14ac:dyDescent="0.3">
      <c r="A578" s="1">
        <v>44797</v>
      </c>
      <c r="B578" t="s">
        <v>8</v>
      </c>
      <c r="C578" t="s">
        <v>9</v>
      </c>
      <c r="D578" t="s">
        <v>12</v>
      </c>
      <c r="E578">
        <v>3672</v>
      </c>
      <c r="F578">
        <v>3490</v>
      </c>
      <c r="G578">
        <v>15</v>
      </c>
      <c r="H578">
        <v>182</v>
      </c>
      <c r="I578" s="2">
        <f>sa_retail_sales[[#This Row],[Profit]] / sa_retail_sales[[#This Row],[Revenue]]</f>
        <v>4.9564270152505446E-2</v>
      </c>
      <c r="J578">
        <f xml:space="preserve"> YEAR(sa_retail_sales[[#This Row],[Order Date]])</f>
        <v>2022</v>
      </c>
    </row>
    <row r="579" spans="1:10" x14ac:dyDescent="0.3">
      <c r="A579" s="1">
        <v>44950</v>
      </c>
      <c r="B579" t="s">
        <v>8</v>
      </c>
      <c r="C579" t="s">
        <v>13</v>
      </c>
      <c r="D579" t="s">
        <v>15</v>
      </c>
      <c r="E579">
        <v>9459</v>
      </c>
      <c r="F579">
        <v>9089</v>
      </c>
      <c r="G579">
        <v>20</v>
      </c>
      <c r="H579">
        <v>370</v>
      </c>
      <c r="I579" s="2">
        <f>sa_retail_sales[[#This Row],[Profit]] / sa_retail_sales[[#This Row],[Revenue]]</f>
        <v>3.9116185643302673E-2</v>
      </c>
      <c r="J579">
        <f xml:space="preserve"> YEAR(sa_retail_sales[[#This Row],[Order Date]])</f>
        <v>2023</v>
      </c>
    </row>
    <row r="580" spans="1:10" x14ac:dyDescent="0.3">
      <c r="A580" s="1">
        <v>45551</v>
      </c>
      <c r="B580" t="s">
        <v>11</v>
      </c>
      <c r="C580" t="s">
        <v>14</v>
      </c>
      <c r="D580" t="s">
        <v>19</v>
      </c>
      <c r="E580">
        <v>6950</v>
      </c>
      <c r="F580">
        <v>691</v>
      </c>
      <c r="G580">
        <v>0</v>
      </c>
      <c r="H580">
        <v>6259</v>
      </c>
      <c r="I580" s="2">
        <f>sa_retail_sales[[#This Row],[Profit]] / sa_retail_sales[[#This Row],[Revenue]]</f>
        <v>0.90057553956834535</v>
      </c>
      <c r="J580">
        <f xml:space="preserve"> YEAR(sa_retail_sales[[#This Row],[Order Date]])</f>
        <v>2024</v>
      </c>
    </row>
    <row r="581" spans="1:10" x14ac:dyDescent="0.3">
      <c r="A581" s="1">
        <v>45324</v>
      </c>
      <c r="B581" t="s">
        <v>18</v>
      </c>
      <c r="C581" t="s">
        <v>9</v>
      </c>
      <c r="D581" t="s">
        <v>19</v>
      </c>
      <c r="E581">
        <v>12349</v>
      </c>
      <c r="F581">
        <v>1375</v>
      </c>
      <c r="G581">
        <v>10</v>
      </c>
      <c r="H581">
        <v>10974</v>
      </c>
      <c r="I581" s="2">
        <f>sa_retail_sales[[#This Row],[Profit]] / sa_retail_sales[[#This Row],[Revenue]]</f>
        <v>0.88865495181796095</v>
      </c>
      <c r="J581">
        <f xml:space="preserve"> YEAR(sa_retail_sales[[#This Row],[Order Date]])</f>
        <v>2024</v>
      </c>
    </row>
    <row r="582" spans="1:10" x14ac:dyDescent="0.3">
      <c r="A582" s="1">
        <v>44962</v>
      </c>
      <c r="B582" t="s">
        <v>11</v>
      </c>
      <c r="C582" t="s">
        <v>13</v>
      </c>
      <c r="D582" t="s">
        <v>19</v>
      </c>
      <c r="E582">
        <v>14494</v>
      </c>
      <c r="F582">
        <v>2950</v>
      </c>
      <c r="G582">
        <v>20</v>
      </c>
      <c r="H582">
        <v>11544</v>
      </c>
      <c r="I582" s="2">
        <f>sa_retail_sales[[#This Row],[Profit]] / sa_retail_sales[[#This Row],[Revenue]]</f>
        <v>0.79646750379467368</v>
      </c>
      <c r="J582">
        <f xml:space="preserve"> YEAR(sa_retail_sales[[#This Row],[Order Date]])</f>
        <v>2023</v>
      </c>
    </row>
    <row r="583" spans="1:10" x14ac:dyDescent="0.3">
      <c r="A583" s="1">
        <v>45185</v>
      </c>
      <c r="B583" t="s">
        <v>17</v>
      </c>
      <c r="C583" t="s">
        <v>16</v>
      </c>
      <c r="D583" t="s">
        <v>10</v>
      </c>
      <c r="E583">
        <v>7020</v>
      </c>
      <c r="F583">
        <v>2684</v>
      </c>
      <c r="G583">
        <v>0</v>
      </c>
      <c r="H583">
        <v>4336</v>
      </c>
      <c r="I583" s="2">
        <f>sa_retail_sales[[#This Row],[Profit]] / sa_retail_sales[[#This Row],[Revenue]]</f>
        <v>0.61766381766381762</v>
      </c>
      <c r="J583">
        <f xml:space="preserve"> YEAR(sa_retail_sales[[#This Row],[Order Date]])</f>
        <v>2023</v>
      </c>
    </row>
    <row r="584" spans="1:10" x14ac:dyDescent="0.3">
      <c r="A584" s="1">
        <v>45328</v>
      </c>
      <c r="B584" t="s">
        <v>17</v>
      </c>
      <c r="C584" t="s">
        <v>16</v>
      </c>
      <c r="D584" t="s">
        <v>15</v>
      </c>
      <c r="E584">
        <v>1154</v>
      </c>
      <c r="F584">
        <v>1109</v>
      </c>
      <c r="G584">
        <v>0</v>
      </c>
      <c r="H584">
        <v>45</v>
      </c>
      <c r="I584" s="2">
        <f>sa_retail_sales[[#This Row],[Profit]] / sa_retail_sales[[#This Row],[Revenue]]</f>
        <v>3.8994800693240898E-2</v>
      </c>
      <c r="J584">
        <f xml:space="preserve"> YEAR(sa_retail_sales[[#This Row],[Order Date]])</f>
        <v>2024</v>
      </c>
    </row>
    <row r="585" spans="1:10" x14ac:dyDescent="0.3">
      <c r="A585" s="1">
        <v>45480</v>
      </c>
      <c r="B585" t="s">
        <v>8</v>
      </c>
      <c r="C585" t="s">
        <v>14</v>
      </c>
      <c r="D585" t="s">
        <v>19</v>
      </c>
      <c r="E585">
        <v>7321</v>
      </c>
      <c r="F585">
        <v>8347</v>
      </c>
      <c r="G585">
        <v>10</v>
      </c>
      <c r="H585">
        <v>-1026</v>
      </c>
      <c r="I585" s="2">
        <f>sa_retail_sales[[#This Row],[Profit]] / sa_retail_sales[[#This Row],[Revenue]]</f>
        <v>-0.14014478896325638</v>
      </c>
      <c r="J585">
        <f xml:space="preserve"> YEAR(sa_retail_sales[[#This Row],[Order Date]])</f>
        <v>2024</v>
      </c>
    </row>
    <row r="586" spans="1:10" x14ac:dyDescent="0.3">
      <c r="A586" s="1">
        <v>45414</v>
      </c>
      <c r="B586" t="s">
        <v>18</v>
      </c>
      <c r="C586" t="s">
        <v>13</v>
      </c>
      <c r="D586" t="s">
        <v>15</v>
      </c>
      <c r="E586">
        <v>2946</v>
      </c>
      <c r="F586">
        <v>11801</v>
      </c>
      <c r="G586">
        <v>5</v>
      </c>
      <c r="H586">
        <v>-8855</v>
      </c>
      <c r="I586" s="2">
        <f>sa_retail_sales[[#This Row],[Profit]] / sa_retail_sales[[#This Row],[Revenue]]</f>
        <v>-3.0057705363204343</v>
      </c>
      <c r="J586">
        <f xml:space="preserve"> YEAR(sa_retail_sales[[#This Row],[Order Date]])</f>
        <v>2024</v>
      </c>
    </row>
    <row r="587" spans="1:10" x14ac:dyDescent="0.3">
      <c r="A587" s="1">
        <v>45139</v>
      </c>
      <c r="B587" t="s">
        <v>18</v>
      </c>
      <c r="C587" t="s">
        <v>14</v>
      </c>
      <c r="D587" t="s">
        <v>10</v>
      </c>
      <c r="E587">
        <v>6392</v>
      </c>
      <c r="F587">
        <v>5801</v>
      </c>
      <c r="G587">
        <v>20</v>
      </c>
      <c r="H587">
        <v>591</v>
      </c>
      <c r="I587" s="2">
        <f>sa_retail_sales[[#This Row],[Profit]] / sa_retail_sales[[#This Row],[Revenue]]</f>
        <v>9.2459324155193992E-2</v>
      </c>
      <c r="J587">
        <f xml:space="preserve"> YEAR(sa_retail_sales[[#This Row],[Order Date]])</f>
        <v>2023</v>
      </c>
    </row>
    <row r="588" spans="1:10" x14ac:dyDescent="0.3">
      <c r="A588" s="1">
        <v>44636</v>
      </c>
      <c r="B588" t="s">
        <v>17</v>
      </c>
      <c r="C588" t="s">
        <v>9</v>
      </c>
      <c r="D588" t="s">
        <v>10</v>
      </c>
      <c r="E588">
        <v>8912</v>
      </c>
      <c r="F588">
        <v>7195</v>
      </c>
      <c r="G588">
        <v>10</v>
      </c>
      <c r="H588">
        <v>1717</v>
      </c>
      <c r="I588" s="2">
        <f>sa_retail_sales[[#This Row],[Profit]] / sa_retail_sales[[#This Row],[Revenue]]</f>
        <v>0.19266157989228008</v>
      </c>
      <c r="J588">
        <f xml:space="preserve"> YEAR(sa_retail_sales[[#This Row],[Order Date]])</f>
        <v>2022</v>
      </c>
    </row>
    <row r="589" spans="1:10" x14ac:dyDescent="0.3">
      <c r="A589" s="1">
        <v>44996</v>
      </c>
      <c r="B589" t="s">
        <v>11</v>
      </c>
      <c r="C589" t="s">
        <v>16</v>
      </c>
      <c r="D589" t="s">
        <v>19</v>
      </c>
      <c r="E589">
        <v>4166</v>
      </c>
      <c r="F589">
        <v>1459</v>
      </c>
      <c r="G589">
        <v>10</v>
      </c>
      <c r="H589">
        <v>2707</v>
      </c>
      <c r="I589" s="2">
        <f>sa_retail_sales[[#This Row],[Profit]] / sa_retail_sales[[#This Row],[Revenue]]</f>
        <v>0.64978396543446948</v>
      </c>
      <c r="J589">
        <f xml:space="preserve"> YEAR(sa_retail_sales[[#This Row],[Order Date]])</f>
        <v>2023</v>
      </c>
    </row>
    <row r="590" spans="1:10" x14ac:dyDescent="0.3">
      <c r="A590" s="1">
        <v>44664</v>
      </c>
      <c r="B590" t="s">
        <v>8</v>
      </c>
      <c r="C590" t="s">
        <v>9</v>
      </c>
      <c r="D590" t="s">
        <v>19</v>
      </c>
      <c r="E590">
        <v>4777</v>
      </c>
      <c r="F590">
        <v>7874</v>
      </c>
      <c r="G590">
        <v>5</v>
      </c>
      <c r="H590">
        <v>-3097</v>
      </c>
      <c r="I590" s="2">
        <f>sa_retail_sales[[#This Row],[Profit]] / sa_retail_sales[[#This Row],[Revenue]]</f>
        <v>-0.6483148419510153</v>
      </c>
      <c r="J590">
        <f xml:space="preserve"> YEAR(sa_retail_sales[[#This Row],[Order Date]])</f>
        <v>2022</v>
      </c>
    </row>
    <row r="591" spans="1:10" x14ac:dyDescent="0.3">
      <c r="A591" s="1">
        <v>45325</v>
      </c>
      <c r="B591" t="s">
        <v>11</v>
      </c>
      <c r="C591" t="s">
        <v>13</v>
      </c>
      <c r="D591" t="s">
        <v>12</v>
      </c>
      <c r="E591">
        <v>4902</v>
      </c>
      <c r="F591">
        <v>1831</v>
      </c>
      <c r="G591">
        <v>20</v>
      </c>
      <c r="H591">
        <v>3071</v>
      </c>
      <c r="I591" s="2">
        <f>sa_retail_sales[[#This Row],[Profit]] / sa_retail_sales[[#This Row],[Revenue]]</f>
        <v>0.62647898816809466</v>
      </c>
      <c r="J591">
        <f xml:space="preserve"> YEAR(sa_retail_sales[[#This Row],[Order Date]])</f>
        <v>2024</v>
      </c>
    </row>
    <row r="592" spans="1:10" x14ac:dyDescent="0.3">
      <c r="A592" s="1">
        <v>45299</v>
      </c>
      <c r="B592" t="s">
        <v>11</v>
      </c>
      <c r="C592" t="s">
        <v>14</v>
      </c>
      <c r="D592" t="s">
        <v>15</v>
      </c>
      <c r="E592">
        <v>3069</v>
      </c>
      <c r="F592">
        <v>5781</v>
      </c>
      <c r="G592">
        <v>10</v>
      </c>
      <c r="H592">
        <v>-2712</v>
      </c>
      <c r="I592" s="2">
        <f>sa_retail_sales[[#This Row],[Profit]] / sa_retail_sales[[#This Row],[Revenue]]</f>
        <v>-0.8836754643206256</v>
      </c>
      <c r="J592">
        <f xml:space="preserve"> YEAR(sa_retail_sales[[#This Row],[Order Date]])</f>
        <v>2024</v>
      </c>
    </row>
    <row r="593" spans="1:10" x14ac:dyDescent="0.3">
      <c r="A593" s="1">
        <v>45367</v>
      </c>
      <c r="B593" t="s">
        <v>11</v>
      </c>
      <c r="C593" t="s">
        <v>14</v>
      </c>
      <c r="D593" t="s">
        <v>19</v>
      </c>
      <c r="E593">
        <v>6015</v>
      </c>
      <c r="F593">
        <v>7848</v>
      </c>
      <c r="G593">
        <v>5</v>
      </c>
      <c r="H593">
        <v>-1833</v>
      </c>
      <c r="I593" s="2">
        <f>sa_retail_sales[[#This Row],[Profit]] / sa_retail_sales[[#This Row],[Revenue]]</f>
        <v>-0.30473815461346632</v>
      </c>
      <c r="J593">
        <f xml:space="preserve"> YEAR(sa_retail_sales[[#This Row],[Order Date]])</f>
        <v>2024</v>
      </c>
    </row>
    <row r="594" spans="1:10" x14ac:dyDescent="0.3">
      <c r="A594" s="1">
        <v>44659</v>
      </c>
      <c r="B594" t="s">
        <v>18</v>
      </c>
      <c r="C594" t="s">
        <v>14</v>
      </c>
      <c r="D594" t="s">
        <v>12</v>
      </c>
      <c r="E594">
        <v>9705</v>
      </c>
      <c r="F594">
        <v>5276</v>
      </c>
      <c r="G594">
        <v>20</v>
      </c>
      <c r="H594">
        <v>4429</v>
      </c>
      <c r="I594" s="2">
        <f>sa_retail_sales[[#This Row],[Profit]] / sa_retail_sales[[#This Row],[Revenue]]</f>
        <v>0.45636269963936116</v>
      </c>
      <c r="J594">
        <f xml:space="preserve"> YEAR(sa_retail_sales[[#This Row],[Order Date]])</f>
        <v>2022</v>
      </c>
    </row>
    <row r="595" spans="1:10" x14ac:dyDescent="0.3">
      <c r="A595" s="1">
        <v>45359</v>
      </c>
      <c r="B595" t="s">
        <v>17</v>
      </c>
      <c r="C595" t="s">
        <v>9</v>
      </c>
      <c r="D595" t="s">
        <v>15</v>
      </c>
      <c r="E595">
        <v>10743</v>
      </c>
      <c r="F595">
        <v>5995</v>
      </c>
      <c r="G595">
        <v>15</v>
      </c>
      <c r="H595">
        <v>4748</v>
      </c>
      <c r="I595" s="2">
        <f>sa_retail_sales[[#This Row],[Profit]] / sa_retail_sales[[#This Row],[Revenue]]</f>
        <v>0.44196220794936236</v>
      </c>
      <c r="J595">
        <f xml:space="preserve"> YEAR(sa_retail_sales[[#This Row],[Order Date]])</f>
        <v>2024</v>
      </c>
    </row>
    <row r="596" spans="1:10" x14ac:dyDescent="0.3">
      <c r="A596" s="1">
        <v>45420</v>
      </c>
      <c r="B596" t="s">
        <v>18</v>
      </c>
      <c r="C596" t="s">
        <v>16</v>
      </c>
      <c r="D596" t="s">
        <v>19</v>
      </c>
      <c r="E596">
        <v>4485</v>
      </c>
      <c r="F596">
        <v>11174</v>
      </c>
      <c r="G596">
        <v>0</v>
      </c>
      <c r="H596">
        <v>-6689</v>
      </c>
      <c r="I596" s="2">
        <f>sa_retail_sales[[#This Row],[Profit]] / sa_retail_sales[[#This Row],[Revenue]]</f>
        <v>-1.4914158305462653</v>
      </c>
      <c r="J596">
        <f xml:space="preserve"> YEAR(sa_retail_sales[[#This Row],[Order Date]])</f>
        <v>2024</v>
      </c>
    </row>
    <row r="597" spans="1:10" x14ac:dyDescent="0.3">
      <c r="A597" s="1">
        <v>44996</v>
      </c>
      <c r="B597" t="s">
        <v>17</v>
      </c>
      <c r="C597" t="s">
        <v>9</v>
      </c>
      <c r="D597" t="s">
        <v>12</v>
      </c>
      <c r="E597">
        <v>13635</v>
      </c>
      <c r="F597">
        <v>8745</v>
      </c>
      <c r="G597">
        <v>5</v>
      </c>
      <c r="H597">
        <v>4890</v>
      </c>
      <c r="I597" s="2">
        <f>sa_retail_sales[[#This Row],[Profit]] / sa_retail_sales[[#This Row],[Revenue]]</f>
        <v>0.35863586358635863</v>
      </c>
      <c r="J597">
        <f xml:space="preserve"> YEAR(sa_retail_sales[[#This Row],[Order Date]])</f>
        <v>2023</v>
      </c>
    </row>
    <row r="598" spans="1:10" x14ac:dyDescent="0.3">
      <c r="A598" s="1">
        <v>45008</v>
      </c>
      <c r="B598" t="s">
        <v>8</v>
      </c>
      <c r="C598" t="s">
        <v>9</v>
      </c>
      <c r="D598" t="s">
        <v>12</v>
      </c>
      <c r="E598">
        <v>8667</v>
      </c>
      <c r="F598">
        <v>3848</v>
      </c>
      <c r="G598">
        <v>0</v>
      </c>
      <c r="H598">
        <v>4819</v>
      </c>
      <c r="I598" s="2">
        <f>sa_retail_sales[[#This Row],[Profit]] / sa_retail_sales[[#This Row],[Revenue]]</f>
        <v>0.55601707626629748</v>
      </c>
      <c r="J598">
        <f xml:space="preserve"> YEAR(sa_retail_sales[[#This Row],[Order Date]])</f>
        <v>2023</v>
      </c>
    </row>
    <row r="599" spans="1:10" x14ac:dyDescent="0.3">
      <c r="A599" s="1">
        <v>44810</v>
      </c>
      <c r="B599" t="s">
        <v>8</v>
      </c>
      <c r="C599" t="s">
        <v>13</v>
      </c>
      <c r="D599" t="s">
        <v>15</v>
      </c>
      <c r="E599">
        <v>13591</v>
      </c>
      <c r="F599">
        <v>11677</v>
      </c>
      <c r="G599">
        <v>15</v>
      </c>
      <c r="H599">
        <v>1914</v>
      </c>
      <c r="I599" s="2">
        <f>sa_retail_sales[[#This Row],[Profit]] / sa_retail_sales[[#This Row],[Revenue]]</f>
        <v>0.14082848944154219</v>
      </c>
      <c r="J599">
        <f xml:space="preserve"> YEAR(sa_retail_sales[[#This Row],[Order Date]])</f>
        <v>2022</v>
      </c>
    </row>
    <row r="600" spans="1:10" x14ac:dyDescent="0.3">
      <c r="A600" s="1">
        <v>44727</v>
      </c>
      <c r="B600" t="s">
        <v>11</v>
      </c>
      <c r="C600" t="s">
        <v>13</v>
      </c>
      <c r="D600" t="s">
        <v>12</v>
      </c>
      <c r="E600">
        <v>7948</v>
      </c>
      <c r="F600">
        <v>6463</v>
      </c>
      <c r="G600">
        <v>10</v>
      </c>
      <c r="H600">
        <v>1485</v>
      </c>
      <c r="I600" s="2">
        <f>sa_retail_sales[[#This Row],[Profit]] / sa_retail_sales[[#This Row],[Revenue]]</f>
        <v>0.18683945646703573</v>
      </c>
      <c r="J600">
        <f xml:space="preserve"> YEAR(sa_retail_sales[[#This Row],[Order Date]])</f>
        <v>2022</v>
      </c>
    </row>
    <row r="601" spans="1:10" x14ac:dyDescent="0.3">
      <c r="A601" s="1">
        <v>45545</v>
      </c>
      <c r="B601" t="s">
        <v>17</v>
      </c>
      <c r="C601" t="s">
        <v>13</v>
      </c>
      <c r="D601" t="s">
        <v>15</v>
      </c>
      <c r="E601">
        <v>4810</v>
      </c>
      <c r="F601">
        <v>6971</v>
      </c>
      <c r="G601">
        <v>10</v>
      </c>
      <c r="H601">
        <v>-2161</v>
      </c>
      <c r="I601" s="2">
        <f>sa_retail_sales[[#This Row],[Profit]] / sa_retail_sales[[#This Row],[Revenue]]</f>
        <v>-0.44927234927234927</v>
      </c>
      <c r="J601">
        <f xml:space="preserve"> YEAR(sa_retail_sales[[#This Row],[Order Date]])</f>
        <v>2024</v>
      </c>
    </row>
    <row r="602" spans="1:10" x14ac:dyDescent="0.3">
      <c r="A602" s="1">
        <v>45581</v>
      </c>
      <c r="B602" t="s">
        <v>17</v>
      </c>
      <c r="C602" t="s">
        <v>16</v>
      </c>
      <c r="D602" t="s">
        <v>15</v>
      </c>
      <c r="E602">
        <v>3519</v>
      </c>
      <c r="F602">
        <v>5564</v>
      </c>
      <c r="G602">
        <v>20</v>
      </c>
      <c r="H602">
        <v>-2045</v>
      </c>
      <c r="I602" s="2">
        <f>sa_retail_sales[[#This Row],[Profit]] / sa_retail_sales[[#This Row],[Revenue]]</f>
        <v>-0.58113100312588806</v>
      </c>
      <c r="J602">
        <f xml:space="preserve"> YEAR(sa_retail_sales[[#This Row],[Order Date]])</f>
        <v>2024</v>
      </c>
    </row>
    <row r="603" spans="1:10" x14ac:dyDescent="0.3">
      <c r="A603" s="1">
        <v>45103</v>
      </c>
      <c r="B603" t="s">
        <v>17</v>
      </c>
      <c r="C603" t="s">
        <v>16</v>
      </c>
      <c r="D603" t="s">
        <v>15</v>
      </c>
      <c r="E603">
        <v>4181</v>
      </c>
      <c r="F603">
        <v>1531</v>
      </c>
      <c r="G603">
        <v>5</v>
      </c>
      <c r="H603">
        <v>2650</v>
      </c>
      <c r="I603" s="2">
        <f>sa_retail_sales[[#This Row],[Profit]] / sa_retail_sales[[#This Row],[Revenue]]</f>
        <v>0.63381966036833293</v>
      </c>
      <c r="J603">
        <f xml:space="preserve"> YEAR(sa_retail_sales[[#This Row],[Order Date]])</f>
        <v>2023</v>
      </c>
    </row>
    <row r="604" spans="1:10" x14ac:dyDescent="0.3">
      <c r="A604" s="1">
        <v>45320</v>
      </c>
      <c r="B604" t="s">
        <v>11</v>
      </c>
      <c r="C604" t="s">
        <v>13</v>
      </c>
      <c r="D604" t="s">
        <v>10</v>
      </c>
      <c r="E604">
        <v>10135</v>
      </c>
      <c r="F604">
        <v>2723</v>
      </c>
      <c r="G604">
        <v>5</v>
      </c>
      <c r="H604">
        <v>7412</v>
      </c>
      <c r="I604" s="2">
        <f>sa_retail_sales[[#This Row],[Profit]] / sa_retail_sales[[#This Row],[Revenue]]</f>
        <v>0.73132708436112481</v>
      </c>
      <c r="J604">
        <f xml:space="preserve"> YEAR(sa_retail_sales[[#This Row],[Order Date]])</f>
        <v>2024</v>
      </c>
    </row>
    <row r="605" spans="1:10" x14ac:dyDescent="0.3">
      <c r="A605" s="1">
        <v>44642</v>
      </c>
      <c r="B605" t="s">
        <v>11</v>
      </c>
      <c r="C605" t="s">
        <v>13</v>
      </c>
      <c r="D605" t="s">
        <v>12</v>
      </c>
      <c r="E605">
        <v>4696</v>
      </c>
      <c r="F605">
        <v>8371</v>
      </c>
      <c r="G605">
        <v>20</v>
      </c>
      <c r="H605">
        <v>-3675</v>
      </c>
      <c r="I605" s="2">
        <f>sa_retail_sales[[#This Row],[Profit]] / sa_retail_sales[[#This Row],[Revenue]]</f>
        <v>-0.78258091993185686</v>
      </c>
      <c r="J605">
        <f xml:space="preserve"> YEAR(sa_retail_sales[[#This Row],[Order Date]])</f>
        <v>2022</v>
      </c>
    </row>
    <row r="606" spans="1:10" x14ac:dyDescent="0.3">
      <c r="A606" s="1">
        <v>44694</v>
      </c>
      <c r="B606" t="s">
        <v>8</v>
      </c>
      <c r="C606" t="s">
        <v>16</v>
      </c>
      <c r="D606" t="s">
        <v>15</v>
      </c>
      <c r="E606">
        <v>11702</v>
      </c>
      <c r="F606">
        <v>4561</v>
      </c>
      <c r="G606">
        <v>0</v>
      </c>
      <c r="H606">
        <v>7141</v>
      </c>
      <c r="I606" s="2">
        <f>sa_retail_sales[[#This Row],[Profit]] / sa_retail_sales[[#This Row],[Revenue]]</f>
        <v>0.61023756622799519</v>
      </c>
      <c r="J606">
        <f xml:space="preserve"> YEAR(sa_retail_sales[[#This Row],[Order Date]])</f>
        <v>2022</v>
      </c>
    </row>
    <row r="607" spans="1:10" x14ac:dyDescent="0.3">
      <c r="A607" s="1">
        <v>45358</v>
      </c>
      <c r="B607" t="s">
        <v>18</v>
      </c>
      <c r="C607" t="s">
        <v>14</v>
      </c>
      <c r="D607" t="s">
        <v>19</v>
      </c>
      <c r="E607">
        <v>1072</v>
      </c>
      <c r="F607">
        <v>10065</v>
      </c>
      <c r="G607">
        <v>10</v>
      </c>
      <c r="H607">
        <v>-8993</v>
      </c>
      <c r="I607" s="2">
        <f>sa_retail_sales[[#This Row],[Profit]] / sa_retail_sales[[#This Row],[Revenue]]</f>
        <v>-8.3889925373134329</v>
      </c>
      <c r="J607">
        <f xml:space="preserve"> YEAR(sa_retail_sales[[#This Row],[Order Date]])</f>
        <v>2024</v>
      </c>
    </row>
    <row r="608" spans="1:10" x14ac:dyDescent="0.3">
      <c r="A608" s="1">
        <v>45461</v>
      </c>
      <c r="B608" t="s">
        <v>17</v>
      </c>
      <c r="C608" t="s">
        <v>16</v>
      </c>
      <c r="D608" t="s">
        <v>10</v>
      </c>
      <c r="E608">
        <v>10024</v>
      </c>
      <c r="F608">
        <v>3208</v>
      </c>
      <c r="G608">
        <v>10</v>
      </c>
      <c r="H608">
        <v>6816</v>
      </c>
      <c r="I608" s="2">
        <f>sa_retail_sales[[#This Row],[Profit]] / sa_retail_sales[[#This Row],[Revenue]]</f>
        <v>0.67996807661612135</v>
      </c>
      <c r="J608">
        <f xml:space="preserve"> YEAR(sa_retail_sales[[#This Row],[Order Date]])</f>
        <v>2024</v>
      </c>
    </row>
    <row r="609" spans="1:10" x14ac:dyDescent="0.3">
      <c r="A609" s="1">
        <v>44699</v>
      </c>
      <c r="B609" t="s">
        <v>17</v>
      </c>
      <c r="C609" t="s">
        <v>16</v>
      </c>
      <c r="D609" t="s">
        <v>10</v>
      </c>
      <c r="E609">
        <v>5253</v>
      </c>
      <c r="F609">
        <v>5012</v>
      </c>
      <c r="G609">
        <v>5</v>
      </c>
      <c r="H609">
        <v>241</v>
      </c>
      <c r="I609" s="2">
        <f>sa_retail_sales[[#This Row],[Profit]] / sa_retail_sales[[#This Row],[Revenue]]</f>
        <v>4.587854559299448E-2</v>
      </c>
      <c r="J609">
        <f xml:space="preserve"> YEAR(sa_retail_sales[[#This Row],[Order Date]])</f>
        <v>2022</v>
      </c>
    </row>
    <row r="610" spans="1:10" x14ac:dyDescent="0.3">
      <c r="A610" s="1">
        <v>44745</v>
      </c>
      <c r="B610" t="s">
        <v>18</v>
      </c>
      <c r="C610" t="s">
        <v>16</v>
      </c>
      <c r="D610" t="s">
        <v>12</v>
      </c>
      <c r="E610">
        <v>7582</v>
      </c>
      <c r="F610">
        <v>7055</v>
      </c>
      <c r="G610">
        <v>5</v>
      </c>
      <c r="H610">
        <v>527</v>
      </c>
      <c r="I610" s="2">
        <f>sa_retail_sales[[#This Row],[Profit]] / sa_retail_sales[[#This Row],[Revenue]]</f>
        <v>6.9506726457399109E-2</v>
      </c>
      <c r="J610">
        <f xml:space="preserve"> YEAR(sa_retail_sales[[#This Row],[Order Date]])</f>
        <v>2022</v>
      </c>
    </row>
    <row r="611" spans="1:10" x14ac:dyDescent="0.3">
      <c r="A611" s="1">
        <v>45346</v>
      </c>
      <c r="B611" t="s">
        <v>17</v>
      </c>
      <c r="C611" t="s">
        <v>13</v>
      </c>
      <c r="D611" t="s">
        <v>15</v>
      </c>
      <c r="E611">
        <v>4502</v>
      </c>
      <c r="F611">
        <v>10117</v>
      </c>
      <c r="G611">
        <v>20</v>
      </c>
      <c r="H611">
        <v>-5615</v>
      </c>
      <c r="I611" s="2">
        <f>sa_retail_sales[[#This Row],[Profit]] / sa_retail_sales[[#This Row],[Revenue]]</f>
        <v>-1.2472234562416704</v>
      </c>
      <c r="J611">
        <f xml:space="preserve"> YEAR(sa_retail_sales[[#This Row],[Order Date]])</f>
        <v>2024</v>
      </c>
    </row>
    <row r="612" spans="1:10" x14ac:dyDescent="0.3">
      <c r="A612" s="1">
        <v>45545</v>
      </c>
      <c r="B612" t="s">
        <v>11</v>
      </c>
      <c r="C612" t="s">
        <v>14</v>
      </c>
      <c r="D612" t="s">
        <v>12</v>
      </c>
      <c r="E612">
        <v>6129</v>
      </c>
      <c r="F612">
        <v>4183</v>
      </c>
      <c r="G612">
        <v>15</v>
      </c>
      <c r="H612">
        <v>1946</v>
      </c>
      <c r="I612" s="2">
        <f>sa_retail_sales[[#This Row],[Profit]] / sa_retail_sales[[#This Row],[Revenue]]</f>
        <v>0.31750693424702237</v>
      </c>
      <c r="J612">
        <f xml:space="preserve"> YEAR(sa_retail_sales[[#This Row],[Order Date]])</f>
        <v>2024</v>
      </c>
    </row>
    <row r="613" spans="1:10" x14ac:dyDescent="0.3">
      <c r="A613" s="1">
        <v>44630</v>
      </c>
      <c r="B613" t="s">
        <v>11</v>
      </c>
      <c r="C613" t="s">
        <v>16</v>
      </c>
      <c r="D613" t="s">
        <v>10</v>
      </c>
      <c r="E613">
        <v>11826</v>
      </c>
      <c r="F613">
        <v>3815</v>
      </c>
      <c r="G613">
        <v>0</v>
      </c>
      <c r="H613">
        <v>8011</v>
      </c>
      <c r="I613" s="2">
        <f>sa_retail_sales[[#This Row],[Profit]] / sa_retail_sales[[#This Row],[Revenue]]</f>
        <v>0.67740571621850165</v>
      </c>
      <c r="J613">
        <f xml:space="preserve"> YEAR(sa_retail_sales[[#This Row],[Order Date]])</f>
        <v>2022</v>
      </c>
    </row>
    <row r="614" spans="1:10" x14ac:dyDescent="0.3">
      <c r="A614" s="1">
        <v>45107</v>
      </c>
      <c r="B614" t="s">
        <v>17</v>
      </c>
      <c r="C614" t="s">
        <v>13</v>
      </c>
      <c r="D614" t="s">
        <v>15</v>
      </c>
      <c r="E614">
        <v>14444</v>
      </c>
      <c r="F614">
        <v>3703</v>
      </c>
      <c r="G614">
        <v>15</v>
      </c>
      <c r="H614">
        <v>10741</v>
      </c>
      <c r="I614" s="2">
        <f>sa_retail_sales[[#This Row],[Profit]] / sa_retail_sales[[#This Row],[Revenue]]</f>
        <v>0.74363057324840764</v>
      </c>
      <c r="J614">
        <f xml:space="preserve"> YEAR(sa_retail_sales[[#This Row],[Order Date]])</f>
        <v>2023</v>
      </c>
    </row>
    <row r="615" spans="1:10" x14ac:dyDescent="0.3">
      <c r="A615" s="1">
        <v>44614</v>
      </c>
      <c r="B615" t="s">
        <v>11</v>
      </c>
      <c r="C615" t="s">
        <v>9</v>
      </c>
      <c r="D615" t="s">
        <v>19</v>
      </c>
      <c r="E615">
        <v>12778</v>
      </c>
      <c r="F615">
        <v>4898</v>
      </c>
      <c r="G615">
        <v>15</v>
      </c>
      <c r="H615">
        <v>7880</v>
      </c>
      <c r="I615" s="2">
        <f>sa_retail_sales[[#This Row],[Profit]] / sa_retail_sales[[#This Row],[Revenue]]</f>
        <v>0.61668492721865709</v>
      </c>
      <c r="J615">
        <f xml:space="preserve"> YEAR(sa_retail_sales[[#This Row],[Order Date]])</f>
        <v>2022</v>
      </c>
    </row>
    <row r="616" spans="1:10" x14ac:dyDescent="0.3">
      <c r="A616" s="1">
        <v>44766</v>
      </c>
      <c r="B616" t="s">
        <v>11</v>
      </c>
      <c r="C616" t="s">
        <v>9</v>
      </c>
      <c r="D616" t="s">
        <v>15</v>
      </c>
      <c r="E616">
        <v>8917</v>
      </c>
      <c r="F616">
        <v>5308</v>
      </c>
      <c r="G616">
        <v>5</v>
      </c>
      <c r="H616">
        <v>3609</v>
      </c>
      <c r="I616" s="2">
        <f>sa_retail_sales[[#This Row],[Profit]] / sa_retail_sales[[#This Row],[Revenue]]</f>
        <v>0.40473253336323878</v>
      </c>
      <c r="J616">
        <f xml:space="preserve"> YEAR(sa_retail_sales[[#This Row],[Order Date]])</f>
        <v>2022</v>
      </c>
    </row>
    <row r="617" spans="1:10" x14ac:dyDescent="0.3">
      <c r="A617" s="1">
        <v>44687</v>
      </c>
      <c r="B617" t="s">
        <v>17</v>
      </c>
      <c r="C617" t="s">
        <v>16</v>
      </c>
      <c r="D617" t="s">
        <v>10</v>
      </c>
      <c r="E617">
        <v>4700</v>
      </c>
      <c r="F617">
        <v>6522</v>
      </c>
      <c r="G617">
        <v>5</v>
      </c>
      <c r="H617">
        <v>-1822</v>
      </c>
      <c r="I617" s="2">
        <f>sa_retail_sales[[#This Row],[Profit]] / sa_retail_sales[[#This Row],[Revenue]]</f>
        <v>-0.38765957446808513</v>
      </c>
      <c r="J617">
        <f xml:space="preserve"> YEAR(sa_retail_sales[[#This Row],[Order Date]])</f>
        <v>2022</v>
      </c>
    </row>
    <row r="618" spans="1:10" x14ac:dyDescent="0.3">
      <c r="A618" s="1">
        <v>44604</v>
      </c>
      <c r="B618" t="s">
        <v>8</v>
      </c>
      <c r="C618" t="s">
        <v>9</v>
      </c>
      <c r="D618" t="s">
        <v>19</v>
      </c>
      <c r="E618">
        <v>2497</v>
      </c>
      <c r="F618">
        <v>10450</v>
      </c>
      <c r="G618">
        <v>5</v>
      </c>
      <c r="H618">
        <v>-7953</v>
      </c>
      <c r="I618" s="2">
        <f>sa_retail_sales[[#This Row],[Profit]] / sa_retail_sales[[#This Row],[Revenue]]</f>
        <v>-3.1850220264317182</v>
      </c>
      <c r="J618">
        <f xml:space="preserve"> YEAR(sa_retail_sales[[#This Row],[Order Date]])</f>
        <v>2022</v>
      </c>
    </row>
    <row r="619" spans="1:10" x14ac:dyDescent="0.3">
      <c r="A619" s="1">
        <v>44672</v>
      </c>
      <c r="B619" t="s">
        <v>18</v>
      </c>
      <c r="C619" t="s">
        <v>14</v>
      </c>
      <c r="D619" t="s">
        <v>15</v>
      </c>
      <c r="E619">
        <v>9463</v>
      </c>
      <c r="F619">
        <v>4309</v>
      </c>
      <c r="G619">
        <v>15</v>
      </c>
      <c r="H619">
        <v>5154</v>
      </c>
      <c r="I619" s="2">
        <f>sa_retail_sales[[#This Row],[Profit]] / sa_retail_sales[[#This Row],[Revenue]]</f>
        <v>0.54464757476487369</v>
      </c>
      <c r="J619">
        <f xml:space="preserve"> YEAR(sa_retail_sales[[#This Row],[Order Date]])</f>
        <v>2022</v>
      </c>
    </row>
    <row r="620" spans="1:10" x14ac:dyDescent="0.3">
      <c r="A620" s="1">
        <v>45322</v>
      </c>
      <c r="B620" t="s">
        <v>11</v>
      </c>
      <c r="C620" t="s">
        <v>9</v>
      </c>
      <c r="D620" t="s">
        <v>19</v>
      </c>
      <c r="E620">
        <v>7922</v>
      </c>
      <c r="F620">
        <v>3035</v>
      </c>
      <c r="G620">
        <v>0</v>
      </c>
      <c r="H620">
        <v>4887</v>
      </c>
      <c r="I620" s="2">
        <f>sa_retail_sales[[#This Row],[Profit]] / sa_retail_sales[[#This Row],[Revenue]]</f>
        <v>0.61688967432466546</v>
      </c>
      <c r="J620">
        <f xml:space="preserve"> YEAR(sa_retail_sales[[#This Row],[Order Date]])</f>
        <v>2024</v>
      </c>
    </row>
    <row r="621" spans="1:10" x14ac:dyDescent="0.3">
      <c r="A621" s="1">
        <v>45409</v>
      </c>
      <c r="B621" t="s">
        <v>8</v>
      </c>
      <c r="C621" t="s">
        <v>9</v>
      </c>
      <c r="D621" t="s">
        <v>19</v>
      </c>
      <c r="E621">
        <v>5024</v>
      </c>
      <c r="F621">
        <v>4791</v>
      </c>
      <c r="G621">
        <v>5</v>
      </c>
      <c r="H621">
        <v>233</v>
      </c>
      <c r="I621" s="2">
        <f>sa_retail_sales[[#This Row],[Profit]] / sa_retail_sales[[#This Row],[Revenue]]</f>
        <v>4.6377388535031844E-2</v>
      </c>
      <c r="J621">
        <f xml:space="preserve"> YEAR(sa_retail_sales[[#This Row],[Order Date]])</f>
        <v>2024</v>
      </c>
    </row>
    <row r="622" spans="1:10" x14ac:dyDescent="0.3">
      <c r="A622" s="1">
        <v>44656</v>
      </c>
      <c r="B622" t="s">
        <v>11</v>
      </c>
      <c r="C622" t="s">
        <v>14</v>
      </c>
      <c r="D622" t="s">
        <v>10</v>
      </c>
      <c r="E622">
        <v>9125</v>
      </c>
      <c r="F622">
        <v>11666</v>
      </c>
      <c r="G622">
        <v>10</v>
      </c>
      <c r="H622">
        <v>-2541</v>
      </c>
      <c r="I622" s="2">
        <f>sa_retail_sales[[#This Row],[Profit]] / sa_retail_sales[[#This Row],[Revenue]]</f>
        <v>-0.27846575342465751</v>
      </c>
      <c r="J622">
        <f xml:space="preserve"> YEAR(sa_retail_sales[[#This Row],[Order Date]])</f>
        <v>2022</v>
      </c>
    </row>
    <row r="623" spans="1:10" x14ac:dyDescent="0.3">
      <c r="A623" s="1">
        <v>45461</v>
      </c>
      <c r="B623" t="s">
        <v>11</v>
      </c>
      <c r="C623" t="s">
        <v>16</v>
      </c>
      <c r="D623" t="s">
        <v>19</v>
      </c>
      <c r="E623">
        <v>14018</v>
      </c>
      <c r="F623">
        <v>8893</v>
      </c>
      <c r="G623">
        <v>0</v>
      </c>
      <c r="H623">
        <v>5125</v>
      </c>
      <c r="I623" s="2">
        <f>sa_retail_sales[[#This Row],[Profit]] / sa_retail_sales[[#This Row],[Revenue]]</f>
        <v>0.36560136966757029</v>
      </c>
      <c r="J623">
        <f xml:space="preserve"> YEAR(sa_retail_sales[[#This Row],[Order Date]])</f>
        <v>2024</v>
      </c>
    </row>
    <row r="624" spans="1:10" x14ac:dyDescent="0.3">
      <c r="A624" s="1">
        <v>44921</v>
      </c>
      <c r="B624" t="s">
        <v>18</v>
      </c>
      <c r="C624" t="s">
        <v>16</v>
      </c>
      <c r="D624" t="s">
        <v>12</v>
      </c>
      <c r="E624">
        <v>11791</v>
      </c>
      <c r="F624">
        <v>1274</v>
      </c>
      <c r="G624">
        <v>10</v>
      </c>
      <c r="H624">
        <v>10517</v>
      </c>
      <c r="I624" s="2">
        <f>sa_retail_sales[[#This Row],[Profit]] / sa_retail_sales[[#This Row],[Revenue]]</f>
        <v>0.8919514884233738</v>
      </c>
      <c r="J624">
        <f xml:space="preserve"> YEAR(sa_retail_sales[[#This Row],[Order Date]])</f>
        <v>2022</v>
      </c>
    </row>
    <row r="625" spans="1:10" x14ac:dyDescent="0.3">
      <c r="A625" s="1">
        <v>45461</v>
      </c>
      <c r="B625" t="s">
        <v>11</v>
      </c>
      <c r="C625" t="s">
        <v>14</v>
      </c>
      <c r="D625" t="s">
        <v>10</v>
      </c>
      <c r="E625">
        <v>11421</v>
      </c>
      <c r="F625">
        <v>523</v>
      </c>
      <c r="G625">
        <v>0</v>
      </c>
      <c r="H625">
        <v>10898</v>
      </c>
      <c r="I625" s="2">
        <f>sa_retail_sales[[#This Row],[Profit]] / sa_retail_sales[[#This Row],[Revenue]]</f>
        <v>0.95420716224498725</v>
      </c>
      <c r="J625">
        <f xml:space="preserve"> YEAR(sa_retail_sales[[#This Row],[Order Date]])</f>
        <v>2024</v>
      </c>
    </row>
    <row r="626" spans="1:10" x14ac:dyDescent="0.3">
      <c r="A626" s="1">
        <v>44842</v>
      </c>
      <c r="B626" t="s">
        <v>18</v>
      </c>
      <c r="C626" t="s">
        <v>14</v>
      </c>
      <c r="D626" t="s">
        <v>12</v>
      </c>
      <c r="E626">
        <v>3907</v>
      </c>
      <c r="F626">
        <v>4913</v>
      </c>
      <c r="G626">
        <v>5</v>
      </c>
      <c r="H626">
        <v>-1006</v>
      </c>
      <c r="I626" s="2">
        <f>sa_retail_sales[[#This Row],[Profit]] / sa_retail_sales[[#This Row],[Revenue]]</f>
        <v>-0.25748656257998465</v>
      </c>
      <c r="J626">
        <f xml:space="preserve"> YEAR(sa_retail_sales[[#This Row],[Order Date]])</f>
        <v>2022</v>
      </c>
    </row>
    <row r="627" spans="1:10" x14ac:dyDescent="0.3">
      <c r="A627" s="1">
        <v>45228</v>
      </c>
      <c r="B627" t="s">
        <v>18</v>
      </c>
      <c r="C627" t="s">
        <v>14</v>
      </c>
      <c r="D627" t="s">
        <v>19</v>
      </c>
      <c r="E627">
        <v>7231</v>
      </c>
      <c r="F627">
        <v>7077</v>
      </c>
      <c r="G627">
        <v>20</v>
      </c>
      <c r="H627">
        <v>154</v>
      </c>
      <c r="I627" s="2">
        <f>sa_retail_sales[[#This Row],[Profit]] / sa_retail_sales[[#This Row],[Revenue]]</f>
        <v>2.1297192642787996E-2</v>
      </c>
      <c r="J627">
        <f xml:space="preserve"> YEAR(sa_retail_sales[[#This Row],[Order Date]])</f>
        <v>2023</v>
      </c>
    </row>
    <row r="628" spans="1:10" x14ac:dyDescent="0.3">
      <c r="A628" s="1">
        <v>44654</v>
      </c>
      <c r="B628" t="s">
        <v>18</v>
      </c>
      <c r="C628" t="s">
        <v>9</v>
      </c>
      <c r="D628" t="s">
        <v>12</v>
      </c>
      <c r="E628">
        <v>8295</v>
      </c>
      <c r="F628">
        <v>8727</v>
      </c>
      <c r="G628">
        <v>5</v>
      </c>
      <c r="H628">
        <v>-432</v>
      </c>
      <c r="I628" s="2">
        <f>sa_retail_sales[[#This Row],[Profit]] / sa_retail_sales[[#This Row],[Revenue]]</f>
        <v>-5.2079566003616636E-2</v>
      </c>
      <c r="J628">
        <f xml:space="preserve"> YEAR(sa_retail_sales[[#This Row],[Order Date]])</f>
        <v>2022</v>
      </c>
    </row>
    <row r="629" spans="1:10" x14ac:dyDescent="0.3">
      <c r="A629" s="1">
        <v>45233</v>
      </c>
      <c r="B629" t="s">
        <v>8</v>
      </c>
      <c r="C629" t="s">
        <v>14</v>
      </c>
      <c r="D629" t="s">
        <v>15</v>
      </c>
      <c r="E629">
        <v>11832</v>
      </c>
      <c r="F629">
        <v>11990</v>
      </c>
      <c r="G629">
        <v>15</v>
      </c>
      <c r="H629">
        <v>-158</v>
      </c>
      <c r="I629" s="2">
        <f>sa_retail_sales[[#This Row],[Profit]] / sa_retail_sales[[#This Row],[Revenue]]</f>
        <v>-1.3353617308992562E-2</v>
      </c>
      <c r="J629">
        <f xml:space="preserve"> YEAR(sa_retail_sales[[#This Row],[Order Date]])</f>
        <v>2023</v>
      </c>
    </row>
    <row r="630" spans="1:10" x14ac:dyDescent="0.3">
      <c r="A630" s="1">
        <v>44622</v>
      </c>
      <c r="B630" t="s">
        <v>17</v>
      </c>
      <c r="C630" t="s">
        <v>13</v>
      </c>
      <c r="D630" t="s">
        <v>19</v>
      </c>
      <c r="E630">
        <v>9557</v>
      </c>
      <c r="F630">
        <v>4511</v>
      </c>
      <c r="G630">
        <v>15</v>
      </c>
      <c r="H630">
        <v>5046</v>
      </c>
      <c r="I630" s="2">
        <f>sa_retail_sales[[#This Row],[Profit]] / sa_retail_sales[[#This Row],[Revenue]]</f>
        <v>0.52798995500680135</v>
      </c>
      <c r="J630">
        <f xml:space="preserve"> YEAR(sa_retail_sales[[#This Row],[Order Date]])</f>
        <v>2022</v>
      </c>
    </row>
    <row r="631" spans="1:10" x14ac:dyDescent="0.3">
      <c r="A631" s="1">
        <v>45195</v>
      </c>
      <c r="B631" t="s">
        <v>8</v>
      </c>
      <c r="C631" t="s">
        <v>9</v>
      </c>
      <c r="D631" t="s">
        <v>15</v>
      </c>
      <c r="E631">
        <v>3293</v>
      </c>
      <c r="F631">
        <v>11726</v>
      </c>
      <c r="G631">
        <v>0</v>
      </c>
      <c r="H631">
        <v>-8433</v>
      </c>
      <c r="I631" s="2">
        <f>sa_retail_sales[[#This Row],[Profit]] / sa_retail_sales[[#This Row],[Revenue]]</f>
        <v>-2.5608867294260551</v>
      </c>
      <c r="J631">
        <f xml:space="preserve"> YEAR(sa_retail_sales[[#This Row],[Order Date]])</f>
        <v>2023</v>
      </c>
    </row>
    <row r="632" spans="1:10" x14ac:dyDescent="0.3">
      <c r="A632" s="1">
        <v>45636</v>
      </c>
      <c r="B632" t="s">
        <v>17</v>
      </c>
      <c r="C632" t="s">
        <v>16</v>
      </c>
      <c r="D632" t="s">
        <v>12</v>
      </c>
      <c r="E632">
        <v>7834</v>
      </c>
      <c r="F632">
        <v>525</v>
      </c>
      <c r="G632">
        <v>15</v>
      </c>
      <c r="H632">
        <v>7309</v>
      </c>
      <c r="I632" s="2">
        <f>sa_retail_sales[[#This Row],[Profit]] / sa_retail_sales[[#This Row],[Revenue]]</f>
        <v>0.93298442685728877</v>
      </c>
      <c r="J632">
        <f xml:space="preserve"> YEAR(sa_retail_sales[[#This Row],[Order Date]])</f>
        <v>2024</v>
      </c>
    </row>
    <row r="633" spans="1:10" x14ac:dyDescent="0.3">
      <c r="A633" s="1">
        <v>45590</v>
      </c>
      <c r="B633" t="s">
        <v>17</v>
      </c>
      <c r="C633" t="s">
        <v>16</v>
      </c>
      <c r="D633" t="s">
        <v>15</v>
      </c>
      <c r="E633">
        <v>3411</v>
      </c>
      <c r="F633">
        <v>10769</v>
      </c>
      <c r="G633">
        <v>5</v>
      </c>
      <c r="H633">
        <v>-7358</v>
      </c>
      <c r="I633" s="2">
        <f>sa_retail_sales[[#This Row],[Profit]] / sa_retail_sales[[#This Row],[Revenue]]</f>
        <v>-2.1571386690120198</v>
      </c>
      <c r="J633">
        <f xml:space="preserve"> YEAR(sa_retail_sales[[#This Row],[Order Date]])</f>
        <v>2024</v>
      </c>
    </row>
    <row r="634" spans="1:10" x14ac:dyDescent="0.3">
      <c r="A634" s="1">
        <v>45165</v>
      </c>
      <c r="B634" t="s">
        <v>18</v>
      </c>
      <c r="C634" t="s">
        <v>16</v>
      </c>
      <c r="D634" t="s">
        <v>19</v>
      </c>
      <c r="E634">
        <v>8452</v>
      </c>
      <c r="F634">
        <v>8483</v>
      </c>
      <c r="G634">
        <v>10</v>
      </c>
      <c r="H634">
        <v>-31</v>
      </c>
      <c r="I634" s="2">
        <f>sa_retail_sales[[#This Row],[Profit]] / sa_retail_sales[[#This Row],[Revenue]]</f>
        <v>-3.6677709417889258E-3</v>
      </c>
      <c r="J634">
        <f xml:space="preserve"> YEAR(sa_retail_sales[[#This Row],[Order Date]])</f>
        <v>2023</v>
      </c>
    </row>
    <row r="635" spans="1:10" x14ac:dyDescent="0.3">
      <c r="A635" s="1">
        <v>45243</v>
      </c>
      <c r="B635" t="s">
        <v>11</v>
      </c>
      <c r="C635" t="s">
        <v>9</v>
      </c>
      <c r="D635" t="s">
        <v>15</v>
      </c>
      <c r="E635">
        <v>2915</v>
      </c>
      <c r="F635">
        <v>4577</v>
      </c>
      <c r="G635">
        <v>5</v>
      </c>
      <c r="H635">
        <v>-1662</v>
      </c>
      <c r="I635" s="2">
        <f>sa_retail_sales[[#This Row],[Profit]] / sa_retail_sales[[#This Row],[Revenue]]</f>
        <v>-0.57015437392795887</v>
      </c>
      <c r="J635">
        <f xml:space="preserve"> YEAR(sa_retail_sales[[#This Row],[Order Date]])</f>
        <v>2023</v>
      </c>
    </row>
    <row r="636" spans="1:10" x14ac:dyDescent="0.3">
      <c r="A636" s="1">
        <v>45095</v>
      </c>
      <c r="B636" t="s">
        <v>18</v>
      </c>
      <c r="C636" t="s">
        <v>13</v>
      </c>
      <c r="D636" t="s">
        <v>12</v>
      </c>
      <c r="E636">
        <v>750</v>
      </c>
      <c r="F636">
        <v>1641</v>
      </c>
      <c r="G636">
        <v>0</v>
      </c>
      <c r="H636">
        <v>-891</v>
      </c>
      <c r="I636" s="2">
        <f>sa_retail_sales[[#This Row],[Profit]] / sa_retail_sales[[#This Row],[Revenue]]</f>
        <v>-1.1879999999999999</v>
      </c>
      <c r="J636">
        <f xml:space="preserve"> YEAR(sa_retail_sales[[#This Row],[Order Date]])</f>
        <v>2023</v>
      </c>
    </row>
    <row r="637" spans="1:10" x14ac:dyDescent="0.3">
      <c r="A637" s="1">
        <v>45399</v>
      </c>
      <c r="B637" t="s">
        <v>11</v>
      </c>
      <c r="C637" t="s">
        <v>14</v>
      </c>
      <c r="D637" t="s">
        <v>12</v>
      </c>
      <c r="E637">
        <v>5451</v>
      </c>
      <c r="F637">
        <v>4336</v>
      </c>
      <c r="G637">
        <v>15</v>
      </c>
      <c r="H637">
        <v>1115</v>
      </c>
      <c r="I637" s="2">
        <f>sa_retail_sales[[#This Row],[Profit]] / sa_retail_sales[[#This Row],[Revenue]]</f>
        <v>0.2045496239222161</v>
      </c>
      <c r="J637">
        <f xml:space="preserve"> YEAR(sa_retail_sales[[#This Row],[Order Date]])</f>
        <v>2024</v>
      </c>
    </row>
    <row r="638" spans="1:10" x14ac:dyDescent="0.3">
      <c r="A638" s="1">
        <v>45206</v>
      </c>
      <c r="B638" t="s">
        <v>17</v>
      </c>
      <c r="C638" t="s">
        <v>14</v>
      </c>
      <c r="D638" t="s">
        <v>12</v>
      </c>
      <c r="E638">
        <v>8598</v>
      </c>
      <c r="F638">
        <v>8701</v>
      </c>
      <c r="G638">
        <v>10</v>
      </c>
      <c r="H638">
        <v>-103</v>
      </c>
      <c r="I638" s="2">
        <f>sa_retail_sales[[#This Row],[Profit]] / sa_retail_sales[[#This Row],[Revenue]]</f>
        <v>-1.1979530123284485E-2</v>
      </c>
      <c r="J638">
        <f xml:space="preserve"> YEAR(sa_retail_sales[[#This Row],[Order Date]])</f>
        <v>2023</v>
      </c>
    </row>
    <row r="639" spans="1:10" x14ac:dyDescent="0.3">
      <c r="A639" s="1">
        <v>44794</v>
      </c>
      <c r="B639" t="s">
        <v>18</v>
      </c>
      <c r="C639" t="s">
        <v>16</v>
      </c>
      <c r="D639" t="s">
        <v>19</v>
      </c>
      <c r="E639">
        <v>12449</v>
      </c>
      <c r="F639">
        <v>4027</v>
      </c>
      <c r="G639">
        <v>20</v>
      </c>
      <c r="H639">
        <v>8422</v>
      </c>
      <c r="I639" s="2">
        <f>sa_retail_sales[[#This Row],[Profit]] / sa_retail_sales[[#This Row],[Revenue]]</f>
        <v>0.67652020242589761</v>
      </c>
      <c r="J639">
        <f xml:space="preserve"> YEAR(sa_retail_sales[[#This Row],[Order Date]])</f>
        <v>2022</v>
      </c>
    </row>
    <row r="640" spans="1:10" x14ac:dyDescent="0.3">
      <c r="A640" s="1">
        <v>45085</v>
      </c>
      <c r="B640" t="s">
        <v>11</v>
      </c>
      <c r="C640" t="s">
        <v>16</v>
      </c>
      <c r="D640" t="s">
        <v>12</v>
      </c>
      <c r="E640">
        <v>5789</v>
      </c>
      <c r="F640">
        <v>4228</v>
      </c>
      <c r="G640">
        <v>10</v>
      </c>
      <c r="H640">
        <v>1561</v>
      </c>
      <c r="I640" s="2">
        <f>sa_retail_sales[[#This Row],[Profit]] / sa_retail_sales[[#This Row],[Revenue]]</f>
        <v>0.26964933494558646</v>
      </c>
      <c r="J640">
        <f xml:space="preserve"> YEAR(sa_retail_sales[[#This Row],[Order Date]])</f>
        <v>2023</v>
      </c>
    </row>
    <row r="641" spans="1:10" x14ac:dyDescent="0.3">
      <c r="A641" s="1">
        <v>44907</v>
      </c>
      <c r="B641" t="s">
        <v>8</v>
      </c>
      <c r="C641" t="s">
        <v>9</v>
      </c>
      <c r="D641" t="s">
        <v>19</v>
      </c>
      <c r="E641">
        <v>8602</v>
      </c>
      <c r="F641">
        <v>3103</v>
      </c>
      <c r="G641">
        <v>10</v>
      </c>
      <c r="H641">
        <v>5499</v>
      </c>
      <c r="I641" s="2">
        <f>sa_retail_sales[[#This Row],[Profit]] / sa_retail_sales[[#This Row],[Revenue]]</f>
        <v>0.63926993722390146</v>
      </c>
      <c r="J641">
        <f xml:space="preserve"> YEAR(sa_retail_sales[[#This Row],[Order Date]])</f>
        <v>2022</v>
      </c>
    </row>
    <row r="642" spans="1:10" x14ac:dyDescent="0.3">
      <c r="A642" s="1">
        <v>45631</v>
      </c>
      <c r="B642" t="s">
        <v>11</v>
      </c>
      <c r="C642" t="s">
        <v>13</v>
      </c>
      <c r="D642" t="s">
        <v>15</v>
      </c>
      <c r="E642">
        <v>7757</v>
      </c>
      <c r="F642">
        <v>9601</v>
      </c>
      <c r="G642">
        <v>5</v>
      </c>
      <c r="H642">
        <v>-1844</v>
      </c>
      <c r="I642" s="2">
        <f>sa_retail_sales[[#This Row],[Profit]] / sa_retail_sales[[#This Row],[Revenue]]</f>
        <v>-0.2377207683382751</v>
      </c>
      <c r="J642">
        <f xml:space="preserve"> YEAR(sa_retail_sales[[#This Row],[Order Date]])</f>
        <v>2024</v>
      </c>
    </row>
    <row r="643" spans="1:10" x14ac:dyDescent="0.3">
      <c r="A643" s="1">
        <v>45107</v>
      </c>
      <c r="B643" t="s">
        <v>18</v>
      </c>
      <c r="C643" t="s">
        <v>14</v>
      </c>
      <c r="D643" t="s">
        <v>12</v>
      </c>
      <c r="E643">
        <v>13348</v>
      </c>
      <c r="F643">
        <v>6858</v>
      </c>
      <c r="G643">
        <v>20</v>
      </c>
      <c r="H643">
        <v>6490</v>
      </c>
      <c r="I643" s="2">
        <f>sa_retail_sales[[#This Row],[Profit]] / sa_retail_sales[[#This Row],[Revenue]]</f>
        <v>0.48621516332034764</v>
      </c>
      <c r="J643">
        <f xml:space="preserve"> YEAR(sa_retail_sales[[#This Row],[Order Date]])</f>
        <v>2023</v>
      </c>
    </row>
    <row r="644" spans="1:10" x14ac:dyDescent="0.3">
      <c r="A644" s="1">
        <v>45355</v>
      </c>
      <c r="B644" t="s">
        <v>8</v>
      </c>
      <c r="C644" t="s">
        <v>9</v>
      </c>
      <c r="D644" t="s">
        <v>15</v>
      </c>
      <c r="E644">
        <v>6065</v>
      </c>
      <c r="F644">
        <v>10518</v>
      </c>
      <c r="G644">
        <v>0</v>
      </c>
      <c r="H644">
        <v>-4453</v>
      </c>
      <c r="I644" s="2">
        <f>sa_retail_sales[[#This Row],[Profit]] / sa_retail_sales[[#This Row],[Revenue]]</f>
        <v>-0.73421269579554826</v>
      </c>
      <c r="J644">
        <f xml:space="preserve"> YEAR(sa_retail_sales[[#This Row],[Order Date]])</f>
        <v>2024</v>
      </c>
    </row>
    <row r="645" spans="1:10" x14ac:dyDescent="0.3">
      <c r="A645" s="1">
        <v>44810</v>
      </c>
      <c r="B645" t="s">
        <v>11</v>
      </c>
      <c r="C645" t="s">
        <v>14</v>
      </c>
      <c r="D645" t="s">
        <v>10</v>
      </c>
      <c r="E645">
        <v>6937</v>
      </c>
      <c r="F645">
        <v>693</v>
      </c>
      <c r="G645">
        <v>0</v>
      </c>
      <c r="H645">
        <v>6244</v>
      </c>
      <c r="I645" s="2">
        <f>sa_retail_sales[[#This Row],[Profit]] / sa_retail_sales[[#This Row],[Revenue]]</f>
        <v>0.90010090817356203</v>
      </c>
      <c r="J645">
        <f xml:space="preserve"> YEAR(sa_retail_sales[[#This Row],[Order Date]])</f>
        <v>2022</v>
      </c>
    </row>
    <row r="646" spans="1:10" x14ac:dyDescent="0.3">
      <c r="A646" s="1">
        <v>44608</v>
      </c>
      <c r="B646" t="s">
        <v>11</v>
      </c>
      <c r="C646" t="s">
        <v>16</v>
      </c>
      <c r="D646" t="s">
        <v>15</v>
      </c>
      <c r="E646">
        <v>9610</v>
      </c>
      <c r="F646">
        <v>7139</v>
      </c>
      <c r="G646">
        <v>10</v>
      </c>
      <c r="H646">
        <v>2471</v>
      </c>
      <c r="I646" s="2">
        <f>sa_retail_sales[[#This Row],[Profit]] / sa_retail_sales[[#This Row],[Revenue]]</f>
        <v>0.25712799167533817</v>
      </c>
      <c r="J646">
        <f xml:space="preserve"> YEAR(sa_retail_sales[[#This Row],[Order Date]])</f>
        <v>2022</v>
      </c>
    </row>
    <row r="647" spans="1:10" x14ac:dyDescent="0.3">
      <c r="A647" s="1">
        <v>44775</v>
      </c>
      <c r="B647" t="s">
        <v>11</v>
      </c>
      <c r="C647" t="s">
        <v>14</v>
      </c>
      <c r="D647" t="s">
        <v>10</v>
      </c>
      <c r="E647">
        <v>1673</v>
      </c>
      <c r="F647">
        <v>9335</v>
      </c>
      <c r="G647">
        <v>10</v>
      </c>
      <c r="H647">
        <v>-7662</v>
      </c>
      <c r="I647" s="2">
        <f>sa_retail_sales[[#This Row],[Profit]] / sa_retail_sales[[#This Row],[Revenue]]</f>
        <v>-4.5797967722653912</v>
      </c>
      <c r="J647">
        <f xml:space="preserve"> YEAR(sa_retail_sales[[#This Row],[Order Date]])</f>
        <v>2022</v>
      </c>
    </row>
    <row r="648" spans="1:10" x14ac:dyDescent="0.3">
      <c r="A648" s="1">
        <v>44800</v>
      </c>
      <c r="B648" t="s">
        <v>11</v>
      </c>
      <c r="C648" t="s">
        <v>13</v>
      </c>
      <c r="D648" t="s">
        <v>15</v>
      </c>
      <c r="E648">
        <v>11895</v>
      </c>
      <c r="F648">
        <v>10016</v>
      </c>
      <c r="G648">
        <v>15</v>
      </c>
      <c r="H648">
        <v>1879</v>
      </c>
      <c r="I648" s="2">
        <f>sa_retail_sales[[#This Row],[Profit]] / sa_retail_sales[[#This Row],[Revenue]]</f>
        <v>0.15796553173602354</v>
      </c>
      <c r="J648">
        <f xml:space="preserve"> YEAR(sa_retail_sales[[#This Row],[Order Date]])</f>
        <v>2022</v>
      </c>
    </row>
    <row r="649" spans="1:10" x14ac:dyDescent="0.3">
      <c r="A649" s="1">
        <v>45641</v>
      </c>
      <c r="B649" t="s">
        <v>11</v>
      </c>
      <c r="C649" t="s">
        <v>13</v>
      </c>
      <c r="D649" t="s">
        <v>19</v>
      </c>
      <c r="E649">
        <v>9124</v>
      </c>
      <c r="F649">
        <v>9095</v>
      </c>
      <c r="G649">
        <v>20</v>
      </c>
      <c r="H649">
        <v>29</v>
      </c>
      <c r="I649" s="2">
        <f>sa_retail_sales[[#This Row],[Profit]] / sa_retail_sales[[#This Row],[Revenue]]</f>
        <v>3.1784305129329243E-3</v>
      </c>
      <c r="J649">
        <f xml:space="preserve"> YEAR(sa_retail_sales[[#This Row],[Order Date]])</f>
        <v>2024</v>
      </c>
    </row>
    <row r="650" spans="1:10" x14ac:dyDescent="0.3">
      <c r="A650" s="1">
        <v>44911</v>
      </c>
      <c r="B650" t="s">
        <v>8</v>
      </c>
      <c r="C650" t="s">
        <v>16</v>
      </c>
      <c r="D650" t="s">
        <v>15</v>
      </c>
      <c r="E650">
        <v>14894</v>
      </c>
      <c r="F650">
        <v>881</v>
      </c>
      <c r="G650">
        <v>10</v>
      </c>
      <c r="H650">
        <v>14013</v>
      </c>
      <c r="I650" s="2">
        <f>sa_retail_sales[[#This Row],[Profit]] / sa_retail_sales[[#This Row],[Revenue]]</f>
        <v>0.9408486638914999</v>
      </c>
      <c r="J650">
        <f xml:space="preserve"> YEAR(sa_retail_sales[[#This Row],[Order Date]])</f>
        <v>2022</v>
      </c>
    </row>
    <row r="651" spans="1:10" x14ac:dyDescent="0.3">
      <c r="A651" s="1">
        <v>44668</v>
      </c>
      <c r="B651" t="s">
        <v>17</v>
      </c>
      <c r="C651" t="s">
        <v>13</v>
      </c>
      <c r="D651" t="s">
        <v>19</v>
      </c>
      <c r="E651">
        <v>13756</v>
      </c>
      <c r="F651">
        <v>10431</v>
      </c>
      <c r="G651">
        <v>15</v>
      </c>
      <c r="H651">
        <v>3325</v>
      </c>
      <c r="I651" s="2">
        <f>sa_retail_sales[[#This Row],[Profit]] / sa_retail_sales[[#This Row],[Revenue]]</f>
        <v>0.24171270718232044</v>
      </c>
      <c r="J651">
        <f xml:space="preserve"> YEAR(sa_retail_sales[[#This Row],[Order Date]])</f>
        <v>2022</v>
      </c>
    </row>
    <row r="652" spans="1:10" x14ac:dyDescent="0.3">
      <c r="A652" s="1">
        <v>45392</v>
      </c>
      <c r="B652" t="s">
        <v>8</v>
      </c>
      <c r="C652" t="s">
        <v>13</v>
      </c>
      <c r="D652" t="s">
        <v>19</v>
      </c>
      <c r="E652">
        <v>1335</v>
      </c>
      <c r="F652">
        <v>432</v>
      </c>
      <c r="G652">
        <v>20</v>
      </c>
      <c r="H652">
        <v>903</v>
      </c>
      <c r="I652" s="2">
        <f>sa_retail_sales[[#This Row],[Profit]] / sa_retail_sales[[#This Row],[Revenue]]</f>
        <v>0.67640449438202244</v>
      </c>
      <c r="J652">
        <f xml:space="preserve"> YEAR(sa_retail_sales[[#This Row],[Order Date]])</f>
        <v>2024</v>
      </c>
    </row>
    <row r="653" spans="1:10" x14ac:dyDescent="0.3">
      <c r="A653" s="1">
        <v>44609</v>
      </c>
      <c r="B653" t="s">
        <v>8</v>
      </c>
      <c r="C653" t="s">
        <v>9</v>
      </c>
      <c r="D653" t="s">
        <v>12</v>
      </c>
      <c r="E653">
        <v>10938</v>
      </c>
      <c r="F653">
        <v>3138</v>
      </c>
      <c r="G653">
        <v>0</v>
      </c>
      <c r="H653">
        <v>7800</v>
      </c>
      <c r="I653" s="2">
        <f>sa_retail_sales[[#This Row],[Profit]] / sa_retail_sales[[#This Row],[Revenue]]</f>
        <v>0.7131102578167855</v>
      </c>
      <c r="J653">
        <f xml:space="preserve"> YEAR(sa_retail_sales[[#This Row],[Order Date]])</f>
        <v>2022</v>
      </c>
    </row>
    <row r="654" spans="1:10" x14ac:dyDescent="0.3">
      <c r="A654" s="1">
        <v>44898</v>
      </c>
      <c r="B654" t="s">
        <v>8</v>
      </c>
      <c r="C654" t="s">
        <v>14</v>
      </c>
      <c r="D654" t="s">
        <v>19</v>
      </c>
      <c r="E654">
        <v>2762</v>
      </c>
      <c r="F654">
        <v>3685</v>
      </c>
      <c r="G654">
        <v>15</v>
      </c>
      <c r="H654">
        <v>-923</v>
      </c>
      <c r="I654" s="2">
        <f>sa_retail_sales[[#This Row],[Profit]] / sa_retail_sales[[#This Row],[Revenue]]</f>
        <v>-0.33417813178855904</v>
      </c>
      <c r="J654">
        <f xml:space="preserve"> YEAR(sa_retail_sales[[#This Row],[Order Date]])</f>
        <v>2022</v>
      </c>
    </row>
    <row r="655" spans="1:10" x14ac:dyDescent="0.3">
      <c r="A655" s="1">
        <v>45611</v>
      </c>
      <c r="B655" t="s">
        <v>17</v>
      </c>
      <c r="C655" t="s">
        <v>16</v>
      </c>
      <c r="D655" t="s">
        <v>10</v>
      </c>
      <c r="E655">
        <v>9589</v>
      </c>
      <c r="F655">
        <v>4070</v>
      </c>
      <c r="G655">
        <v>20</v>
      </c>
      <c r="H655">
        <v>5519</v>
      </c>
      <c r="I655" s="2">
        <f>sa_retail_sales[[#This Row],[Profit]] / sa_retail_sales[[#This Row],[Revenue]]</f>
        <v>0.57555532380853058</v>
      </c>
      <c r="J655">
        <f xml:space="preserve"> YEAR(sa_retail_sales[[#This Row],[Order Date]])</f>
        <v>2024</v>
      </c>
    </row>
    <row r="656" spans="1:10" x14ac:dyDescent="0.3">
      <c r="A656" s="1">
        <v>45365</v>
      </c>
      <c r="B656" t="s">
        <v>18</v>
      </c>
      <c r="C656" t="s">
        <v>16</v>
      </c>
      <c r="D656" t="s">
        <v>12</v>
      </c>
      <c r="E656">
        <v>12324</v>
      </c>
      <c r="F656">
        <v>2568</v>
      </c>
      <c r="G656">
        <v>15</v>
      </c>
      <c r="H656">
        <v>9756</v>
      </c>
      <c r="I656" s="2">
        <f>sa_retail_sales[[#This Row],[Profit]] / sa_retail_sales[[#This Row],[Revenue]]</f>
        <v>0.79162609542356377</v>
      </c>
      <c r="J656">
        <f xml:space="preserve"> YEAR(sa_retail_sales[[#This Row],[Order Date]])</f>
        <v>2024</v>
      </c>
    </row>
    <row r="657" spans="1:10" x14ac:dyDescent="0.3">
      <c r="A657" s="1">
        <v>44569</v>
      </c>
      <c r="B657" t="s">
        <v>17</v>
      </c>
      <c r="C657" t="s">
        <v>16</v>
      </c>
      <c r="D657" t="s">
        <v>12</v>
      </c>
      <c r="E657">
        <v>5067</v>
      </c>
      <c r="F657">
        <v>1275</v>
      </c>
      <c r="G657">
        <v>10</v>
      </c>
      <c r="H657">
        <v>3792</v>
      </c>
      <c r="I657" s="2">
        <f>sa_retail_sales[[#This Row],[Profit]] / sa_retail_sales[[#This Row],[Revenue]]</f>
        <v>0.74837181764357608</v>
      </c>
      <c r="J657">
        <f xml:space="preserve"> YEAR(sa_retail_sales[[#This Row],[Order Date]])</f>
        <v>2022</v>
      </c>
    </row>
    <row r="658" spans="1:10" x14ac:dyDescent="0.3">
      <c r="A658" s="1">
        <v>45186</v>
      </c>
      <c r="B658" t="s">
        <v>8</v>
      </c>
      <c r="C658" t="s">
        <v>16</v>
      </c>
      <c r="D658" t="s">
        <v>15</v>
      </c>
      <c r="E658">
        <v>4315</v>
      </c>
      <c r="F658">
        <v>7905</v>
      </c>
      <c r="G658">
        <v>5</v>
      </c>
      <c r="H658">
        <v>-3590</v>
      </c>
      <c r="I658" s="2">
        <f>sa_retail_sales[[#This Row],[Profit]] / sa_retail_sales[[#This Row],[Revenue]]</f>
        <v>-0.83198146002317497</v>
      </c>
      <c r="J658">
        <f xml:space="preserve"> YEAR(sa_retail_sales[[#This Row],[Order Date]])</f>
        <v>2023</v>
      </c>
    </row>
    <row r="659" spans="1:10" x14ac:dyDescent="0.3">
      <c r="A659" s="1">
        <v>45280</v>
      </c>
      <c r="B659" t="s">
        <v>11</v>
      </c>
      <c r="C659" t="s">
        <v>16</v>
      </c>
      <c r="D659" t="s">
        <v>19</v>
      </c>
      <c r="E659">
        <v>746</v>
      </c>
      <c r="F659">
        <v>7513</v>
      </c>
      <c r="G659">
        <v>0</v>
      </c>
      <c r="H659">
        <v>-6767</v>
      </c>
      <c r="I659" s="2">
        <f>sa_retail_sales[[#This Row],[Profit]] / sa_retail_sales[[#This Row],[Revenue]]</f>
        <v>-9.0710455764075064</v>
      </c>
      <c r="J659">
        <f xml:space="preserve"> YEAR(sa_retail_sales[[#This Row],[Order Date]])</f>
        <v>2023</v>
      </c>
    </row>
    <row r="660" spans="1:10" x14ac:dyDescent="0.3">
      <c r="A660" s="1">
        <v>44864</v>
      </c>
      <c r="B660" t="s">
        <v>11</v>
      </c>
      <c r="C660" t="s">
        <v>13</v>
      </c>
      <c r="D660" t="s">
        <v>19</v>
      </c>
      <c r="E660">
        <v>2929</v>
      </c>
      <c r="F660">
        <v>10305</v>
      </c>
      <c r="G660">
        <v>10</v>
      </c>
      <c r="H660">
        <v>-7376</v>
      </c>
      <c r="I660" s="2">
        <f>sa_retail_sales[[#This Row],[Profit]] / sa_retail_sales[[#This Row],[Revenue]]</f>
        <v>-2.518265619665415</v>
      </c>
      <c r="J660">
        <f xml:space="preserve"> YEAR(sa_retail_sales[[#This Row],[Order Date]])</f>
        <v>2022</v>
      </c>
    </row>
    <row r="661" spans="1:10" x14ac:dyDescent="0.3">
      <c r="A661" s="1">
        <v>45200</v>
      </c>
      <c r="B661" t="s">
        <v>8</v>
      </c>
      <c r="C661" t="s">
        <v>9</v>
      </c>
      <c r="D661" t="s">
        <v>10</v>
      </c>
      <c r="E661">
        <v>9682</v>
      </c>
      <c r="F661">
        <v>11755</v>
      </c>
      <c r="G661">
        <v>10</v>
      </c>
      <c r="H661">
        <v>-2073</v>
      </c>
      <c r="I661" s="2">
        <f>sa_retail_sales[[#This Row],[Profit]] / sa_retail_sales[[#This Row],[Revenue]]</f>
        <v>-0.21410865523652137</v>
      </c>
      <c r="J661">
        <f xml:space="preserve"> YEAR(sa_retail_sales[[#This Row],[Order Date]])</f>
        <v>2023</v>
      </c>
    </row>
    <row r="662" spans="1:10" x14ac:dyDescent="0.3">
      <c r="A662" s="1">
        <v>44617</v>
      </c>
      <c r="B662" t="s">
        <v>11</v>
      </c>
      <c r="C662" t="s">
        <v>16</v>
      </c>
      <c r="D662" t="s">
        <v>15</v>
      </c>
      <c r="E662">
        <v>12002</v>
      </c>
      <c r="F662">
        <v>10035</v>
      </c>
      <c r="G662">
        <v>20</v>
      </c>
      <c r="H662">
        <v>1967</v>
      </c>
      <c r="I662" s="2">
        <f>sa_retail_sales[[#This Row],[Profit]] / sa_retail_sales[[#This Row],[Revenue]]</f>
        <v>0.16388935177470421</v>
      </c>
      <c r="J662">
        <f xml:space="preserve"> YEAR(sa_retail_sales[[#This Row],[Order Date]])</f>
        <v>2022</v>
      </c>
    </row>
    <row r="663" spans="1:10" x14ac:dyDescent="0.3">
      <c r="A663" s="1">
        <v>45287</v>
      </c>
      <c r="B663" t="s">
        <v>8</v>
      </c>
      <c r="C663" t="s">
        <v>9</v>
      </c>
      <c r="D663" t="s">
        <v>15</v>
      </c>
      <c r="E663">
        <v>9618</v>
      </c>
      <c r="F663">
        <v>3135</v>
      </c>
      <c r="G663">
        <v>15</v>
      </c>
      <c r="H663">
        <v>6483</v>
      </c>
      <c r="I663" s="2">
        <f>sa_retail_sales[[#This Row],[Profit]] / sa_retail_sales[[#This Row],[Revenue]]</f>
        <v>0.67404865876481601</v>
      </c>
      <c r="J663">
        <f xml:space="preserve"> YEAR(sa_retail_sales[[#This Row],[Order Date]])</f>
        <v>2023</v>
      </c>
    </row>
    <row r="664" spans="1:10" x14ac:dyDescent="0.3">
      <c r="A664" s="1">
        <v>45087</v>
      </c>
      <c r="B664" t="s">
        <v>11</v>
      </c>
      <c r="C664" t="s">
        <v>9</v>
      </c>
      <c r="D664" t="s">
        <v>12</v>
      </c>
      <c r="E664">
        <v>12130</v>
      </c>
      <c r="F664">
        <v>3038</v>
      </c>
      <c r="G664">
        <v>0</v>
      </c>
      <c r="H664">
        <v>9092</v>
      </c>
      <c r="I664" s="2">
        <f>sa_retail_sales[[#This Row],[Profit]] / sa_retail_sales[[#This Row],[Revenue]]</f>
        <v>0.74954657873042041</v>
      </c>
      <c r="J664">
        <f xml:space="preserve"> YEAR(sa_retail_sales[[#This Row],[Order Date]])</f>
        <v>2023</v>
      </c>
    </row>
    <row r="665" spans="1:10" x14ac:dyDescent="0.3">
      <c r="A665" s="1">
        <v>45035</v>
      </c>
      <c r="B665" t="s">
        <v>17</v>
      </c>
      <c r="C665" t="s">
        <v>13</v>
      </c>
      <c r="D665" t="s">
        <v>12</v>
      </c>
      <c r="E665">
        <v>5787</v>
      </c>
      <c r="F665">
        <v>9849</v>
      </c>
      <c r="G665">
        <v>10</v>
      </c>
      <c r="H665">
        <v>-4062</v>
      </c>
      <c r="I665" s="2">
        <f>sa_retail_sales[[#This Row],[Profit]] / sa_retail_sales[[#This Row],[Revenue]]</f>
        <v>-0.70191809227579061</v>
      </c>
      <c r="J665">
        <f xml:space="preserve"> YEAR(sa_retail_sales[[#This Row],[Order Date]])</f>
        <v>2023</v>
      </c>
    </row>
    <row r="666" spans="1:10" x14ac:dyDescent="0.3">
      <c r="A666" s="1">
        <v>44589</v>
      </c>
      <c r="B666" t="s">
        <v>18</v>
      </c>
      <c r="C666" t="s">
        <v>16</v>
      </c>
      <c r="D666" t="s">
        <v>12</v>
      </c>
      <c r="E666">
        <v>3107</v>
      </c>
      <c r="F666">
        <v>4434</v>
      </c>
      <c r="G666">
        <v>20</v>
      </c>
      <c r="H666">
        <v>-1327</v>
      </c>
      <c r="I666" s="2">
        <f>sa_retail_sales[[#This Row],[Profit]] / sa_retail_sales[[#This Row],[Revenue]]</f>
        <v>-0.42710009655616349</v>
      </c>
      <c r="J666">
        <f xml:space="preserve"> YEAR(sa_retail_sales[[#This Row],[Order Date]])</f>
        <v>2022</v>
      </c>
    </row>
    <row r="667" spans="1:10" x14ac:dyDescent="0.3">
      <c r="A667" s="1">
        <v>44639</v>
      </c>
      <c r="B667" t="s">
        <v>18</v>
      </c>
      <c r="C667" t="s">
        <v>13</v>
      </c>
      <c r="D667" t="s">
        <v>10</v>
      </c>
      <c r="E667">
        <v>9766</v>
      </c>
      <c r="F667">
        <v>9808</v>
      </c>
      <c r="G667">
        <v>0</v>
      </c>
      <c r="H667">
        <v>-42</v>
      </c>
      <c r="I667" s="2">
        <f>sa_retail_sales[[#This Row],[Profit]] / sa_retail_sales[[#This Row],[Revenue]]</f>
        <v>-4.3006348556215443E-3</v>
      </c>
      <c r="J667">
        <f xml:space="preserve"> YEAR(sa_retail_sales[[#This Row],[Order Date]])</f>
        <v>2022</v>
      </c>
    </row>
    <row r="668" spans="1:10" x14ac:dyDescent="0.3">
      <c r="A668" s="1">
        <v>44926</v>
      </c>
      <c r="B668" t="s">
        <v>17</v>
      </c>
      <c r="C668" t="s">
        <v>16</v>
      </c>
      <c r="D668" t="s">
        <v>10</v>
      </c>
      <c r="E668">
        <v>6430</v>
      </c>
      <c r="F668">
        <v>7133</v>
      </c>
      <c r="G668">
        <v>15</v>
      </c>
      <c r="H668">
        <v>-703</v>
      </c>
      <c r="I668" s="2">
        <f>sa_retail_sales[[#This Row],[Profit]] / sa_retail_sales[[#This Row],[Revenue]]</f>
        <v>-0.1093312597200622</v>
      </c>
      <c r="J668">
        <f xml:space="preserve"> YEAR(sa_retail_sales[[#This Row],[Order Date]])</f>
        <v>2022</v>
      </c>
    </row>
    <row r="669" spans="1:10" x14ac:dyDescent="0.3">
      <c r="A669" s="1">
        <v>45227</v>
      </c>
      <c r="B669" t="s">
        <v>17</v>
      </c>
      <c r="C669" t="s">
        <v>13</v>
      </c>
      <c r="D669" t="s">
        <v>12</v>
      </c>
      <c r="E669">
        <v>4522</v>
      </c>
      <c r="F669">
        <v>8653</v>
      </c>
      <c r="G669">
        <v>10</v>
      </c>
      <c r="H669">
        <v>-4131</v>
      </c>
      <c r="I669" s="2">
        <f>sa_retail_sales[[#This Row],[Profit]] / sa_retail_sales[[#This Row],[Revenue]]</f>
        <v>-0.9135338345864662</v>
      </c>
      <c r="J669">
        <f xml:space="preserve"> YEAR(sa_retail_sales[[#This Row],[Order Date]])</f>
        <v>2023</v>
      </c>
    </row>
    <row r="670" spans="1:10" x14ac:dyDescent="0.3">
      <c r="A670" s="1">
        <v>45087</v>
      </c>
      <c r="B670" t="s">
        <v>8</v>
      </c>
      <c r="C670" t="s">
        <v>9</v>
      </c>
      <c r="D670" t="s">
        <v>15</v>
      </c>
      <c r="E670">
        <v>12491</v>
      </c>
      <c r="F670">
        <v>2209</v>
      </c>
      <c r="G670">
        <v>10</v>
      </c>
      <c r="H670">
        <v>10282</v>
      </c>
      <c r="I670" s="2">
        <f>sa_retail_sales[[#This Row],[Profit]] / sa_retail_sales[[#This Row],[Revenue]]</f>
        <v>0.82315266992234404</v>
      </c>
      <c r="J670">
        <f xml:space="preserve"> YEAR(sa_retail_sales[[#This Row],[Order Date]])</f>
        <v>2023</v>
      </c>
    </row>
    <row r="671" spans="1:10" x14ac:dyDescent="0.3">
      <c r="A671" s="1">
        <v>45260</v>
      </c>
      <c r="B671" t="s">
        <v>8</v>
      </c>
      <c r="C671" t="s">
        <v>16</v>
      </c>
      <c r="D671" t="s">
        <v>10</v>
      </c>
      <c r="E671">
        <v>5284</v>
      </c>
      <c r="F671">
        <v>9619</v>
      </c>
      <c r="G671">
        <v>10</v>
      </c>
      <c r="H671">
        <v>-4335</v>
      </c>
      <c r="I671" s="2">
        <f>sa_retail_sales[[#This Row],[Profit]] / sa_retail_sales[[#This Row],[Revenue]]</f>
        <v>-0.82040121120363363</v>
      </c>
      <c r="J671">
        <f xml:space="preserve"> YEAR(sa_retail_sales[[#This Row],[Order Date]])</f>
        <v>2023</v>
      </c>
    </row>
    <row r="672" spans="1:10" x14ac:dyDescent="0.3">
      <c r="A672" s="1">
        <v>45444</v>
      </c>
      <c r="B672" t="s">
        <v>8</v>
      </c>
      <c r="C672" t="s">
        <v>14</v>
      </c>
      <c r="D672" t="s">
        <v>15</v>
      </c>
      <c r="E672">
        <v>7117</v>
      </c>
      <c r="F672">
        <v>10150</v>
      </c>
      <c r="G672">
        <v>0</v>
      </c>
      <c r="H672">
        <v>-3033</v>
      </c>
      <c r="I672" s="2">
        <f>sa_retail_sales[[#This Row],[Profit]] / sa_retail_sales[[#This Row],[Revenue]]</f>
        <v>-0.42616270900660391</v>
      </c>
      <c r="J672">
        <f xml:space="preserve"> YEAR(sa_retail_sales[[#This Row],[Order Date]])</f>
        <v>2024</v>
      </c>
    </row>
    <row r="673" spans="1:10" x14ac:dyDescent="0.3">
      <c r="A673" s="1">
        <v>45592</v>
      </c>
      <c r="B673" t="s">
        <v>11</v>
      </c>
      <c r="C673" t="s">
        <v>9</v>
      </c>
      <c r="D673" t="s">
        <v>15</v>
      </c>
      <c r="E673">
        <v>3651</v>
      </c>
      <c r="F673">
        <v>11617</v>
      </c>
      <c r="G673">
        <v>0</v>
      </c>
      <c r="H673">
        <v>-7966</v>
      </c>
      <c r="I673" s="2">
        <f>sa_retail_sales[[#This Row],[Profit]] / sa_retail_sales[[#This Row],[Revenue]]</f>
        <v>-2.1818679813749657</v>
      </c>
      <c r="J673">
        <f xml:space="preserve"> YEAR(sa_retail_sales[[#This Row],[Order Date]])</f>
        <v>2024</v>
      </c>
    </row>
    <row r="674" spans="1:10" x14ac:dyDescent="0.3">
      <c r="A674" s="1">
        <v>45588</v>
      </c>
      <c r="B674" t="s">
        <v>8</v>
      </c>
      <c r="C674" t="s">
        <v>14</v>
      </c>
      <c r="D674" t="s">
        <v>19</v>
      </c>
      <c r="E674">
        <v>12130</v>
      </c>
      <c r="F674">
        <v>2263</v>
      </c>
      <c r="G674">
        <v>0</v>
      </c>
      <c r="H674">
        <v>9867</v>
      </c>
      <c r="I674" s="2">
        <f>sa_retail_sales[[#This Row],[Profit]] / sa_retail_sales[[#This Row],[Revenue]]</f>
        <v>0.81343775762572135</v>
      </c>
      <c r="J674">
        <f xml:space="preserve"> YEAR(sa_retail_sales[[#This Row],[Order Date]])</f>
        <v>2024</v>
      </c>
    </row>
    <row r="675" spans="1:10" x14ac:dyDescent="0.3">
      <c r="A675" s="1">
        <v>45480</v>
      </c>
      <c r="B675" t="s">
        <v>17</v>
      </c>
      <c r="C675" t="s">
        <v>9</v>
      </c>
      <c r="D675" t="s">
        <v>12</v>
      </c>
      <c r="E675">
        <v>6080</v>
      </c>
      <c r="F675">
        <v>5453</v>
      </c>
      <c r="G675">
        <v>0</v>
      </c>
      <c r="H675">
        <v>627</v>
      </c>
      <c r="I675" s="2">
        <f>sa_retail_sales[[#This Row],[Profit]] / sa_retail_sales[[#This Row],[Revenue]]</f>
        <v>0.10312499999999999</v>
      </c>
      <c r="J675">
        <f xml:space="preserve"> YEAR(sa_retail_sales[[#This Row],[Order Date]])</f>
        <v>2024</v>
      </c>
    </row>
    <row r="676" spans="1:10" x14ac:dyDescent="0.3">
      <c r="A676" s="1">
        <v>45311</v>
      </c>
      <c r="B676" t="s">
        <v>18</v>
      </c>
      <c r="C676" t="s">
        <v>13</v>
      </c>
      <c r="D676" t="s">
        <v>19</v>
      </c>
      <c r="E676">
        <v>7554</v>
      </c>
      <c r="F676">
        <v>10781</v>
      </c>
      <c r="G676">
        <v>20</v>
      </c>
      <c r="H676">
        <v>-3227</v>
      </c>
      <c r="I676" s="2">
        <f>sa_retail_sales[[#This Row],[Profit]] / sa_retail_sales[[#This Row],[Revenue]]</f>
        <v>-0.42719089224252049</v>
      </c>
      <c r="J676">
        <f xml:space="preserve"> YEAR(sa_retail_sales[[#This Row],[Order Date]])</f>
        <v>2024</v>
      </c>
    </row>
    <row r="677" spans="1:10" x14ac:dyDescent="0.3">
      <c r="A677" s="1">
        <v>44924</v>
      </c>
      <c r="B677" t="s">
        <v>11</v>
      </c>
      <c r="C677" t="s">
        <v>16</v>
      </c>
      <c r="D677" t="s">
        <v>12</v>
      </c>
      <c r="E677">
        <v>8206</v>
      </c>
      <c r="F677">
        <v>1266</v>
      </c>
      <c r="G677">
        <v>5</v>
      </c>
      <c r="H677">
        <v>6940</v>
      </c>
      <c r="I677" s="2">
        <f>sa_retail_sales[[#This Row],[Profit]] / sa_retail_sales[[#This Row],[Revenue]]</f>
        <v>0.84572264196929081</v>
      </c>
      <c r="J677">
        <f xml:space="preserve"> YEAR(sa_retail_sales[[#This Row],[Order Date]])</f>
        <v>2022</v>
      </c>
    </row>
    <row r="678" spans="1:10" x14ac:dyDescent="0.3">
      <c r="A678" s="1">
        <v>45367</v>
      </c>
      <c r="B678" t="s">
        <v>8</v>
      </c>
      <c r="C678" t="s">
        <v>9</v>
      </c>
      <c r="D678" t="s">
        <v>12</v>
      </c>
      <c r="E678">
        <v>8119</v>
      </c>
      <c r="F678">
        <v>1189</v>
      </c>
      <c r="G678">
        <v>20</v>
      </c>
      <c r="H678">
        <v>6930</v>
      </c>
      <c r="I678" s="2">
        <f>sa_retail_sales[[#This Row],[Profit]] / sa_retail_sales[[#This Row],[Revenue]]</f>
        <v>0.85355339327503388</v>
      </c>
      <c r="J678">
        <f xml:space="preserve"> YEAR(sa_retail_sales[[#This Row],[Order Date]])</f>
        <v>2024</v>
      </c>
    </row>
    <row r="679" spans="1:10" x14ac:dyDescent="0.3">
      <c r="A679" s="1">
        <v>45300</v>
      </c>
      <c r="B679" t="s">
        <v>11</v>
      </c>
      <c r="C679" t="s">
        <v>13</v>
      </c>
      <c r="D679" t="s">
        <v>15</v>
      </c>
      <c r="E679">
        <v>13747</v>
      </c>
      <c r="F679">
        <v>3361</v>
      </c>
      <c r="G679">
        <v>10</v>
      </c>
      <c r="H679">
        <v>10386</v>
      </c>
      <c r="I679" s="2">
        <f>sa_retail_sales[[#This Row],[Profit]] / sa_retail_sales[[#This Row],[Revenue]]</f>
        <v>0.75551029315487017</v>
      </c>
      <c r="J679">
        <f xml:space="preserve"> YEAR(sa_retail_sales[[#This Row],[Order Date]])</f>
        <v>2024</v>
      </c>
    </row>
    <row r="680" spans="1:10" x14ac:dyDescent="0.3">
      <c r="A680" s="1">
        <v>45600</v>
      </c>
      <c r="B680" t="s">
        <v>11</v>
      </c>
      <c r="C680" t="s">
        <v>16</v>
      </c>
      <c r="D680" t="s">
        <v>12</v>
      </c>
      <c r="E680">
        <v>5073</v>
      </c>
      <c r="F680">
        <v>6761</v>
      </c>
      <c r="G680">
        <v>20</v>
      </c>
      <c r="H680">
        <v>-1688</v>
      </c>
      <c r="I680" s="2">
        <f>sa_retail_sales[[#This Row],[Profit]] / sa_retail_sales[[#This Row],[Revenue]]</f>
        <v>-0.33274196727774491</v>
      </c>
      <c r="J680">
        <f xml:space="preserve"> YEAR(sa_retail_sales[[#This Row],[Order Date]])</f>
        <v>2024</v>
      </c>
    </row>
    <row r="681" spans="1:10" x14ac:dyDescent="0.3">
      <c r="A681" s="1">
        <v>45046</v>
      </c>
      <c r="B681" t="s">
        <v>8</v>
      </c>
      <c r="C681" t="s">
        <v>16</v>
      </c>
      <c r="D681" t="s">
        <v>15</v>
      </c>
      <c r="E681">
        <v>3991</v>
      </c>
      <c r="F681">
        <v>6466</v>
      </c>
      <c r="G681">
        <v>15</v>
      </c>
      <c r="H681">
        <v>-2475</v>
      </c>
      <c r="I681" s="2">
        <f>sa_retail_sales[[#This Row],[Profit]] / sa_retail_sales[[#This Row],[Revenue]]</f>
        <v>-0.62014532698571789</v>
      </c>
      <c r="J681">
        <f xml:space="preserve"> YEAR(sa_retail_sales[[#This Row],[Order Date]])</f>
        <v>2023</v>
      </c>
    </row>
    <row r="682" spans="1:10" x14ac:dyDescent="0.3">
      <c r="A682" s="1">
        <v>44589</v>
      </c>
      <c r="B682" t="s">
        <v>11</v>
      </c>
      <c r="C682" t="s">
        <v>9</v>
      </c>
      <c r="D682" t="s">
        <v>15</v>
      </c>
      <c r="E682">
        <v>1206</v>
      </c>
      <c r="F682">
        <v>7267</v>
      </c>
      <c r="G682">
        <v>0</v>
      </c>
      <c r="H682">
        <v>-6061</v>
      </c>
      <c r="I682" s="2">
        <f>sa_retail_sales[[#This Row],[Profit]] / sa_retail_sales[[#This Row],[Revenue]]</f>
        <v>-5.025704809286899</v>
      </c>
      <c r="J682">
        <f xml:space="preserve"> YEAR(sa_retail_sales[[#This Row],[Order Date]])</f>
        <v>2022</v>
      </c>
    </row>
    <row r="683" spans="1:10" x14ac:dyDescent="0.3">
      <c r="A683" s="1">
        <v>45275</v>
      </c>
      <c r="B683" t="s">
        <v>18</v>
      </c>
      <c r="C683" t="s">
        <v>16</v>
      </c>
      <c r="D683" t="s">
        <v>12</v>
      </c>
      <c r="E683">
        <v>7497</v>
      </c>
      <c r="F683">
        <v>11681</v>
      </c>
      <c r="G683">
        <v>15</v>
      </c>
      <c r="H683">
        <v>-4184</v>
      </c>
      <c r="I683" s="2">
        <f>sa_retail_sales[[#This Row],[Profit]] / sa_retail_sales[[#This Row],[Revenue]]</f>
        <v>-0.55808990262771774</v>
      </c>
      <c r="J683">
        <f xml:space="preserve"> YEAR(sa_retail_sales[[#This Row],[Order Date]])</f>
        <v>2023</v>
      </c>
    </row>
    <row r="684" spans="1:10" x14ac:dyDescent="0.3">
      <c r="A684" s="1">
        <v>45624</v>
      </c>
      <c r="B684" t="s">
        <v>17</v>
      </c>
      <c r="C684" t="s">
        <v>9</v>
      </c>
      <c r="D684" t="s">
        <v>15</v>
      </c>
      <c r="E684">
        <v>5733</v>
      </c>
      <c r="F684">
        <v>11240</v>
      </c>
      <c r="G684">
        <v>15</v>
      </c>
      <c r="H684">
        <v>-5507</v>
      </c>
      <c r="I684" s="2">
        <f>sa_retail_sales[[#This Row],[Profit]] / sa_retail_sales[[#This Row],[Revenue]]</f>
        <v>-0.96057910343624631</v>
      </c>
      <c r="J684">
        <f xml:space="preserve"> YEAR(sa_retail_sales[[#This Row],[Order Date]])</f>
        <v>2024</v>
      </c>
    </row>
    <row r="685" spans="1:10" x14ac:dyDescent="0.3">
      <c r="A685" s="1">
        <v>44647</v>
      </c>
      <c r="B685" t="s">
        <v>17</v>
      </c>
      <c r="C685" t="s">
        <v>16</v>
      </c>
      <c r="D685" t="s">
        <v>15</v>
      </c>
      <c r="E685">
        <v>11756</v>
      </c>
      <c r="F685">
        <v>10158</v>
      </c>
      <c r="G685">
        <v>10</v>
      </c>
      <c r="H685">
        <v>1598</v>
      </c>
      <c r="I685" s="2">
        <f>sa_retail_sales[[#This Row],[Profit]] / sa_retail_sales[[#This Row],[Revenue]]</f>
        <v>0.13593058863559035</v>
      </c>
      <c r="J685">
        <f xml:space="preserve"> YEAR(sa_retail_sales[[#This Row],[Order Date]])</f>
        <v>2022</v>
      </c>
    </row>
    <row r="686" spans="1:10" x14ac:dyDescent="0.3">
      <c r="A686" s="1">
        <v>44687</v>
      </c>
      <c r="B686" t="s">
        <v>18</v>
      </c>
      <c r="C686" t="s">
        <v>14</v>
      </c>
      <c r="D686" t="s">
        <v>15</v>
      </c>
      <c r="E686">
        <v>9445</v>
      </c>
      <c r="F686">
        <v>11558</v>
      </c>
      <c r="G686">
        <v>0</v>
      </c>
      <c r="H686">
        <v>-2113</v>
      </c>
      <c r="I686" s="2">
        <f>sa_retail_sales[[#This Row],[Profit]] / sa_retail_sales[[#This Row],[Revenue]]</f>
        <v>-0.22371625198517733</v>
      </c>
      <c r="J686">
        <f xml:space="preserve"> YEAR(sa_retail_sales[[#This Row],[Order Date]])</f>
        <v>2022</v>
      </c>
    </row>
    <row r="687" spans="1:10" x14ac:dyDescent="0.3">
      <c r="A687" s="1">
        <v>45373</v>
      </c>
      <c r="B687" t="s">
        <v>11</v>
      </c>
      <c r="C687" t="s">
        <v>13</v>
      </c>
      <c r="D687" t="s">
        <v>10</v>
      </c>
      <c r="E687">
        <v>6255</v>
      </c>
      <c r="F687">
        <v>8401</v>
      </c>
      <c r="G687">
        <v>15</v>
      </c>
      <c r="H687">
        <v>-2146</v>
      </c>
      <c r="I687" s="2">
        <f>sa_retail_sales[[#This Row],[Profit]] / sa_retail_sales[[#This Row],[Revenue]]</f>
        <v>-0.3430855315747402</v>
      </c>
      <c r="J687">
        <f xml:space="preserve"> YEAR(sa_retail_sales[[#This Row],[Order Date]])</f>
        <v>2024</v>
      </c>
    </row>
    <row r="688" spans="1:10" x14ac:dyDescent="0.3">
      <c r="A688" s="1">
        <v>45098</v>
      </c>
      <c r="B688" t="s">
        <v>8</v>
      </c>
      <c r="C688" t="s">
        <v>14</v>
      </c>
      <c r="D688" t="s">
        <v>15</v>
      </c>
      <c r="E688">
        <v>7460</v>
      </c>
      <c r="F688">
        <v>7679</v>
      </c>
      <c r="G688">
        <v>10</v>
      </c>
      <c r="H688">
        <v>-219</v>
      </c>
      <c r="I688" s="2">
        <f>sa_retail_sales[[#This Row],[Profit]] / sa_retail_sales[[#This Row],[Revenue]]</f>
        <v>-2.9356568364611261E-2</v>
      </c>
      <c r="J688">
        <f xml:space="preserve"> YEAR(sa_retail_sales[[#This Row],[Order Date]])</f>
        <v>2023</v>
      </c>
    </row>
    <row r="689" spans="1:10" x14ac:dyDescent="0.3">
      <c r="A689" s="1">
        <v>44706</v>
      </c>
      <c r="B689" t="s">
        <v>11</v>
      </c>
      <c r="C689" t="s">
        <v>9</v>
      </c>
      <c r="D689" t="s">
        <v>10</v>
      </c>
      <c r="E689">
        <v>9279</v>
      </c>
      <c r="F689">
        <v>9933</v>
      </c>
      <c r="G689">
        <v>0</v>
      </c>
      <c r="H689">
        <v>-654</v>
      </c>
      <c r="I689" s="2">
        <f>sa_retail_sales[[#This Row],[Profit]] / sa_retail_sales[[#This Row],[Revenue]]</f>
        <v>-7.048173294536049E-2</v>
      </c>
      <c r="J689">
        <f xml:space="preserve"> YEAR(sa_retail_sales[[#This Row],[Order Date]])</f>
        <v>2022</v>
      </c>
    </row>
    <row r="690" spans="1:10" x14ac:dyDescent="0.3">
      <c r="A690" s="1">
        <v>44586</v>
      </c>
      <c r="B690" t="s">
        <v>18</v>
      </c>
      <c r="C690" t="s">
        <v>14</v>
      </c>
      <c r="D690" t="s">
        <v>10</v>
      </c>
      <c r="E690">
        <v>1834</v>
      </c>
      <c r="F690">
        <v>7580</v>
      </c>
      <c r="G690">
        <v>5</v>
      </c>
      <c r="H690">
        <v>-5746</v>
      </c>
      <c r="I690" s="2">
        <f>sa_retail_sales[[#This Row],[Profit]] / sa_retail_sales[[#This Row],[Revenue]]</f>
        <v>-3.1330425299890949</v>
      </c>
      <c r="J690">
        <f xml:space="preserve"> YEAR(sa_retail_sales[[#This Row],[Order Date]])</f>
        <v>2022</v>
      </c>
    </row>
    <row r="691" spans="1:10" x14ac:dyDescent="0.3">
      <c r="A691" s="1">
        <v>44628</v>
      </c>
      <c r="B691" t="s">
        <v>11</v>
      </c>
      <c r="C691" t="s">
        <v>9</v>
      </c>
      <c r="D691" t="s">
        <v>15</v>
      </c>
      <c r="E691">
        <v>6088</v>
      </c>
      <c r="F691">
        <v>1367</v>
      </c>
      <c r="G691">
        <v>10</v>
      </c>
      <c r="H691">
        <v>4721</v>
      </c>
      <c r="I691" s="2">
        <f>sa_retail_sales[[#This Row],[Profit]] / sa_retail_sales[[#This Row],[Revenue]]</f>
        <v>0.77545992115637319</v>
      </c>
      <c r="J691">
        <f xml:space="preserve"> YEAR(sa_retail_sales[[#This Row],[Order Date]])</f>
        <v>2022</v>
      </c>
    </row>
    <row r="692" spans="1:10" x14ac:dyDescent="0.3">
      <c r="A692" s="1">
        <v>44794</v>
      </c>
      <c r="B692" t="s">
        <v>17</v>
      </c>
      <c r="C692" t="s">
        <v>16</v>
      </c>
      <c r="D692" t="s">
        <v>15</v>
      </c>
      <c r="E692">
        <v>2347</v>
      </c>
      <c r="F692">
        <v>4523</v>
      </c>
      <c r="G692">
        <v>20</v>
      </c>
      <c r="H692">
        <v>-2176</v>
      </c>
      <c r="I692" s="2">
        <f>sa_retail_sales[[#This Row],[Profit]] / sa_retail_sales[[#This Row],[Revenue]]</f>
        <v>-0.92714103110353641</v>
      </c>
      <c r="J692">
        <f xml:space="preserve"> YEAR(sa_retail_sales[[#This Row],[Order Date]])</f>
        <v>2022</v>
      </c>
    </row>
    <row r="693" spans="1:10" x14ac:dyDescent="0.3">
      <c r="A693" s="1">
        <v>44670</v>
      </c>
      <c r="B693" t="s">
        <v>11</v>
      </c>
      <c r="C693" t="s">
        <v>16</v>
      </c>
      <c r="D693" t="s">
        <v>10</v>
      </c>
      <c r="E693">
        <v>7351</v>
      </c>
      <c r="F693">
        <v>11415</v>
      </c>
      <c r="G693">
        <v>0</v>
      </c>
      <c r="H693">
        <v>-4064</v>
      </c>
      <c r="I693" s="2">
        <f>sa_retail_sales[[#This Row],[Profit]] / sa_retail_sales[[#This Row],[Revenue]]</f>
        <v>-0.55284995238743029</v>
      </c>
      <c r="J693">
        <f xml:space="preserve"> YEAR(sa_retail_sales[[#This Row],[Order Date]])</f>
        <v>2022</v>
      </c>
    </row>
    <row r="694" spans="1:10" x14ac:dyDescent="0.3">
      <c r="A694" s="1">
        <v>44672</v>
      </c>
      <c r="B694" t="s">
        <v>18</v>
      </c>
      <c r="C694" t="s">
        <v>9</v>
      </c>
      <c r="D694" t="s">
        <v>10</v>
      </c>
      <c r="E694">
        <v>12626</v>
      </c>
      <c r="F694">
        <v>9318</v>
      </c>
      <c r="G694">
        <v>15</v>
      </c>
      <c r="H694">
        <v>3308</v>
      </c>
      <c r="I694" s="2">
        <f>sa_retail_sales[[#This Row],[Profit]] / sa_retail_sales[[#This Row],[Revenue]]</f>
        <v>0.26199904958023129</v>
      </c>
      <c r="J694">
        <f xml:space="preserve"> YEAR(sa_retail_sales[[#This Row],[Order Date]])</f>
        <v>2022</v>
      </c>
    </row>
    <row r="695" spans="1:10" x14ac:dyDescent="0.3">
      <c r="A695" s="1">
        <v>44789</v>
      </c>
      <c r="B695" t="s">
        <v>17</v>
      </c>
      <c r="C695" t="s">
        <v>14</v>
      </c>
      <c r="D695" t="s">
        <v>15</v>
      </c>
      <c r="E695">
        <v>7711</v>
      </c>
      <c r="F695">
        <v>4907</v>
      </c>
      <c r="G695">
        <v>15</v>
      </c>
      <c r="H695">
        <v>2804</v>
      </c>
      <c r="I695" s="2">
        <f>sa_retail_sales[[#This Row],[Profit]] / sa_retail_sales[[#This Row],[Revenue]]</f>
        <v>0.36363636363636365</v>
      </c>
      <c r="J695">
        <f xml:space="preserve"> YEAR(sa_retail_sales[[#This Row],[Order Date]])</f>
        <v>2022</v>
      </c>
    </row>
    <row r="696" spans="1:10" x14ac:dyDescent="0.3">
      <c r="A696" s="1">
        <v>44672</v>
      </c>
      <c r="B696" t="s">
        <v>11</v>
      </c>
      <c r="C696" t="s">
        <v>16</v>
      </c>
      <c r="D696" t="s">
        <v>15</v>
      </c>
      <c r="E696">
        <v>8365</v>
      </c>
      <c r="F696">
        <v>4285</v>
      </c>
      <c r="G696">
        <v>20</v>
      </c>
      <c r="H696">
        <v>4080</v>
      </c>
      <c r="I696" s="2">
        <f>sa_retail_sales[[#This Row],[Profit]] / sa_retail_sales[[#This Row],[Revenue]]</f>
        <v>0.48774656306037062</v>
      </c>
      <c r="J696">
        <f xml:space="preserve"> YEAR(sa_retail_sales[[#This Row],[Order Date]])</f>
        <v>2022</v>
      </c>
    </row>
    <row r="697" spans="1:10" x14ac:dyDescent="0.3">
      <c r="A697" s="1">
        <v>44595</v>
      </c>
      <c r="B697" t="s">
        <v>11</v>
      </c>
      <c r="C697" t="s">
        <v>13</v>
      </c>
      <c r="D697" t="s">
        <v>12</v>
      </c>
      <c r="E697">
        <v>12618</v>
      </c>
      <c r="F697">
        <v>10584</v>
      </c>
      <c r="G697">
        <v>20</v>
      </c>
      <c r="H697">
        <v>2034</v>
      </c>
      <c r="I697" s="2">
        <f>sa_retail_sales[[#This Row],[Profit]] / sa_retail_sales[[#This Row],[Revenue]]</f>
        <v>0.16119828815977175</v>
      </c>
      <c r="J697">
        <f xml:space="preserve"> YEAR(sa_retail_sales[[#This Row],[Order Date]])</f>
        <v>2022</v>
      </c>
    </row>
    <row r="698" spans="1:10" x14ac:dyDescent="0.3">
      <c r="A698" s="1">
        <v>45184</v>
      </c>
      <c r="B698" t="s">
        <v>17</v>
      </c>
      <c r="C698" t="s">
        <v>16</v>
      </c>
      <c r="D698" t="s">
        <v>10</v>
      </c>
      <c r="E698">
        <v>3817</v>
      </c>
      <c r="F698">
        <v>3479</v>
      </c>
      <c r="G698">
        <v>15</v>
      </c>
      <c r="H698">
        <v>338</v>
      </c>
      <c r="I698" s="2">
        <f>sa_retail_sales[[#This Row],[Profit]] / sa_retail_sales[[#This Row],[Revenue]]</f>
        <v>8.8551218234215356E-2</v>
      </c>
      <c r="J698">
        <f xml:space="preserve"> YEAR(sa_retail_sales[[#This Row],[Order Date]])</f>
        <v>2023</v>
      </c>
    </row>
    <row r="699" spans="1:10" x14ac:dyDescent="0.3">
      <c r="A699" s="1">
        <v>45309</v>
      </c>
      <c r="B699" t="s">
        <v>8</v>
      </c>
      <c r="C699" t="s">
        <v>13</v>
      </c>
      <c r="D699" t="s">
        <v>10</v>
      </c>
      <c r="E699">
        <v>12712</v>
      </c>
      <c r="F699">
        <v>4838</v>
      </c>
      <c r="G699">
        <v>0</v>
      </c>
      <c r="H699">
        <v>7874</v>
      </c>
      <c r="I699" s="2">
        <f>sa_retail_sales[[#This Row],[Profit]] / sa_retail_sales[[#This Row],[Revenue]]</f>
        <v>0.61941472624292004</v>
      </c>
      <c r="J699">
        <f xml:space="preserve"> YEAR(sa_retail_sales[[#This Row],[Order Date]])</f>
        <v>2024</v>
      </c>
    </row>
    <row r="700" spans="1:10" x14ac:dyDescent="0.3">
      <c r="A700" s="1">
        <v>45156</v>
      </c>
      <c r="B700" t="s">
        <v>17</v>
      </c>
      <c r="C700" t="s">
        <v>14</v>
      </c>
      <c r="D700" t="s">
        <v>12</v>
      </c>
      <c r="E700">
        <v>11847</v>
      </c>
      <c r="F700">
        <v>2662</v>
      </c>
      <c r="G700">
        <v>10</v>
      </c>
      <c r="H700">
        <v>9185</v>
      </c>
      <c r="I700" s="2">
        <f>sa_retail_sales[[#This Row],[Profit]] / sa_retail_sales[[#This Row],[Revenue]]</f>
        <v>0.77530176415970287</v>
      </c>
      <c r="J700">
        <f xml:space="preserve"> YEAR(sa_retail_sales[[#This Row],[Order Date]])</f>
        <v>2023</v>
      </c>
    </row>
    <row r="701" spans="1:10" x14ac:dyDescent="0.3">
      <c r="A701" s="1">
        <v>44986</v>
      </c>
      <c r="B701" t="s">
        <v>8</v>
      </c>
      <c r="C701" t="s">
        <v>13</v>
      </c>
      <c r="D701" t="s">
        <v>10</v>
      </c>
      <c r="E701">
        <v>12994</v>
      </c>
      <c r="F701">
        <v>2524</v>
      </c>
      <c r="G701">
        <v>20</v>
      </c>
      <c r="H701">
        <v>10470</v>
      </c>
      <c r="I701" s="2">
        <f>sa_retail_sales[[#This Row],[Profit]] / sa_retail_sales[[#This Row],[Revenue]]</f>
        <v>0.80575650300138524</v>
      </c>
      <c r="J701">
        <f xml:space="preserve"> YEAR(sa_retail_sales[[#This Row],[Order Date]])</f>
        <v>2023</v>
      </c>
    </row>
    <row r="702" spans="1:10" x14ac:dyDescent="0.3">
      <c r="A702" s="1">
        <v>45174</v>
      </c>
      <c r="B702" t="s">
        <v>18</v>
      </c>
      <c r="C702" t="s">
        <v>13</v>
      </c>
      <c r="D702" t="s">
        <v>19</v>
      </c>
      <c r="E702">
        <v>10890</v>
      </c>
      <c r="F702">
        <v>6671</v>
      </c>
      <c r="G702">
        <v>20</v>
      </c>
      <c r="H702">
        <v>4219</v>
      </c>
      <c r="I702" s="2">
        <f>sa_retail_sales[[#This Row],[Profit]] / sa_retail_sales[[#This Row],[Revenue]]</f>
        <v>0.38741965105601467</v>
      </c>
      <c r="J702">
        <f xml:space="preserve"> YEAR(sa_retail_sales[[#This Row],[Order Date]])</f>
        <v>2023</v>
      </c>
    </row>
    <row r="703" spans="1:10" x14ac:dyDescent="0.3">
      <c r="A703" s="1">
        <v>45253</v>
      </c>
      <c r="B703" t="s">
        <v>18</v>
      </c>
      <c r="C703" t="s">
        <v>13</v>
      </c>
      <c r="D703" t="s">
        <v>10</v>
      </c>
      <c r="E703">
        <v>7311</v>
      </c>
      <c r="F703">
        <v>2026</v>
      </c>
      <c r="G703">
        <v>20</v>
      </c>
      <c r="H703">
        <v>5285</v>
      </c>
      <c r="I703" s="2">
        <f>sa_retail_sales[[#This Row],[Profit]] / sa_retail_sales[[#This Row],[Revenue]]</f>
        <v>0.72288332649432363</v>
      </c>
      <c r="J703">
        <f xml:space="preserve"> YEAR(sa_retail_sales[[#This Row],[Order Date]])</f>
        <v>2023</v>
      </c>
    </row>
    <row r="704" spans="1:10" x14ac:dyDescent="0.3">
      <c r="A704" s="1">
        <v>44876</v>
      </c>
      <c r="B704" t="s">
        <v>17</v>
      </c>
      <c r="C704" t="s">
        <v>13</v>
      </c>
      <c r="D704" t="s">
        <v>12</v>
      </c>
      <c r="E704">
        <v>664</v>
      </c>
      <c r="F704">
        <v>10498</v>
      </c>
      <c r="G704">
        <v>5</v>
      </c>
      <c r="H704">
        <v>-9834</v>
      </c>
      <c r="I704" s="2">
        <f>sa_retail_sales[[#This Row],[Profit]] / sa_retail_sales[[#This Row],[Revenue]]</f>
        <v>-14.810240963855422</v>
      </c>
      <c r="J704">
        <f xml:space="preserve"> YEAR(sa_retail_sales[[#This Row],[Order Date]])</f>
        <v>2022</v>
      </c>
    </row>
    <row r="705" spans="1:10" x14ac:dyDescent="0.3">
      <c r="A705" s="1">
        <v>45438</v>
      </c>
      <c r="B705" t="s">
        <v>17</v>
      </c>
      <c r="C705" t="s">
        <v>16</v>
      </c>
      <c r="D705" t="s">
        <v>19</v>
      </c>
      <c r="E705">
        <v>7560</v>
      </c>
      <c r="F705">
        <v>6091</v>
      </c>
      <c r="G705">
        <v>0</v>
      </c>
      <c r="H705">
        <v>1469</v>
      </c>
      <c r="I705" s="2">
        <f>sa_retail_sales[[#This Row],[Profit]] / sa_retail_sales[[#This Row],[Revenue]]</f>
        <v>0.19431216931216932</v>
      </c>
      <c r="J705">
        <f xml:space="preserve"> YEAR(sa_retail_sales[[#This Row],[Order Date]])</f>
        <v>2024</v>
      </c>
    </row>
    <row r="706" spans="1:10" x14ac:dyDescent="0.3">
      <c r="A706" s="1">
        <v>45223</v>
      </c>
      <c r="B706" t="s">
        <v>18</v>
      </c>
      <c r="C706" t="s">
        <v>13</v>
      </c>
      <c r="D706" t="s">
        <v>15</v>
      </c>
      <c r="E706">
        <v>10690</v>
      </c>
      <c r="F706">
        <v>8373</v>
      </c>
      <c r="G706">
        <v>0</v>
      </c>
      <c r="H706">
        <v>2317</v>
      </c>
      <c r="I706" s="2">
        <f>sa_retail_sales[[#This Row],[Profit]] / sa_retail_sales[[#This Row],[Revenue]]</f>
        <v>0.21674462114125351</v>
      </c>
      <c r="J706">
        <f xml:space="preserve"> YEAR(sa_retail_sales[[#This Row],[Order Date]])</f>
        <v>2023</v>
      </c>
    </row>
    <row r="707" spans="1:10" x14ac:dyDescent="0.3">
      <c r="A707" s="1">
        <v>44838</v>
      </c>
      <c r="B707" t="s">
        <v>8</v>
      </c>
      <c r="C707" t="s">
        <v>16</v>
      </c>
      <c r="D707" t="s">
        <v>12</v>
      </c>
      <c r="E707">
        <v>3557</v>
      </c>
      <c r="F707">
        <v>8758</v>
      </c>
      <c r="G707">
        <v>0</v>
      </c>
      <c r="H707">
        <v>-5201</v>
      </c>
      <c r="I707" s="2">
        <f>sa_retail_sales[[#This Row],[Profit]] / sa_retail_sales[[#This Row],[Revenue]]</f>
        <v>-1.4621872364351982</v>
      </c>
      <c r="J707">
        <f xml:space="preserve"> YEAR(sa_retail_sales[[#This Row],[Order Date]])</f>
        <v>2022</v>
      </c>
    </row>
    <row r="708" spans="1:10" x14ac:dyDescent="0.3">
      <c r="A708" s="1">
        <v>45185</v>
      </c>
      <c r="B708" t="s">
        <v>18</v>
      </c>
      <c r="C708" t="s">
        <v>13</v>
      </c>
      <c r="D708" t="s">
        <v>12</v>
      </c>
      <c r="E708">
        <v>10776</v>
      </c>
      <c r="F708">
        <v>7313</v>
      </c>
      <c r="G708">
        <v>0</v>
      </c>
      <c r="H708">
        <v>3463</v>
      </c>
      <c r="I708" s="2">
        <f>sa_retail_sales[[#This Row],[Profit]] / sa_retail_sales[[#This Row],[Revenue]]</f>
        <v>0.32136228656273202</v>
      </c>
      <c r="J708">
        <f xml:space="preserve"> YEAR(sa_retail_sales[[#This Row],[Order Date]])</f>
        <v>2023</v>
      </c>
    </row>
    <row r="709" spans="1:10" x14ac:dyDescent="0.3">
      <c r="A709" s="1">
        <v>45077</v>
      </c>
      <c r="B709" t="s">
        <v>17</v>
      </c>
      <c r="C709" t="s">
        <v>9</v>
      </c>
      <c r="D709" t="s">
        <v>15</v>
      </c>
      <c r="E709">
        <v>4928</v>
      </c>
      <c r="F709">
        <v>1137</v>
      </c>
      <c r="G709">
        <v>0</v>
      </c>
      <c r="H709">
        <v>3791</v>
      </c>
      <c r="I709" s="2">
        <f>sa_retail_sales[[#This Row],[Profit]] / sa_retail_sales[[#This Row],[Revenue]]</f>
        <v>0.76927759740259738</v>
      </c>
      <c r="J709">
        <f xml:space="preserve"> YEAR(sa_retail_sales[[#This Row],[Order Date]])</f>
        <v>2023</v>
      </c>
    </row>
    <row r="710" spans="1:10" x14ac:dyDescent="0.3">
      <c r="A710" s="1">
        <v>45404</v>
      </c>
      <c r="B710" t="s">
        <v>18</v>
      </c>
      <c r="C710" t="s">
        <v>14</v>
      </c>
      <c r="D710" t="s">
        <v>12</v>
      </c>
      <c r="E710">
        <v>902</v>
      </c>
      <c r="F710">
        <v>4884</v>
      </c>
      <c r="G710">
        <v>15</v>
      </c>
      <c r="H710">
        <v>-3982</v>
      </c>
      <c r="I710" s="2">
        <f>sa_retail_sales[[#This Row],[Profit]] / sa_retail_sales[[#This Row],[Revenue]]</f>
        <v>-4.4146341463414638</v>
      </c>
      <c r="J710">
        <f xml:space="preserve"> YEAR(sa_retail_sales[[#This Row],[Order Date]])</f>
        <v>2024</v>
      </c>
    </row>
    <row r="711" spans="1:10" x14ac:dyDescent="0.3">
      <c r="A711" s="1">
        <v>44911</v>
      </c>
      <c r="B711" t="s">
        <v>17</v>
      </c>
      <c r="C711" t="s">
        <v>13</v>
      </c>
      <c r="D711" t="s">
        <v>10</v>
      </c>
      <c r="E711">
        <v>9105</v>
      </c>
      <c r="F711">
        <v>986</v>
      </c>
      <c r="G711">
        <v>20</v>
      </c>
      <c r="H711">
        <v>8119</v>
      </c>
      <c r="I711" s="2">
        <f>sa_retail_sales[[#This Row],[Profit]] / sa_retail_sales[[#This Row],[Revenue]]</f>
        <v>0.89170785282811638</v>
      </c>
      <c r="J711">
        <f xml:space="preserve"> YEAR(sa_retail_sales[[#This Row],[Order Date]])</f>
        <v>2022</v>
      </c>
    </row>
    <row r="712" spans="1:10" x14ac:dyDescent="0.3">
      <c r="A712" s="1">
        <v>45384</v>
      </c>
      <c r="B712" t="s">
        <v>17</v>
      </c>
      <c r="C712" t="s">
        <v>9</v>
      </c>
      <c r="D712" t="s">
        <v>15</v>
      </c>
      <c r="E712">
        <v>8736</v>
      </c>
      <c r="F712">
        <v>11853</v>
      </c>
      <c r="G712">
        <v>15</v>
      </c>
      <c r="H712">
        <v>-3117</v>
      </c>
      <c r="I712" s="2">
        <f>sa_retail_sales[[#This Row],[Profit]] / sa_retail_sales[[#This Row],[Revenue]]</f>
        <v>-0.35679945054945056</v>
      </c>
      <c r="J712">
        <f xml:space="preserve"> YEAR(sa_retail_sales[[#This Row],[Order Date]])</f>
        <v>2024</v>
      </c>
    </row>
    <row r="713" spans="1:10" x14ac:dyDescent="0.3">
      <c r="A713" s="1">
        <v>45320</v>
      </c>
      <c r="B713" t="s">
        <v>18</v>
      </c>
      <c r="C713" t="s">
        <v>13</v>
      </c>
      <c r="D713" t="s">
        <v>12</v>
      </c>
      <c r="E713">
        <v>6849</v>
      </c>
      <c r="F713">
        <v>656</v>
      </c>
      <c r="G713">
        <v>5</v>
      </c>
      <c r="H713">
        <v>6193</v>
      </c>
      <c r="I713" s="2">
        <f>sa_retail_sales[[#This Row],[Profit]] / sa_retail_sales[[#This Row],[Revenue]]</f>
        <v>0.90421959410132868</v>
      </c>
      <c r="J713">
        <f xml:space="preserve"> YEAR(sa_retail_sales[[#This Row],[Order Date]])</f>
        <v>2024</v>
      </c>
    </row>
    <row r="714" spans="1:10" x14ac:dyDescent="0.3">
      <c r="A714" s="1">
        <v>45460</v>
      </c>
      <c r="B714" t="s">
        <v>8</v>
      </c>
      <c r="C714" t="s">
        <v>13</v>
      </c>
      <c r="D714" t="s">
        <v>15</v>
      </c>
      <c r="E714">
        <v>4657</v>
      </c>
      <c r="F714">
        <v>9363</v>
      </c>
      <c r="G714">
        <v>10</v>
      </c>
      <c r="H714">
        <v>-4706</v>
      </c>
      <c r="I714" s="2">
        <f>sa_retail_sales[[#This Row],[Profit]] / sa_retail_sales[[#This Row],[Revenue]]</f>
        <v>-1.0105217951470904</v>
      </c>
      <c r="J714">
        <f xml:space="preserve"> YEAR(sa_retail_sales[[#This Row],[Order Date]])</f>
        <v>2024</v>
      </c>
    </row>
    <row r="715" spans="1:10" x14ac:dyDescent="0.3">
      <c r="A715" s="1">
        <v>44804</v>
      </c>
      <c r="B715" t="s">
        <v>11</v>
      </c>
      <c r="C715" t="s">
        <v>13</v>
      </c>
      <c r="D715" t="s">
        <v>15</v>
      </c>
      <c r="E715">
        <v>11159</v>
      </c>
      <c r="F715">
        <v>10465</v>
      </c>
      <c r="G715">
        <v>20</v>
      </c>
      <c r="H715">
        <v>694</v>
      </c>
      <c r="I715" s="2">
        <f>sa_retail_sales[[#This Row],[Profit]] / sa_retail_sales[[#This Row],[Revenue]]</f>
        <v>6.2191952683932253E-2</v>
      </c>
      <c r="J715">
        <f xml:space="preserve"> YEAR(sa_retail_sales[[#This Row],[Order Date]])</f>
        <v>2022</v>
      </c>
    </row>
    <row r="716" spans="1:10" x14ac:dyDescent="0.3">
      <c r="A716" s="1">
        <v>45104</v>
      </c>
      <c r="B716" t="s">
        <v>18</v>
      </c>
      <c r="C716" t="s">
        <v>9</v>
      </c>
      <c r="D716" t="s">
        <v>15</v>
      </c>
      <c r="E716">
        <v>1367</v>
      </c>
      <c r="F716">
        <v>4947</v>
      </c>
      <c r="G716">
        <v>5</v>
      </c>
      <c r="H716">
        <v>-3580</v>
      </c>
      <c r="I716" s="2">
        <f>sa_retail_sales[[#This Row],[Profit]] / sa_retail_sales[[#This Row],[Revenue]]</f>
        <v>-2.6188734455010971</v>
      </c>
      <c r="J716">
        <f xml:space="preserve"> YEAR(sa_retail_sales[[#This Row],[Order Date]])</f>
        <v>2023</v>
      </c>
    </row>
    <row r="717" spans="1:10" x14ac:dyDescent="0.3">
      <c r="A717" s="1">
        <v>45625</v>
      </c>
      <c r="B717" t="s">
        <v>11</v>
      </c>
      <c r="C717" t="s">
        <v>14</v>
      </c>
      <c r="D717" t="s">
        <v>19</v>
      </c>
      <c r="E717">
        <v>14279</v>
      </c>
      <c r="F717">
        <v>10302</v>
      </c>
      <c r="G717">
        <v>15</v>
      </c>
      <c r="H717">
        <v>3977</v>
      </c>
      <c r="I717" s="2">
        <f>sa_retail_sales[[#This Row],[Profit]] / sa_retail_sales[[#This Row],[Revenue]]</f>
        <v>0.27852090482526787</v>
      </c>
      <c r="J717">
        <f xml:space="preserve"> YEAR(sa_retail_sales[[#This Row],[Order Date]])</f>
        <v>2024</v>
      </c>
    </row>
    <row r="718" spans="1:10" x14ac:dyDescent="0.3">
      <c r="A718" s="1">
        <v>44790</v>
      </c>
      <c r="B718" t="s">
        <v>18</v>
      </c>
      <c r="C718" t="s">
        <v>9</v>
      </c>
      <c r="D718" t="s">
        <v>12</v>
      </c>
      <c r="E718">
        <v>8710</v>
      </c>
      <c r="F718">
        <v>4718</v>
      </c>
      <c r="G718">
        <v>10</v>
      </c>
      <c r="H718">
        <v>3992</v>
      </c>
      <c r="I718" s="2">
        <f>sa_retail_sales[[#This Row],[Profit]] / sa_retail_sales[[#This Row],[Revenue]]</f>
        <v>0.45832376578645234</v>
      </c>
      <c r="J718">
        <f xml:space="preserve"> YEAR(sa_retail_sales[[#This Row],[Order Date]])</f>
        <v>2022</v>
      </c>
    </row>
    <row r="719" spans="1:10" x14ac:dyDescent="0.3">
      <c r="A719" s="1">
        <v>45109</v>
      </c>
      <c r="B719" t="s">
        <v>11</v>
      </c>
      <c r="C719" t="s">
        <v>14</v>
      </c>
      <c r="D719" t="s">
        <v>19</v>
      </c>
      <c r="E719">
        <v>864</v>
      </c>
      <c r="F719">
        <v>11133</v>
      </c>
      <c r="G719">
        <v>5</v>
      </c>
      <c r="H719">
        <v>-10269</v>
      </c>
      <c r="I719" s="2">
        <f>sa_retail_sales[[#This Row],[Profit]] / sa_retail_sales[[#This Row],[Revenue]]</f>
        <v>-11.885416666666666</v>
      </c>
      <c r="J719">
        <f xml:space="preserve"> YEAR(sa_retail_sales[[#This Row],[Order Date]])</f>
        <v>2023</v>
      </c>
    </row>
    <row r="720" spans="1:10" x14ac:dyDescent="0.3">
      <c r="A720" s="1">
        <v>45481</v>
      </c>
      <c r="B720" t="s">
        <v>8</v>
      </c>
      <c r="C720" t="s">
        <v>13</v>
      </c>
      <c r="D720" t="s">
        <v>12</v>
      </c>
      <c r="E720">
        <v>7967</v>
      </c>
      <c r="F720">
        <v>10720</v>
      </c>
      <c r="G720">
        <v>10</v>
      </c>
      <c r="H720">
        <v>-2753</v>
      </c>
      <c r="I720" s="2">
        <f>sa_retail_sales[[#This Row],[Profit]] / sa_retail_sales[[#This Row],[Revenue]]</f>
        <v>-0.3455503953809464</v>
      </c>
      <c r="J720">
        <f xml:space="preserve"> YEAR(sa_retail_sales[[#This Row],[Order Date]])</f>
        <v>2024</v>
      </c>
    </row>
    <row r="721" spans="1:10" x14ac:dyDescent="0.3">
      <c r="A721" s="1">
        <v>44567</v>
      </c>
      <c r="B721" t="s">
        <v>8</v>
      </c>
      <c r="C721" t="s">
        <v>16</v>
      </c>
      <c r="D721" t="s">
        <v>10</v>
      </c>
      <c r="E721">
        <v>12524</v>
      </c>
      <c r="F721">
        <v>6942</v>
      </c>
      <c r="G721">
        <v>5</v>
      </c>
      <c r="H721">
        <v>5582</v>
      </c>
      <c r="I721" s="2">
        <f>sa_retail_sales[[#This Row],[Profit]] / sa_retail_sales[[#This Row],[Revenue]]</f>
        <v>0.44570424784413926</v>
      </c>
      <c r="J721">
        <f xml:space="preserve"> YEAR(sa_retail_sales[[#This Row],[Order Date]])</f>
        <v>2022</v>
      </c>
    </row>
    <row r="722" spans="1:10" x14ac:dyDescent="0.3">
      <c r="A722" s="1">
        <v>45029</v>
      </c>
      <c r="B722" t="s">
        <v>18</v>
      </c>
      <c r="C722" t="s">
        <v>13</v>
      </c>
      <c r="D722" t="s">
        <v>10</v>
      </c>
      <c r="E722">
        <v>7071</v>
      </c>
      <c r="F722">
        <v>3691</v>
      </c>
      <c r="G722">
        <v>15</v>
      </c>
      <c r="H722">
        <v>3380</v>
      </c>
      <c r="I722" s="2">
        <f>sa_retail_sales[[#This Row],[Profit]] / sa_retail_sales[[#This Row],[Revenue]]</f>
        <v>0.47800876820817423</v>
      </c>
      <c r="J722">
        <f xml:space="preserve"> YEAR(sa_retail_sales[[#This Row],[Order Date]])</f>
        <v>2023</v>
      </c>
    </row>
    <row r="723" spans="1:10" x14ac:dyDescent="0.3">
      <c r="A723" s="1">
        <v>44636</v>
      </c>
      <c r="B723" t="s">
        <v>17</v>
      </c>
      <c r="C723" t="s">
        <v>14</v>
      </c>
      <c r="D723" t="s">
        <v>10</v>
      </c>
      <c r="E723">
        <v>13928</v>
      </c>
      <c r="F723">
        <v>10842</v>
      </c>
      <c r="G723">
        <v>10</v>
      </c>
      <c r="H723">
        <v>3086</v>
      </c>
      <c r="I723" s="2">
        <f>sa_retail_sales[[#This Row],[Profit]] / sa_retail_sales[[#This Row],[Revenue]]</f>
        <v>0.22156806433084433</v>
      </c>
      <c r="J723">
        <f xml:space="preserve"> YEAR(sa_retail_sales[[#This Row],[Order Date]])</f>
        <v>2022</v>
      </c>
    </row>
    <row r="724" spans="1:10" x14ac:dyDescent="0.3">
      <c r="A724" s="1">
        <v>44565</v>
      </c>
      <c r="B724" t="s">
        <v>11</v>
      </c>
      <c r="C724" t="s">
        <v>9</v>
      </c>
      <c r="D724" t="s">
        <v>12</v>
      </c>
      <c r="E724">
        <v>1079</v>
      </c>
      <c r="F724">
        <v>4657</v>
      </c>
      <c r="G724">
        <v>5</v>
      </c>
      <c r="H724">
        <v>-3578</v>
      </c>
      <c r="I724" s="2">
        <f>sa_retail_sales[[#This Row],[Profit]] / sa_retail_sales[[#This Row],[Revenue]]</f>
        <v>-3.3160333642261355</v>
      </c>
      <c r="J724">
        <f xml:space="preserve"> YEAR(sa_retail_sales[[#This Row],[Order Date]])</f>
        <v>2022</v>
      </c>
    </row>
    <row r="725" spans="1:10" x14ac:dyDescent="0.3">
      <c r="A725" s="1">
        <v>45207</v>
      </c>
      <c r="B725" t="s">
        <v>17</v>
      </c>
      <c r="C725" t="s">
        <v>13</v>
      </c>
      <c r="D725" t="s">
        <v>15</v>
      </c>
      <c r="E725">
        <v>8174</v>
      </c>
      <c r="F725">
        <v>5179</v>
      </c>
      <c r="G725">
        <v>15</v>
      </c>
      <c r="H725">
        <v>2995</v>
      </c>
      <c r="I725" s="2">
        <f>sa_retail_sales[[#This Row],[Profit]] / sa_retail_sales[[#This Row],[Revenue]]</f>
        <v>0.366405676535356</v>
      </c>
      <c r="J725">
        <f xml:space="preserve"> YEAR(sa_retail_sales[[#This Row],[Order Date]])</f>
        <v>2023</v>
      </c>
    </row>
    <row r="726" spans="1:10" x14ac:dyDescent="0.3">
      <c r="A726" s="1">
        <v>44679</v>
      </c>
      <c r="B726" t="s">
        <v>17</v>
      </c>
      <c r="C726" t="s">
        <v>9</v>
      </c>
      <c r="D726" t="s">
        <v>15</v>
      </c>
      <c r="E726">
        <v>9237</v>
      </c>
      <c r="F726">
        <v>5619</v>
      </c>
      <c r="G726">
        <v>20</v>
      </c>
      <c r="H726">
        <v>3618</v>
      </c>
      <c r="I726" s="2">
        <f>sa_retail_sales[[#This Row],[Profit]] / sa_retail_sales[[#This Row],[Revenue]]</f>
        <v>0.39168561221175707</v>
      </c>
      <c r="J726">
        <f xml:space="preserve"> YEAR(sa_retail_sales[[#This Row],[Order Date]])</f>
        <v>2022</v>
      </c>
    </row>
    <row r="727" spans="1:10" x14ac:dyDescent="0.3">
      <c r="A727" s="1">
        <v>45442</v>
      </c>
      <c r="B727" t="s">
        <v>17</v>
      </c>
      <c r="C727" t="s">
        <v>9</v>
      </c>
      <c r="D727" t="s">
        <v>19</v>
      </c>
      <c r="E727">
        <v>14517</v>
      </c>
      <c r="F727">
        <v>3039</v>
      </c>
      <c r="G727">
        <v>15</v>
      </c>
      <c r="H727">
        <v>11478</v>
      </c>
      <c r="I727" s="2">
        <f>sa_retail_sales[[#This Row],[Profit]] / sa_retail_sales[[#This Row],[Revenue]]</f>
        <v>0.79065922711303993</v>
      </c>
      <c r="J727">
        <f xml:space="preserve"> YEAR(sa_retail_sales[[#This Row],[Order Date]])</f>
        <v>2024</v>
      </c>
    </row>
    <row r="728" spans="1:10" x14ac:dyDescent="0.3">
      <c r="A728" s="1">
        <v>45065</v>
      </c>
      <c r="B728" t="s">
        <v>8</v>
      </c>
      <c r="C728" t="s">
        <v>9</v>
      </c>
      <c r="D728" t="s">
        <v>19</v>
      </c>
      <c r="E728">
        <v>6968</v>
      </c>
      <c r="F728">
        <v>11222</v>
      </c>
      <c r="G728">
        <v>15</v>
      </c>
      <c r="H728">
        <v>-4254</v>
      </c>
      <c r="I728" s="2">
        <f>sa_retail_sales[[#This Row],[Profit]] / sa_retail_sales[[#This Row],[Revenue]]</f>
        <v>-0.61050516647531572</v>
      </c>
      <c r="J728">
        <f xml:space="preserve"> YEAR(sa_retail_sales[[#This Row],[Order Date]])</f>
        <v>2023</v>
      </c>
    </row>
    <row r="729" spans="1:10" x14ac:dyDescent="0.3">
      <c r="A729" s="1">
        <v>45508</v>
      </c>
      <c r="B729" t="s">
        <v>18</v>
      </c>
      <c r="C729" t="s">
        <v>13</v>
      </c>
      <c r="D729" t="s">
        <v>10</v>
      </c>
      <c r="E729">
        <v>4650</v>
      </c>
      <c r="F729">
        <v>9810</v>
      </c>
      <c r="G729">
        <v>20</v>
      </c>
      <c r="H729">
        <v>-5160</v>
      </c>
      <c r="I729" s="2">
        <f>sa_retail_sales[[#This Row],[Profit]] / sa_retail_sales[[#This Row],[Revenue]]</f>
        <v>-1.1096774193548387</v>
      </c>
      <c r="J729">
        <f xml:space="preserve"> YEAR(sa_retail_sales[[#This Row],[Order Date]])</f>
        <v>2024</v>
      </c>
    </row>
    <row r="730" spans="1:10" x14ac:dyDescent="0.3">
      <c r="A730" s="1">
        <v>45135</v>
      </c>
      <c r="B730" t="s">
        <v>18</v>
      </c>
      <c r="C730" t="s">
        <v>9</v>
      </c>
      <c r="D730" t="s">
        <v>19</v>
      </c>
      <c r="E730">
        <v>13565</v>
      </c>
      <c r="F730">
        <v>10027</v>
      </c>
      <c r="G730">
        <v>15</v>
      </c>
      <c r="H730">
        <v>3538</v>
      </c>
      <c r="I730" s="2">
        <f>sa_retail_sales[[#This Row],[Profit]] / sa_retail_sales[[#This Row],[Revenue]]</f>
        <v>0.26081828234426835</v>
      </c>
      <c r="J730">
        <f xml:space="preserve"> YEAR(sa_retail_sales[[#This Row],[Order Date]])</f>
        <v>2023</v>
      </c>
    </row>
    <row r="731" spans="1:10" x14ac:dyDescent="0.3">
      <c r="A731" s="1">
        <v>44755</v>
      </c>
      <c r="B731" t="s">
        <v>8</v>
      </c>
      <c r="C731" t="s">
        <v>9</v>
      </c>
      <c r="D731" t="s">
        <v>12</v>
      </c>
      <c r="E731">
        <v>3539</v>
      </c>
      <c r="F731">
        <v>5084</v>
      </c>
      <c r="G731">
        <v>20</v>
      </c>
      <c r="H731">
        <v>-1545</v>
      </c>
      <c r="I731" s="2">
        <f>sa_retail_sales[[#This Row],[Profit]] / sa_retail_sales[[#This Row],[Revenue]]</f>
        <v>-0.43656400113026278</v>
      </c>
      <c r="J731">
        <f xml:space="preserve"> YEAR(sa_retail_sales[[#This Row],[Order Date]])</f>
        <v>2022</v>
      </c>
    </row>
    <row r="732" spans="1:10" x14ac:dyDescent="0.3">
      <c r="A732" s="1">
        <v>45408</v>
      </c>
      <c r="B732" t="s">
        <v>8</v>
      </c>
      <c r="C732" t="s">
        <v>13</v>
      </c>
      <c r="D732" t="s">
        <v>12</v>
      </c>
      <c r="E732">
        <v>4637</v>
      </c>
      <c r="F732">
        <v>10935</v>
      </c>
      <c r="G732">
        <v>20</v>
      </c>
      <c r="H732">
        <v>-6298</v>
      </c>
      <c r="I732" s="2">
        <f>sa_retail_sales[[#This Row],[Profit]] / sa_retail_sales[[#This Row],[Revenue]]</f>
        <v>-1.3582057364675437</v>
      </c>
      <c r="J732">
        <f xml:space="preserve"> YEAR(sa_retail_sales[[#This Row],[Order Date]])</f>
        <v>2024</v>
      </c>
    </row>
    <row r="733" spans="1:10" x14ac:dyDescent="0.3">
      <c r="A733" s="1">
        <v>45276</v>
      </c>
      <c r="B733" t="s">
        <v>18</v>
      </c>
      <c r="C733" t="s">
        <v>9</v>
      </c>
      <c r="D733" t="s">
        <v>19</v>
      </c>
      <c r="E733">
        <v>14108</v>
      </c>
      <c r="F733">
        <v>10264</v>
      </c>
      <c r="G733">
        <v>20</v>
      </c>
      <c r="H733">
        <v>3844</v>
      </c>
      <c r="I733" s="2">
        <f>sa_retail_sales[[#This Row],[Profit]] / sa_retail_sales[[#This Row],[Revenue]]</f>
        <v>0.27246952083924014</v>
      </c>
      <c r="J733">
        <f xml:space="preserve"> YEAR(sa_retail_sales[[#This Row],[Order Date]])</f>
        <v>2023</v>
      </c>
    </row>
    <row r="734" spans="1:10" x14ac:dyDescent="0.3">
      <c r="A734" s="1">
        <v>45611</v>
      </c>
      <c r="B734" t="s">
        <v>17</v>
      </c>
      <c r="C734" t="s">
        <v>13</v>
      </c>
      <c r="D734" t="s">
        <v>19</v>
      </c>
      <c r="E734">
        <v>12736</v>
      </c>
      <c r="F734">
        <v>11701</v>
      </c>
      <c r="G734">
        <v>5</v>
      </c>
      <c r="H734">
        <v>1035</v>
      </c>
      <c r="I734" s="2">
        <f>sa_retail_sales[[#This Row],[Profit]] / sa_retail_sales[[#This Row],[Revenue]]</f>
        <v>8.1265703517587939E-2</v>
      </c>
      <c r="J734">
        <f xml:space="preserve"> YEAR(sa_retail_sales[[#This Row],[Order Date]])</f>
        <v>2024</v>
      </c>
    </row>
    <row r="735" spans="1:10" x14ac:dyDescent="0.3">
      <c r="A735" s="1">
        <v>44734</v>
      </c>
      <c r="B735" t="s">
        <v>11</v>
      </c>
      <c r="C735" t="s">
        <v>14</v>
      </c>
      <c r="D735" t="s">
        <v>19</v>
      </c>
      <c r="E735">
        <v>13018</v>
      </c>
      <c r="F735">
        <v>1177</v>
      </c>
      <c r="G735">
        <v>10</v>
      </c>
      <c r="H735">
        <v>11841</v>
      </c>
      <c r="I735" s="2">
        <f>sa_retail_sales[[#This Row],[Profit]] / sa_retail_sales[[#This Row],[Revenue]]</f>
        <v>0.90958672607159319</v>
      </c>
      <c r="J735">
        <f xml:space="preserve"> YEAR(sa_retail_sales[[#This Row],[Order Date]])</f>
        <v>2022</v>
      </c>
    </row>
    <row r="736" spans="1:10" x14ac:dyDescent="0.3">
      <c r="A736" s="1">
        <v>44887</v>
      </c>
      <c r="B736" t="s">
        <v>11</v>
      </c>
      <c r="C736" t="s">
        <v>14</v>
      </c>
      <c r="D736" t="s">
        <v>19</v>
      </c>
      <c r="E736">
        <v>952</v>
      </c>
      <c r="F736">
        <v>3170</v>
      </c>
      <c r="G736">
        <v>5</v>
      </c>
      <c r="H736">
        <v>-2218</v>
      </c>
      <c r="I736" s="2">
        <f>sa_retail_sales[[#This Row],[Profit]] / sa_retail_sales[[#This Row],[Revenue]]</f>
        <v>-2.3298319327731094</v>
      </c>
      <c r="J736">
        <f xml:space="preserve"> YEAR(sa_retail_sales[[#This Row],[Order Date]])</f>
        <v>2022</v>
      </c>
    </row>
    <row r="737" spans="1:10" x14ac:dyDescent="0.3">
      <c r="A737" s="1">
        <v>45397</v>
      </c>
      <c r="B737" t="s">
        <v>11</v>
      </c>
      <c r="C737" t="s">
        <v>14</v>
      </c>
      <c r="D737" t="s">
        <v>10</v>
      </c>
      <c r="E737">
        <v>12653</v>
      </c>
      <c r="F737">
        <v>11692</v>
      </c>
      <c r="G737">
        <v>20</v>
      </c>
      <c r="H737">
        <v>961</v>
      </c>
      <c r="I737" s="2">
        <f>sa_retail_sales[[#This Row],[Profit]] / sa_retail_sales[[#This Row],[Revenue]]</f>
        <v>7.5950367501778235E-2</v>
      </c>
      <c r="J737">
        <f xml:space="preserve"> YEAR(sa_retail_sales[[#This Row],[Order Date]])</f>
        <v>2024</v>
      </c>
    </row>
    <row r="738" spans="1:10" x14ac:dyDescent="0.3">
      <c r="A738" s="1">
        <v>45285</v>
      </c>
      <c r="B738" t="s">
        <v>17</v>
      </c>
      <c r="C738" t="s">
        <v>9</v>
      </c>
      <c r="D738" t="s">
        <v>10</v>
      </c>
      <c r="E738">
        <v>7037</v>
      </c>
      <c r="F738">
        <v>11328</v>
      </c>
      <c r="G738">
        <v>10</v>
      </c>
      <c r="H738">
        <v>-4291</v>
      </c>
      <c r="I738" s="2">
        <f>sa_retail_sales[[#This Row],[Profit]] / sa_retail_sales[[#This Row],[Revenue]]</f>
        <v>-0.60977689356259768</v>
      </c>
      <c r="J738">
        <f xml:space="preserve"> YEAR(sa_retail_sales[[#This Row],[Order Date]])</f>
        <v>2023</v>
      </c>
    </row>
    <row r="739" spans="1:10" x14ac:dyDescent="0.3">
      <c r="A739" s="1">
        <v>44786</v>
      </c>
      <c r="B739" t="s">
        <v>18</v>
      </c>
      <c r="C739" t="s">
        <v>16</v>
      </c>
      <c r="D739" t="s">
        <v>19</v>
      </c>
      <c r="E739">
        <v>14333</v>
      </c>
      <c r="F739">
        <v>592</v>
      </c>
      <c r="G739">
        <v>10</v>
      </c>
      <c r="H739">
        <v>13741</v>
      </c>
      <c r="I739" s="2">
        <f>sa_retail_sales[[#This Row],[Profit]] / sa_retail_sales[[#This Row],[Revenue]]</f>
        <v>0.9586967138770669</v>
      </c>
      <c r="J739">
        <f xml:space="preserve"> YEAR(sa_retail_sales[[#This Row],[Order Date]])</f>
        <v>2022</v>
      </c>
    </row>
    <row r="740" spans="1:10" x14ac:dyDescent="0.3">
      <c r="A740" s="1">
        <v>45093</v>
      </c>
      <c r="B740" t="s">
        <v>8</v>
      </c>
      <c r="C740" t="s">
        <v>16</v>
      </c>
      <c r="D740" t="s">
        <v>12</v>
      </c>
      <c r="E740">
        <v>1881</v>
      </c>
      <c r="F740">
        <v>10143</v>
      </c>
      <c r="G740">
        <v>20</v>
      </c>
      <c r="H740">
        <v>-8262</v>
      </c>
      <c r="I740" s="2">
        <f>sa_retail_sales[[#This Row],[Profit]] / sa_retail_sales[[#This Row],[Revenue]]</f>
        <v>-4.3923444976076551</v>
      </c>
      <c r="J740">
        <f xml:space="preserve"> YEAR(sa_retail_sales[[#This Row],[Order Date]])</f>
        <v>2023</v>
      </c>
    </row>
    <row r="741" spans="1:10" x14ac:dyDescent="0.3">
      <c r="A741" s="1">
        <v>44674</v>
      </c>
      <c r="B741" t="s">
        <v>18</v>
      </c>
      <c r="C741" t="s">
        <v>9</v>
      </c>
      <c r="D741" t="s">
        <v>10</v>
      </c>
      <c r="E741">
        <v>8654</v>
      </c>
      <c r="F741">
        <v>9028</v>
      </c>
      <c r="G741">
        <v>10</v>
      </c>
      <c r="H741">
        <v>-374</v>
      </c>
      <c r="I741" s="2">
        <f>sa_retail_sales[[#This Row],[Profit]] / sa_retail_sales[[#This Row],[Revenue]]</f>
        <v>-4.3217009475387105E-2</v>
      </c>
      <c r="J741">
        <f xml:space="preserve"> YEAR(sa_retail_sales[[#This Row],[Order Date]])</f>
        <v>2022</v>
      </c>
    </row>
    <row r="742" spans="1:10" x14ac:dyDescent="0.3">
      <c r="A742" s="1">
        <v>44701</v>
      </c>
      <c r="B742" t="s">
        <v>17</v>
      </c>
      <c r="C742" t="s">
        <v>16</v>
      </c>
      <c r="D742" t="s">
        <v>12</v>
      </c>
      <c r="E742">
        <v>1967</v>
      </c>
      <c r="F742">
        <v>2986</v>
      </c>
      <c r="G742">
        <v>10</v>
      </c>
      <c r="H742">
        <v>-1019</v>
      </c>
      <c r="I742" s="2">
        <f>sa_retail_sales[[#This Row],[Profit]] / sa_retail_sales[[#This Row],[Revenue]]</f>
        <v>-0.51804778851042199</v>
      </c>
      <c r="J742">
        <f xml:space="preserve"> YEAR(sa_retail_sales[[#This Row],[Order Date]])</f>
        <v>2022</v>
      </c>
    </row>
    <row r="743" spans="1:10" x14ac:dyDescent="0.3">
      <c r="A743" s="1">
        <v>45120</v>
      </c>
      <c r="B743" t="s">
        <v>8</v>
      </c>
      <c r="C743" t="s">
        <v>13</v>
      </c>
      <c r="D743" t="s">
        <v>15</v>
      </c>
      <c r="E743">
        <v>13939</v>
      </c>
      <c r="F743">
        <v>533</v>
      </c>
      <c r="G743">
        <v>5</v>
      </c>
      <c r="H743">
        <v>13406</v>
      </c>
      <c r="I743" s="2">
        <f>sa_retail_sales[[#This Row],[Profit]] / sa_retail_sales[[#This Row],[Revenue]]</f>
        <v>0.96176196283808024</v>
      </c>
      <c r="J743">
        <f xml:space="preserve"> YEAR(sa_retail_sales[[#This Row],[Order Date]])</f>
        <v>2023</v>
      </c>
    </row>
    <row r="744" spans="1:10" x14ac:dyDescent="0.3">
      <c r="A744" s="1">
        <v>44562</v>
      </c>
      <c r="B744" t="s">
        <v>17</v>
      </c>
      <c r="C744" t="s">
        <v>16</v>
      </c>
      <c r="D744" t="s">
        <v>12</v>
      </c>
      <c r="E744">
        <v>3238</v>
      </c>
      <c r="F744">
        <v>11144</v>
      </c>
      <c r="G744">
        <v>10</v>
      </c>
      <c r="H744">
        <v>-7906</v>
      </c>
      <c r="I744" s="2">
        <f>sa_retail_sales[[#This Row],[Profit]] / sa_retail_sales[[#This Row],[Revenue]]</f>
        <v>-2.4416306361951823</v>
      </c>
      <c r="J744">
        <f xml:space="preserve"> YEAR(sa_retail_sales[[#This Row],[Order Date]])</f>
        <v>2022</v>
      </c>
    </row>
    <row r="745" spans="1:10" x14ac:dyDescent="0.3">
      <c r="A745" s="1">
        <v>44651</v>
      </c>
      <c r="B745" t="s">
        <v>11</v>
      </c>
      <c r="C745" t="s">
        <v>9</v>
      </c>
      <c r="D745" t="s">
        <v>19</v>
      </c>
      <c r="E745">
        <v>8072</v>
      </c>
      <c r="F745">
        <v>2674</v>
      </c>
      <c r="G745">
        <v>20</v>
      </c>
      <c r="H745">
        <v>5398</v>
      </c>
      <c r="I745" s="2">
        <f>sa_retail_sales[[#This Row],[Profit]] / sa_retail_sales[[#This Row],[Revenue]]</f>
        <v>0.66873141724479679</v>
      </c>
      <c r="J745">
        <f xml:space="preserve"> YEAR(sa_retail_sales[[#This Row],[Order Date]])</f>
        <v>2022</v>
      </c>
    </row>
    <row r="746" spans="1:10" x14ac:dyDescent="0.3">
      <c r="A746" s="1">
        <v>45215</v>
      </c>
      <c r="B746" t="s">
        <v>11</v>
      </c>
      <c r="C746" t="s">
        <v>9</v>
      </c>
      <c r="D746" t="s">
        <v>15</v>
      </c>
      <c r="E746">
        <v>9908</v>
      </c>
      <c r="F746">
        <v>2572</v>
      </c>
      <c r="G746">
        <v>0</v>
      </c>
      <c r="H746">
        <v>7336</v>
      </c>
      <c r="I746" s="2">
        <f>sa_retail_sales[[#This Row],[Profit]] / sa_retail_sales[[#This Row],[Revenue]]</f>
        <v>0.74041178845377476</v>
      </c>
      <c r="J746">
        <f xml:space="preserve"> YEAR(sa_retail_sales[[#This Row],[Order Date]])</f>
        <v>2023</v>
      </c>
    </row>
    <row r="747" spans="1:10" x14ac:dyDescent="0.3">
      <c r="A747" s="1">
        <v>44881</v>
      </c>
      <c r="B747" t="s">
        <v>17</v>
      </c>
      <c r="C747" t="s">
        <v>13</v>
      </c>
      <c r="D747" t="s">
        <v>10</v>
      </c>
      <c r="E747">
        <v>7247</v>
      </c>
      <c r="F747">
        <v>1266</v>
      </c>
      <c r="G747">
        <v>0</v>
      </c>
      <c r="H747">
        <v>5981</v>
      </c>
      <c r="I747" s="2">
        <f>sa_retail_sales[[#This Row],[Profit]] / sa_retail_sales[[#This Row],[Revenue]]</f>
        <v>0.82530702359597075</v>
      </c>
      <c r="J747">
        <f xml:space="preserve"> YEAR(sa_retail_sales[[#This Row],[Order Date]])</f>
        <v>2022</v>
      </c>
    </row>
    <row r="748" spans="1:10" x14ac:dyDescent="0.3">
      <c r="A748" s="1">
        <v>44700</v>
      </c>
      <c r="B748" t="s">
        <v>8</v>
      </c>
      <c r="C748" t="s">
        <v>14</v>
      </c>
      <c r="D748" t="s">
        <v>10</v>
      </c>
      <c r="E748">
        <v>1380</v>
      </c>
      <c r="F748">
        <v>1189</v>
      </c>
      <c r="G748">
        <v>0</v>
      </c>
      <c r="H748">
        <v>191</v>
      </c>
      <c r="I748" s="2">
        <f>sa_retail_sales[[#This Row],[Profit]] / sa_retail_sales[[#This Row],[Revenue]]</f>
        <v>0.13840579710144926</v>
      </c>
      <c r="J748">
        <f xml:space="preserve"> YEAR(sa_retail_sales[[#This Row],[Order Date]])</f>
        <v>2022</v>
      </c>
    </row>
    <row r="749" spans="1:10" x14ac:dyDescent="0.3">
      <c r="A749" s="1">
        <v>45406</v>
      </c>
      <c r="B749" t="s">
        <v>8</v>
      </c>
      <c r="C749" t="s">
        <v>9</v>
      </c>
      <c r="D749" t="s">
        <v>15</v>
      </c>
      <c r="E749">
        <v>12506</v>
      </c>
      <c r="F749">
        <v>4163</v>
      </c>
      <c r="G749">
        <v>20</v>
      </c>
      <c r="H749">
        <v>8343</v>
      </c>
      <c r="I749" s="2">
        <f>sa_retail_sales[[#This Row],[Profit]] / sa_retail_sales[[#This Row],[Revenue]]</f>
        <v>0.66711978250439785</v>
      </c>
      <c r="J749">
        <f xml:space="preserve"> YEAR(sa_retail_sales[[#This Row],[Order Date]])</f>
        <v>2024</v>
      </c>
    </row>
    <row r="750" spans="1:10" x14ac:dyDescent="0.3">
      <c r="A750" s="1">
        <v>44820</v>
      </c>
      <c r="B750" t="s">
        <v>18</v>
      </c>
      <c r="C750" t="s">
        <v>13</v>
      </c>
      <c r="D750" t="s">
        <v>12</v>
      </c>
      <c r="E750">
        <v>3649</v>
      </c>
      <c r="F750">
        <v>6454</v>
      </c>
      <c r="G750">
        <v>0</v>
      </c>
      <c r="H750">
        <v>-2805</v>
      </c>
      <c r="I750" s="2">
        <f>sa_retail_sales[[#This Row],[Profit]] / sa_retail_sales[[#This Row],[Revenue]]</f>
        <v>-0.76870375445327488</v>
      </c>
      <c r="J750">
        <f xml:space="preserve"> YEAR(sa_retail_sales[[#This Row],[Order Date]])</f>
        <v>2022</v>
      </c>
    </row>
    <row r="751" spans="1:10" x14ac:dyDescent="0.3">
      <c r="A751" s="1">
        <v>45463</v>
      </c>
      <c r="B751" t="s">
        <v>11</v>
      </c>
      <c r="C751" t="s">
        <v>16</v>
      </c>
      <c r="D751" t="s">
        <v>10</v>
      </c>
      <c r="E751">
        <v>8776</v>
      </c>
      <c r="F751">
        <v>3700</v>
      </c>
      <c r="G751">
        <v>5</v>
      </c>
      <c r="H751">
        <v>5076</v>
      </c>
      <c r="I751" s="2">
        <f>sa_retail_sales[[#This Row],[Profit]] / sa_retail_sales[[#This Row],[Revenue]]</f>
        <v>0.57839562443026438</v>
      </c>
      <c r="J751">
        <f xml:space="preserve"> YEAR(sa_retail_sales[[#This Row],[Order Date]])</f>
        <v>2024</v>
      </c>
    </row>
    <row r="752" spans="1:10" x14ac:dyDescent="0.3">
      <c r="A752" s="1">
        <v>45251</v>
      </c>
      <c r="B752" t="s">
        <v>18</v>
      </c>
      <c r="C752" t="s">
        <v>16</v>
      </c>
      <c r="D752" t="s">
        <v>19</v>
      </c>
      <c r="E752">
        <v>13841</v>
      </c>
      <c r="F752">
        <v>8526</v>
      </c>
      <c r="G752">
        <v>20</v>
      </c>
      <c r="H752">
        <v>5315</v>
      </c>
      <c r="I752" s="2">
        <f>sa_retail_sales[[#This Row],[Profit]] / sa_retail_sales[[#This Row],[Revenue]]</f>
        <v>0.38400404595043713</v>
      </c>
      <c r="J752">
        <f xml:space="preserve"> YEAR(sa_retail_sales[[#This Row],[Order Date]])</f>
        <v>2023</v>
      </c>
    </row>
    <row r="753" spans="1:10" x14ac:dyDescent="0.3">
      <c r="A753" s="1">
        <v>44571</v>
      </c>
      <c r="B753" t="s">
        <v>18</v>
      </c>
      <c r="C753" t="s">
        <v>13</v>
      </c>
      <c r="D753" t="s">
        <v>15</v>
      </c>
      <c r="E753">
        <v>8392</v>
      </c>
      <c r="F753">
        <v>4842</v>
      </c>
      <c r="G753">
        <v>20</v>
      </c>
      <c r="H753">
        <v>3550</v>
      </c>
      <c r="I753" s="2">
        <f>sa_retail_sales[[#This Row],[Profit]] / sa_retail_sales[[#This Row],[Revenue]]</f>
        <v>0.42302192564346996</v>
      </c>
      <c r="J753">
        <f xml:space="preserve"> YEAR(sa_retail_sales[[#This Row],[Order Date]])</f>
        <v>2022</v>
      </c>
    </row>
    <row r="754" spans="1:10" x14ac:dyDescent="0.3">
      <c r="A754" s="1">
        <v>44822</v>
      </c>
      <c r="B754" t="s">
        <v>17</v>
      </c>
      <c r="C754" t="s">
        <v>13</v>
      </c>
      <c r="D754" t="s">
        <v>19</v>
      </c>
      <c r="E754">
        <v>4644</v>
      </c>
      <c r="F754">
        <v>3823</v>
      </c>
      <c r="G754">
        <v>20</v>
      </c>
      <c r="H754">
        <v>821</v>
      </c>
      <c r="I754" s="2">
        <f>sa_retail_sales[[#This Row],[Profit]] / sa_retail_sales[[#This Row],[Revenue]]</f>
        <v>0.17678725236864773</v>
      </c>
      <c r="J754">
        <f xml:space="preserve"> YEAR(sa_retail_sales[[#This Row],[Order Date]])</f>
        <v>2022</v>
      </c>
    </row>
    <row r="755" spans="1:10" x14ac:dyDescent="0.3">
      <c r="A755" s="1">
        <v>44733</v>
      </c>
      <c r="B755" t="s">
        <v>17</v>
      </c>
      <c r="C755" t="s">
        <v>9</v>
      </c>
      <c r="D755" t="s">
        <v>15</v>
      </c>
      <c r="E755">
        <v>1668</v>
      </c>
      <c r="F755">
        <v>2063</v>
      </c>
      <c r="G755">
        <v>10</v>
      </c>
      <c r="H755">
        <v>-395</v>
      </c>
      <c r="I755" s="2">
        <f>sa_retail_sales[[#This Row],[Profit]] / sa_retail_sales[[#This Row],[Revenue]]</f>
        <v>-0.236810551558753</v>
      </c>
      <c r="J755">
        <f xml:space="preserve"> YEAR(sa_retail_sales[[#This Row],[Order Date]])</f>
        <v>2022</v>
      </c>
    </row>
    <row r="756" spans="1:10" x14ac:dyDescent="0.3">
      <c r="A756" s="1">
        <v>45459</v>
      </c>
      <c r="B756" t="s">
        <v>18</v>
      </c>
      <c r="C756" t="s">
        <v>16</v>
      </c>
      <c r="D756" t="s">
        <v>10</v>
      </c>
      <c r="E756">
        <v>12856</v>
      </c>
      <c r="F756">
        <v>3591</v>
      </c>
      <c r="G756">
        <v>10</v>
      </c>
      <c r="H756">
        <v>9265</v>
      </c>
      <c r="I756" s="2">
        <f>sa_retail_sales[[#This Row],[Profit]] / sa_retail_sales[[#This Row],[Revenue]]</f>
        <v>0.72067517112632229</v>
      </c>
      <c r="J756">
        <f xml:space="preserve"> YEAR(sa_retail_sales[[#This Row],[Order Date]])</f>
        <v>2024</v>
      </c>
    </row>
    <row r="757" spans="1:10" x14ac:dyDescent="0.3">
      <c r="A757" s="1">
        <v>44574</v>
      </c>
      <c r="B757" t="s">
        <v>11</v>
      </c>
      <c r="C757" t="s">
        <v>13</v>
      </c>
      <c r="D757" t="s">
        <v>12</v>
      </c>
      <c r="E757">
        <v>3629</v>
      </c>
      <c r="F757">
        <v>2788</v>
      </c>
      <c r="G757">
        <v>10</v>
      </c>
      <c r="H757">
        <v>841</v>
      </c>
      <c r="I757" s="2">
        <f>sa_retail_sales[[#This Row],[Profit]] / sa_retail_sales[[#This Row],[Revenue]]</f>
        <v>0.23174428217139709</v>
      </c>
      <c r="J757">
        <f xml:space="preserve"> YEAR(sa_retail_sales[[#This Row],[Order Date]])</f>
        <v>2022</v>
      </c>
    </row>
    <row r="758" spans="1:10" x14ac:dyDescent="0.3">
      <c r="A758" s="1">
        <v>44882</v>
      </c>
      <c r="B758" t="s">
        <v>17</v>
      </c>
      <c r="C758" t="s">
        <v>16</v>
      </c>
      <c r="D758" t="s">
        <v>15</v>
      </c>
      <c r="E758">
        <v>4145</v>
      </c>
      <c r="F758">
        <v>11192</v>
      </c>
      <c r="G758">
        <v>15</v>
      </c>
      <c r="H758">
        <v>-7047</v>
      </c>
      <c r="I758" s="2">
        <f>sa_retail_sales[[#This Row],[Profit]] / sa_retail_sales[[#This Row],[Revenue]]</f>
        <v>-1.7001206272617611</v>
      </c>
      <c r="J758">
        <f xml:space="preserve"> YEAR(sa_retail_sales[[#This Row],[Order Date]])</f>
        <v>2022</v>
      </c>
    </row>
    <row r="759" spans="1:10" x14ac:dyDescent="0.3">
      <c r="A759" s="1">
        <v>44890</v>
      </c>
      <c r="B759" t="s">
        <v>18</v>
      </c>
      <c r="C759" t="s">
        <v>13</v>
      </c>
      <c r="D759" t="s">
        <v>15</v>
      </c>
      <c r="E759">
        <v>3026</v>
      </c>
      <c r="F759">
        <v>1858</v>
      </c>
      <c r="G759">
        <v>5</v>
      </c>
      <c r="H759">
        <v>1168</v>
      </c>
      <c r="I759" s="2">
        <f>sa_retail_sales[[#This Row],[Profit]] / sa_retail_sales[[#This Row],[Revenue]]</f>
        <v>0.38598810310641113</v>
      </c>
      <c r="J759">
        <f xml:space="preserve"> YEAR(sa_retail_sales[[#This Row],[Order Date]])</f>
        <v>2022</v>
      </c>
    </row>
    <row r="760" spans="1:10" x14ac:dyDescent="0.3">
      <c r="A760" s="1">
        <v>45346</v>
      </c>
      <c r="B760" t="s">
        <v>18</v>
      </c>
      <c r="C760" t="s">
        <v>16</v>
      </c>
      <c r="D760" t="s">
        <v>19</v>
      </c>
      <c r="E760">
        <v>11559</v>
      </c>
      <c r="F760">
        <v>4990</v>
      </c>
      <c r="G760">
        <v>20</v>
      </c>
      <c r="H760">
        <v>6569</v>
      </c>
      <c r="I760" s="2">
        <f>sa_retail_sales[[#This Row],[Profit]] / sa_retail_sales[[#This Row],[Revenue]]</f>
        <v>0.5683017562072844</v>
      </c>
      <c r="J760">
        <f xml:space="preserve"> YEAR(sa_retail_sales[[#This Row],[Order Date]])</f>
        <v>2024</v>
      </c>
    </row>
    <row r="761" spans="1:10" x14ac:dyDescent="0.3">
      <c r="A761" s="1">
        <v>45338</v>
      </c>
      <c r="B761" t="s">
        <v>18</v>
      </c>
      <c r="C761" t="s">
        <v>14</v>
      </c>
      <c r="D761" t="s">
        <v>10</v>
      </c>
      <c r="E761">
        <v>4016</v>
      </c>
      <c r="F761">
        <v>6421</v>
      </c>
      <c r="G761">
        <v>20</v>
      </c>
      <c r="H761">
        <v>-2405</v>
      </c>
      <c r="I761" s="2">
        <f>sa_retail_sales[[#This Row],[Profit]] / sa_retail_sales[[#This Row],[Revenue]]</f>
        <v>-0.59885458167330674</v>
      </c>
      <c r="J761">
        <f xml:space="preserve"> YEAR(sa_retail_sales[[#This Row],[Order Date]])</f>
        <v>2024</v>
      </c>
    </row>
    <row r="762" spans="1:10" x14ac:dyDescent="0.3">
      <c r="A762" s="1">
        <v>45472</v>
      </c>
      <c r="B762" t="s">
        <v>18</v>
      </c>
      <c r="C762" t="s">
        <v>9</v>
      </c>
      <c r="D762" t="s">
        <v>19</v>
      </c>
      <c r="E762">
        <v>3867</v>
      </c>
      <c r="F762">
        <v>2576</v>
      </c>
      <c r="G762">
        <v>10</v>
      </c>
      <c r="H762">
        <v>1291</v>
      </c>
      <c r="I762" s="2">
        <f>sa_retail_sales[[#This Row],[Profit]] / sa_retail_sales[[#This Row],[Revenue]]</f>
        <v>0.33385053012671323</v>
      </c>
      <c r="J762">
        <f xml:space="preserve"> YEAR(sa_retail_sales[[#This Row],[Order Date]])</f>
        <v>2024</v>
      </c>
    </row>
    <row r="763" spans="1:10" x14ac:dyDescent="0.3">
      <c r="A763" s="1">
        <v>44879</v>
      </c>
      <c r="B763" t="s">
        <v>18</v>
      </c>
      <c r="C763" t="s">
        <v>16</v>
      </c>
      <c r="D763" t="s">
        <v>10</v>
      </c>
      <c r="E763">
        <v>14489</v>
      </c>
      <c r="F763">
        <v>4739</v>
      </c>
      <c r="G763">
        <v>20</v>
      </c>
      <c r="H763">
        <v>9750</v>
      </c>
      <c r="I763" s="2">
        <f>sa_retail_sales[[#This Row],[Profit]] / sa_retail_sales[[#This Row],[Revenue]]</f>
        <v>0.67292428739043408</v>
      </c>
      <c r="J763">
        <f xml:space="preserve"> YEAR(sa_retail_sales[[#This Row],[Order Date]])</f>
        <v>2022</v>
      </c>
    </row>
    <row r="764" spans="1:10" x14ac:dyDescent="0.3">
      <c r="A764" s="1">
        <v>44797</v>
      </c>
      <c r="B764" t="s">
        <v>18</v>
      </c>
      <c r="C764" t="s">
        <v>14</v>
      </c>
      <c r="D764" t="s">
        <v>19</v>
      </c>
      <c r="E764">
        <v>7838</v>
      </c>
      <c r="F764">
        <v>1403</v>
      </c>
      <c r="G764">
        <v>20</v>
      </c>
      <c r="H764">
        <v>6435</v>
      </c>
      <c r="I764" s="2">
        <f>sa_retail_sales[[#This Row],[Profit]] / sa_retail_sales[[#This Row],[Revenue]]</f>
        <v>0.82100025516713449</v>
      </c>
      <c r="J764">
        <f xml:space="preserve"> YEAR(sa_retail_sales[[#This Row],[Order Date]])</f>
        <v>2022</v>
      </c>
    </row>
    <row r="765" spans="1:10" x14ac:dyDescent="0.3">
      <c r="A765" s="1">
        <v>44895</v>
      </c>
      <c r="B765" t="s">
        <v>17</v>
      </c>
      <c r="C765" t="s">
        <v>16</v>
      </c>
      <c r="D765" t="s">
        <v>15</v>
      </c>
      <c r="E765">
        <v>14386</v>
      </c>
      <c r="F765">
        <v>7820</v>
      </c>
      <c r="G765">
        <v>0</v>
      </c>
      <c r="H765">
        <v>6566</v>
      </c>
      <c r="I765" s="2">
        <f>sa_retail_sales[[#This Row],[Profit]] / sa_retail_sales[[#This Row],[Revenue]]</f>
        <v>0.45641595996107326</v>
      </c>
      <c r="J765">
        <f xml:space="preserve"> YEAR(sa_retail_sales[[#This Row],[Order Date]])</f>
        <v>2022</v>
      </c>
    </row>
    <row r="766" spans="1:10" x14ac:dyDescent="0.3">
      <c r="A766" s="1">
        <v>44937</v>
      </c>
      <c r="B766" t="s">
        <v>11</v>
      </c>
      <c r="C766" t="s">
        <v>16</v>
      </c>
      <c r="D766" t="s">
        <v>19</v>
      </c>
      <c r="E766">
        <v>10886</v>
      </c>
      <c r="F766">
        <v>9911</v>
      </c>
      <c r="G766">
        <v>20</v>
      </c>
      <c r="H766">
        <v>975</v>
      </c>
      <c r="I766" s="2">
        <f>sa_retail_sales[[#This Row],[Profit]] / sa_retail_sales[[#This Row],[Revenue]]</f>
        <v>8.9564578357523419E-2</v>
      </c>
      <c r="J766">
        <f xml:space="preserve"> YEAR(sa_retail_sales[[#This Row],[Order Date]])</f>
        <v>2023</v>
      </c>
    </row>
    <row r="767" spans="1:10" x14ac:dyDescent="0.3">
      <c r="A767" s="1">
        <v>45149</v>
      </c>
      <c r="B767" t="s">
        <v>18</v>
      </c>
      <c r="C767" t="s">
        <v>14</v>
      </c>
      <c r="D767" t="s">
        <v>12</v>
      </c>
      <c r="E767">
        <v>4055</v>
      </c>
      <c r="F767">
        <v>5709</v>
      </c>
      <c r="G767">
        <v>15</v>
      </c>
      <c r="H767">
        <v>-1654</v>
      </c>
      <c r="I767" s="2">
        <f>sa_retail_sales[[#This Row],[Profit]] / sa_retail_sales[[#This Row],[Revenue]]</f>
        <v>-0.40789149198520347</v>
      </c>
      <c r="J767">
        <f xml:space="preserve"> YEAR(sa_retail_sales[[#This Row],[Order Date]])</f>
        <v>2023</v>
      </c>
    </row>
    <row r="768" spans="1:10" x14ac:dyDescent="0.3">
      <c r="A768" s="1">
        <v>45074</v>
      </c>
      <c r="B768" t="s">
        <v>8</v>
      </c>
      <c r="C768" t="s">
        <v>16</v>
      </c>
      <c r="D768" t="s">
        <v>10</v>
      </c>
      <c r="E768">
        <v>14657</v>
      </c>
      <c r="F768">
        <v>9970</v>
      </c>
      <c r="G768">
        <v>10</v>
      </c>
      <c r="H768">
        <v>4687</v>
      </c>
      <c r="I768" s="2">
        <f>sa_retail_sales[[#This Row],[Profit]] / sa_retail_sales[[#This Row],[Revenue]]</f>
        <v>0.319778945213891</v>
      </c>
      <c r="J768">
        <f xml:space="preserve"> YEAR(sa_retail_sales[[#This Row],[Order Date]])</f>
        <v>2023</v>
      </c>
    </row>
    <row r="769" spans="1:10" x14ac:dyDescent="0.3">
      <c r="A769" s="1">
        <v>45479</v>
      </c>
      <c r="B769" t="s">
        <v>17</v>
      </c>
      <c r="C769" t="s">
        <v>16</v>
      </c>
      <c r="D769" t="s">
        <v>10</v>
      </c>
      <c r="E769">
        <v>5611</v>
      </c>
      <c r="F769">
        <v>8169</v>
      </c>
      <c r="G769">
        <v>5</v>
      </c>
      <c r="H769">
        <v>-2558</v>
      </c>
      <c r="I769" s="2">
        <f>sa_retail_sales[[#This Row],[Profit]] / sa_retail_sales[[#This Row],[Revenue]]</f>
        <v>-0.45589021564783461</v>
      </c>
      <c r="J769">
        <f xml:space="preserve"> YEAR(sa_retail_sales[[#This Row],[Order Date]])</f>
        <v>2024</v>
      </c>
    </row>
    <row r="770" spans="1:10" x14ac:dyDescent="0.3">
      <c r="A770" s="1">
        <v>45434</v>
      </c>
      <c r="B770" t="s">
        <v>17</v>
      </c>
      <c r="C770" t="s">
        <v>9</v>
      </c>
      <c r="D770" t="s">
        <v>15</v>
      </c>
      <c r="E770">
        <v>7252</v>
      </c>
      <c r="F770">
        <v>3256</v>
      </c>
      <c r="G770">
        <v>5</v>
      </c>
      <c r="H770">
        <v>3996</v>
      </c>
      <c r="I770" s="2">
        <f>sa_retail_sales[[#This Row],[Profit]] / sa_retail_sales[[#This Row],[Revenue]]</f>
        <v>0.55102040816326525</v>
      </c>
      <c r="J770">
        <f xml:space="preserve"> YEAR(sa_retail_sales[[#This Row],[Order Date]])</f>
        <v>2024</v>
      </c>
    </row>
    <row r="771" spans="1:10" x14ac:dyDescent="0.3">
      <c r="A771" s="1">
        <v>44831</v>
      </c>
      <c r="B771" t="s">
        <v>18</v>
      </c>
      <c r="C771" t="s">
        <v>14</v>
      </c>
      <c r="D771" t="s">
        <v>10</v>
      </c>
      <c r="E771">
        <v>945</v>
      </c>
      <c r="F771">
        <v>8010</v>
      </c>
      <c r="G771">
        <v>0</v>
      </c>
      <c r="H771">
        <v>-7065</v>
      </c>
      <c r="I771" s="2">
        <f>sa_retail_sales[[#This Row],[Profit]] / sa_retail_sales[[#This Row],[Revenue]]</f>
        <v>-7.4761904761904763</v>
      </c>
      <c r="J771">
        <f xml:space="preserve"> YEAR(sa_retail_sales[[#This Row],[Order Date]])</f>
        <v>2022</v>
      </c>
    </row>
    <row r="772" spans="1:10" x14ac:dyDescent="0.3">
      <c r="A772" s="1">
        <v>45359</v>
      </c>
      <c r="B772" t="s">
        <v>17</v>
      </c>
      <c r="C772" t="s">
        <v>14</v>
      </c>
      <c r="D772" t="s">
        <v>12</v>
      </c>
      <c r="E772">
        <v>6864</v>
      </c>
      <c r="F772">
        <v>6317</v>
      </c>
      <c r="G772">
        <v>5</v>
      </c>
      <c r="H772">
        <v>547</v>
      </c>
      <c r="I772" s="2">
        <f>sa_retail_sales[[#This Row],[Profit]] / sa_retail_sales[[#This Row],[Revenue]]</f>
        <v>7.9691142191142192E-2</v>
      </c>
      <c r="J772">
        <f xml:space="preserve"> YEAR(sa_retail_sales[[#This Row],[Order Date]])</f>
        <v>2024</v>
      </c>
    </row>
    <row r="773" spans="1:10" x14ac:dyDescent="0.3">
      <c r="A773" s="1">
        <v>45286</v>
      </c>
      <c r="B773" t="s">
        <v>18</v>
      </c>
      <c r="C773" t="s">
        <v>13</v>
      </c>
      <c r="D773" t="s">
        <v>19</v>
      </c>
      <c r="E773">
        <v>4126</v>
      </c>
      <c r="F773">
        <v>9874</v>
      </c>
      <c r="G773">
        <v>5</v>
      </c>
      <c r="H773">
        <v>-5748</v>
      </c>
      <c r="I773" s="2">
        <f>sa_retail_sales[[#This Row],[Profit]] / sa_retail_sales[[#This Row],[Revenue]]</f>
        <v>-1.3931168201648085</v>
      </c>
      <c r="J773">
        <f xml:space="preserve"> YEAR(sa_retail_sales[[#This Row],[Order Date]])</f>
        <v>2023</v>
      </c>
    </row>
    <row r="774" spans="1:10" x14ac:dyDescent="0.3">
      <c r="A774" s="1">
        <v>44566</v>
      </c>
      <c r="B774" t="s">
        <v>11</v>
      </c>
      <c r="C774" t="s">
        <v>16</v>
      </c>
      <c r="D774" t="s">
        <v>15</v>
      </c>
      <c r="E774">
        <v>4516</v>
      </c>
      <c r="F774">
        <v>11066</v>
      </c>
      <c r="G774">
        <v>10</v>
      </c>
      <c r="H774">
        <v>-6550</v>
      </c>
      <c r="I774" s="2">
        <f>sa_retail_sales[[#This Row],[Profit]] / sa_retail_sales[[#This Row],[Revenue]]</f>
        <v>-1.4503985828166519</v>
      </c>
      <c r="J774">
        <f xml:space="preserve"> YEAR(sa_retail_sales[[#This Row],[Order Date]])</f>
        <v>2022</v>
      </c>
    </row>
    <row r="775" spans="1:10" x14ac:dyDescent="0.3">
      <c r="A775" s="1">
        <v>45412</v>
      </c>
      <c r="B775" t="s">
        <v>11</v>
      </c>
      <c r="C775" t="s">
        <v>9</v>
      </c>
      <c r="D775" t="s">
        <v>12</v>
      </c>
      <c r="E775">
        <v>4375</v>
      </c>
      <c r="F775">
        <v>3684</v>
      </c>
      <c r="G775">
        <v>10</v>
      </c>
      <c r="H775">
        <v>691</v>
      </c>
      <c r="I775" s="2">
        <f>sa_retail_sales[[#This Row],[Profit]] / sa_retail_sales[[#This Row],[Revenue]]</f>
        <v>0.15794285714285713</v>
      </c>
      <c r="J775">
        <f xml:space="preserve"> YEAR(sa_retail_sales[[#This Row],[Order Date]])</f>
        <v>2024</v>
      </c>
    </row>
    <row r="776" spans="1:10" x14ac:dyDescent="0.3">
      <c r="A776" s="1">
        <v>44639</v>
      </c>
      <c r="B776" t="s">
        <v>17</v>
      </c>
      <c r="C776" t="s">
        <v>16</v>
      </c>
      <c r="D776" t="s">
        <v>10</v>
      </c>
      <c r="E776">
        <v>5997</v>
      </c>
      <c r="F776">
        <v>10061</v>
      </c>
      <c r="G776">
        <v>15</v>
      </c>
      <c r="H776">
        <v>-4064</v>
      </c>
      <c r="I776" s="2">
        <f>sa_retail_sales[[#This Row],[Profit]] / sa_retail_sales[[#This Row],[Revenue]]</f>
        <v>-0.67767216941804231</v>
      </c>
      <c r="J776">
        <f xml:space="preserve"> YEAR(sa_retail_sales[[#This Row],[Order Date]])</f>
        <v>2022</v>
      </c>
    </row>
    <row r="777" spans="1:10" x14ac:dyDescent="0.3">
      <c r="A777" s="1">
        <v>45135</v>
      </c>
      <c r="B777" t="s">
        <v>17</v>
      </c>
      <c r="C777" t="s">
        <v>16</v>
      </c>
      <c r="D777" t="s">
        <v>10</v>
      </c>
      <c r="E777">
        <v>12029</v>
      </c>
      <c r="F777">
        <v>10386</v>
      </c>
      <c r="G777">
        <v>0</v>
      </c>
      <c r="H777">
        <v>1643</v>
      </c>
      <c r="I777" s="2">
        <f>sa_retail_sales[[#This Row],[Profit]] / sa_retail_sales[[#This Row],[Revenue]]</f>
        <v>0.13658658242580429</v>
      </c>
      <c r="J777">
        <f xml:space="preserve"> YEAR(sa_retail_sales[[#This Row],[Order Date]])</f>
        <v>2023</v>
      </c>
    </row>
    <row r="778" spans="1:10" x14ac:dyDescent="0.3">
      <c r="A778" s="1">
        <v>44693</v>
      </c>
      <c r="B778" t="s">
        <v>8</v>
      </c>
      <c r="C778" t="s">
        <v>13</v>
      </c>
      <c r="D778" t="s">
        <v>12</v>
      </c>
      <c r="E778">
        <v>6738</v>
      </c>
      <c r="F778">
        <v>10735</v>
      </c>
      <c r="G778">
        <v>5</v>
      </c>
      <c r="H778">
        <v>-3997</v>
      </c>
      <c r="I778" s="2">
        <f>sa_retail_sales[[#This Row],[Profit]] / sa_retail_sales[[#This Row],[Revenue]]</f>
        <v>-0.59320273078064711</v>
      </c>
      <c r="J778">
        <f xml:space="preserve"> YEAR(sa_retail_sales[[#This Row],[Order Date]])</f>
        <v>2022</v>
      </c>
    </row>
    <row r="779" spans="1:10" x14ac:dyDescent="0.3">
      <c r="A779" s="1">
        <v>45162</v>
      </c>
      <c r="B779" t="s">
        <v>17</v>
      </c>
      <c r="C779" t="s">
        <v>16</v>
      </c>
      <c r="D779" t="s">
        <v>19</v>
      </c>
      <c r="E779">
        <v>761</v>
      </c>
      <c r="F779">
        <v>10358</v>
      </c>
      <c r="G779">
        <v>15</v>
      </c>
      <c r="H779">
        <v>-9597</v>
      </c>
      <c r="I779" s="2">
        <f>sa_retail_sales[[#This Row],[Profit]] / sa_retail_sales[[#This Row],[Revenue]]</f>
        <v>-12.611038107752957</v>
      </c>
      <c r="J779">
        <f xml:space="preserve"> YEAR(sa_retail_sales[[#This Row],[Order Date]])</f>
        <v>2023</v>
      </c>
    </row>
    <row r="780" spans="1:10" x14ac:dyDescent="0.3">
      <c r="A780" s="1">
        <v>45627</v>
      </c>
      <c r="B780" t="s">
        <v>8</v>
      </c>
      <c r="C780" t="s">
        <v>9</v>
      </c>
      <c r="D780" t="s">
        <v>19</v>
      </c>
      <c r="E780">
        <v>10540</v>
      </c>
      <c r="F780">
        <v>328</v>
      </c>
      <c r="G780">
        <v>0</v>
      </c>
      <c r="H780">
        <v>10212</v>
      </c>
      <c r="I780" s="2">
        <f>sa_retail_sales[[#This Row],[Profit]] / sa_retail_sales[[#This Row],[Revenue]]</f>
        <v>0.96888045540796963</v>
      </c>
      <c r="J780">
        <f xml:space="preserve"> YEAR(sa_retail_sales[[#This Row],[Order Date]])</f>
        <v>2024</v>
      </c>
    </row>
    <row r="781" spans="1:10" x14ac:dyDescent="0.3">
      <c r="A781" s="1">
        <v>44650</v>
      </c>
      <c r="B781" t="s">
        <v>11</v>
      </c>
      <c r="C781" t="s">
        <v>9</v>
      </c>
      <c r="D781" t="s">
        <v>15</v>
      </c>
      <c r="E781">
        <v>5492</v>
      </c>
      <c r="F781">
        <v>9197</v>
      </c>
      <c r="G781">
        <v>5</v>
      </c>
      <c r="H781">
        <v>-3705</v>
      </c>
      <c r="I781" s="2">
        <f>sa_retail_sales[[#This Row],[Profit]] / sa_retail_sales[[#This Row],[Revenue]]</f>
        <v>-0.67461762563729055</v>
      </c>
      <c r="J781">
        <f xml:space="preserve"> YEAR(sa_retail_sales[[#This Row],[Order Date]])</f>
        <v>2022</v>
      </c>
    </row>
    <row r="782" spans="1:10" x14ac:dyDescent="0.3">
      <c r="A782" s="1">
        <v>44963</v>
      </c>
      <c r="B782" t="s">
        <v>11</v>
      </c>
      <c r="C782" t="s">
        <v>13</v>
      </c>
      <c r="D782" t="s">
        <v>10</v>
      </c>
      <c r="E782">
        <v>13882</v>
      </c>
      <c r="F782">
        <v>9512</v>
      </c>
      <c r="G782">
        <v>5</v>
      </c>
      <c r="H782">
        <v>4370</v>
      </c>
      <c r="I782" s="2">
        <f>sa_retail_sales[[#This Row],[Profit]] / sa_retail_sales[[#This Row],[Revenue]]</f>
        <v>0.31479613888488689</v>
      </c>
      <c r="J782">
        <f xml:space="preserve"> YEAR(sa_retail_sales[[#This Row],[Order Date]])</f>
        <v>2023</v>
      </c>
    </row>
    <row r="783" spans="1:10" x14ac:dyDescent="0.3">
      <c r="A783" s="1">
        <v>44857</v>
      </c>
      <c r="B783" t="s">
        <v>18</v>
      </c>
      <c r="C783" t="s">
        <v>16</v>
      </c>
      <c r="D783" t="s">
        <v>12</v>
      </c>
      <c r="E783">
        <v>4525</v>
      </c>
      <c r="F783">
        <v>10555</v>
      </c>
      <c r="G783">
        <v>10</v>
      </c>
      <c r="H783">
        <v>-6030</v>
      </c>
      <c r="I783" s="2">
        <f>sa_retail_sales[[#This Row],[Profit]] / sa_retail_sales[[#This Row],[Revenue]]</f>
        <v>-1.332596685082873</v>
      </c>
      <c r="J783">
        <f xml:space="preserve"> YEAR(sa_retail_sales[[#This Row],[Order Date]])</f>
        <v>2022</v>
      </c>
    </row>
    <row r="784" spans="1:10" x14ac:dyDescent="0.3">
      <c r="A784" s="1">
        <v>45177</v>
      </c>
      <c r="B784" t="s">
        <v>11</v>
      </c>
      <c r="C784" t="s">
        <v>9</v>
      </c>
      <c r="D784" t="s">
        <v>19</v>
      </c>
      <c r="E784">
        <v>10958</v>
      </c>
      <c r="F784">
        <v>9938</v>
      </c>
      <c r="G784">
        <v>20</v>
      </c>
      <c r="H784">
        <v>1020</v>
      </c>
      <c r="I784" s="2">
        <f>sa_retail_sales[[#This Row],[Profit]] / sa_retail_sales[[#This Row],[Revenue]]</f>
        <v>9.3082679321043985E-2</v>
      </c>
      <c r="J784">
        <f xml:space="preserve"> YEAR(sa_retail_sales[[#This Row],[Order Date]])</f>
        <v>2023</v>
      </c>
    </row>
    <row r="785" spans="1:10" x14ac:dyDescent="0.3">
      <c r="A785" s="1">
        <v>45361</v>
      </c>
      <c r="B785" t="s">
        <v>8</v>
      </c>
      <c r="C785" t="s">
        <v>16</v>
      </c>
      <c r="D785" t="s">
        <v>15</v>
      </c>
      <c r="E785">
        <v>14344</v>
      </c>
      <c r="F785">
        <v>8056</v>
      </c>
      <c r="G785">
        <v>0</v>
      </c>
      <c r="H785">
        <v>6288</v>
      </c>
      <c r="I785" s="2">
        <f>sa_retail_sales[[#This Row],[Profit]] / sa_retail_sales[[#This Row],[Revenue]]</f>
        <v>0.43837144450641385</v>
      </c>
      <c r="J785">
        <f xml:space="preserve"> YEAR(sa_retail_sales[[#This Row],[Order Date]])</f>
        <v>2024</v>
      </c>
    </row>
    <row r="786" spans="1:10" x14ac:dyDescent="0.3">
      <c r="A786" s="1">
        <v>44983</v>
      </c>
      <c r="B786" t="s">
        <v>17</v>
      </c>
      <c r="C786" t="s">
        <v>16</v>
      </c>
      <c r="D786" t="s">
        <v>10</v>
      </c>
      <c r="E786">
        <v>8783</v>
      </c>
      <c r="F786">
        <v>7248</v>
      </c>
      <c r="G786">
        <v>5</v>
      </c>
      <c r="H786">
        <v>1535</v>
      </c>
      <c r="I786" s="2">
        <f>sa_retail_sales[[#This Row],[Profit]] / sa_retail_sales[[#This Row],[Revenue]]</f>
        <v>0.17476944096550154</v>
      </c>
      <c r="J786">
        <f xml:space="preserve"> YEAR(sa_retail_sales[[#This Row],[Order Date]])</f>
        <v>2023</v>
      </c>
    </row>
    <row r="787" spans="1:10" x14ac:dyDescent="0.3">
      <c r="A787" s="1">
        <v>45608</v>
      </c>
      <c r="B787" t="s">
        <v>18</v>
      </c>
      <c r="C787" t="s">
        <v>16</v>
      </c>
      <c r="D787" t="s">
        <v>10</v>
      </c>
      <c r="E787">
        <v>4722</v>
      </c>
      <c r="F787">
        <v>11479</v>
      </c>
      <c r="G787">
        <v>0</v>
      </c>
      <c r="H787">
        <v>-6757</v>
      </c>
      <c r="I787" s="2">
        <f>sa_retail_sales[[#This Row],[Profit]] / sa_retail_sales[[#This Row],[Revenue]]</f>
        <v>-1.4309614570097415</v>
      </c>
      <c r="J787">
        <f xml:space="preserve"> YEAR(sa_retail_sales[[#This Row],[Order Date]])</f>
        <v>2024</v>
      </c>
    </row>
    <row r="788" spans="1:10" x14ac:dyDescent="0.3">
      <c r="A788" s="1">
        <v>45136</v>
      </c>
      <c r="B788" t="s">
        <v>8</v>
      </c>
      <c r="C788" t="s">
        <v>13</v>
      </c>
      <c r="D788" t="s">
        <v>15</v>
      </c>
      <c r="E788">
        <v>4675</v>
      </c>
      <c r="F788">
        <v>6055</v>
      </c>
      <c r="G788">
        <v>15</v>
      </c>
      <c r="H788">
        <v>-1380</v>
      </c>
      <c r="I788" s="2">
        <f>sa_retail_sales[[#This Row],[Profit]] / sa_retail_sales[[#This Row],[Revenue]]</f>
        <v>-0.29518716577540105</v>
      </c>
      <c r="J788">
        <f xml:space="preserve"> YEAR(sa_retail_sales[[#This Row],[Order Date]])</f>
        <v>2023</v>
      </c>
    </row>
    <row r="789" spans="1:10" x14ac:dyDescent="0.3">
      <c r="A789" s="1">
        <v>44704</v>
      </c>
      <c r="B789" t="s">
        <v>17</v>
      </c>
      <c r="C789" t="s">
        <v>16</v>
      </c>
      <c r="D789" t="s">
        <v>15</v>
      </c>
      <c r="E789">
        <v>14635</v>
      </c>
      <c r="F789">
        <v>3902</v>
      </c>
      <c r="G789">
        <v>15</v>
      </c>
      <c r="H789">
        <v>10733</v>
      </c>
      <c r="I789" s="2">
        <f>sa_retail_sales[[#This Row],[Profit]] / sa_retail_sales[[#This Row],[Revenue]]</f>
        <v>0.7333788862316365</v>
      </c>
      <c r="J789">
        <f xml:space="preserve"> YEAR(sa_retail_sales[[#This Row],[Order Date]])</f>
        <v>2022</v>
      </c>
    </row>
    <row r="790" spans="1:10" x14ac:dyDescent="0.3">
      <c r="A790" s="1">
        <v>45554</v>
      </c>
      <c r="B790" t="s">
        <v>18</v>
      </c>
      <c r="C790" t="s">
        <v>9</v>
      </c>
      <c r="D790" t="s">
        <v>19</v>
      </c>
      <c r="E790">
        <v>12001</v>
      </c>
      <c r="F790">
        <v>5362</v>
      </c>
      <c r="G790">
        <v>20</v>
      </c>
      <c r="H790">
        <v>6639</v>
      </c>
      <c r="I790" s="2">
        <f>sa_retail_sales[[#This Row],[Profit]] / sa_retail_sales[[#This Row],[Revenue]]</f>
        <v>0.55320389967502703</v>
      </c>
      <c r="J790">
        <f xml:space="preserve"> YEAR(sa_retail_sales[[#This Row],[Order Date]])</f>
        <v>2024</v>
      </c>
    </row>
    <row r="791" spans="1:10" x14ac:dyDescent="0.3">
      <c r="A791" s="1">
        <v>45226</v>
      </c>
      <c r="B791" t="s">
        <v>11</v>
      </c>
      <c r="C791" t="s">
        <v>16</v>
      </c>
      <c r="D791" t="s">
        <v>12</v>
      </c>
      <c r="E791">
        <v>9674</v>
      </c>
      <c r="F791">
        <v>8371</v>
      </c>
      <c r="G791">
        <v>5</v>
      </c>
      <c r="H791">
        <v>1303</v>
      </c>
      <c r="I791" s="2">
        <f>sa_retail_sales[[#This Row],[Profit]] / sa_retail_sales[[#This Row],[Revenue]]</f>
        <v>0.1346909241265247</v>
      </c>
      <c r="J791">
        <f xml:space="preserve"> YEAR(sa_retail_sales[[#This Row],[Order Date]])</f>
        <v>2023</v>
      </c>
    </row>
    <row r="792" spans="1:10" x14ac:dyDescent="0.3">
      <c r="A792" s="1">
        <v>44706</v>
      </c>
      <c r="B792" t="s">
        <v>8</v>
      </c>
      <c r="C792" t="s">
        <v>9</v>
      </c>
      <c r="D792" t="s">
        <v>10</v>
      </c>
      <c r="E792">
        <v>3943</v>
      </c>
      <c r="F792">
        <v>7544</v>
      </c>
      <c r="G792">
        <v>10</v>
      </c>
      <c r="H792">
        <v>-3601</v>
      </c>
      <c r="I792" s="2">
        <f>sa_retail_sales[[#This Row],[Profit]] / sa_retail_sales[[#This Row],[Revenue]]</f>
        <v>-0.91326401217347197</v>
      </c>
      <c r="J792">
        <f xml:space="preserve"> YEAR(sa_retail_sales[[#This Row],[Order Date]])</f>
        <v>2022</v>
      </c>
    </row>
    <row r="793" spans="1:10" x14ac:dyDescent="0.3">
      <c r="A793" s="1">
        <v>45568</v>
      </c>
      <c r="B793" t="s">
        <v>17</v>
      </c>
      <c r="C793" t="s">
        <v>16</v>
      </c>
      <c r="D793" t="s">
        <v>12</v>
      </c>
      <c r="E793">
        <v>5511</v>
      </c>
      <c r="F793">
        <v>6672</v>
      </c>
      <c r="G793">
        <v>5</v>
      </c>
      <c r="H793">
        <v>-1161</v>
      </c>
      <c r="I793" s="2">
        <f>sa_retail_sales[[#This Row],[Profit]] / sa_retail_sales[[#This Row],[Revenue]]</f>
        <v>-0.21066956995100708</v>
      </c>
      <c r="J793">
        <f xml:space="preserve"> YEAR(sa_retail_sales[[#This Row],[Order Date]])</f>
        <v>2024</v>
      </c>
    </row>
    <row r="794" spans="1:10" x14ac:dyDescent="0.3">
      <c r="A794" s="1">
        <v>45064</v>
      </c>
      <c r="B794" t="s">
        <v>18</v>
      </c>
      <c r="C794" t="s">
        <v>9</v>
      </c>
      <c r="D794" t="s">
        <v>10</v>
      </c>
      <c r="E794">
        <v>11225</v>
      </c>
      <c r="F794">
        <v>7405</v>
      </c>
      <c r="G794">
        <v>0</v>
      </c>
      <c r="H794">
        <v>3820</v>
      </c>
      <c r="I794" s="2">
        <f>sa_retail_sales[[#This Row],[Profit]] / sa_retail_sales[[#This Row],[Revenue]]</f>
        <v>0.3403118040089087</v>
      </c>
      <c r="J794">
        <f xml:space="preserve"> YEAR(sa_retail_sales[[#This Row],[Order Date]])</f>
        <v>2023</v>
      </c>
    </row>
    <row r="795" spans="1:10" x14ac:dyDescent="0.3">
      <c r="A795" s="1">
        <v>45382</v>
      </c>
      <c r="B795" t="s">
        <v>18</v>
      </c>
      <c r="C795" t="s">
        <v>9</v>
      </c>
      <c r="D795" t="s">
        <v>10</v>
      </c>
      <c r="E795">
        <v>1193</v>
      </c>
      <c r="F795">
        <v>11860</v>
      </c>
      <c r="G795">
        <v>15</v>
      </c>
      <c r="H795">
        <v>-10667</v>
      </c>
      <c r="I795" s="2">
        <f>sa_retail_sales[[#This Row],[Profit]] / sa_retail_sales[[#This Row],[Revenue]]</f>
        <v>-8.9413243922883492</v>
      </c>
      <c r="J795">
        <f xml:space="preserve"> YEAR(sa_retail_sales[[#This Row],[Order Date]])</f>
        <v>2024</v>
      </c>
    </row>
    <row r="796" spans="1:10" x14ac:dyDescent="0.3">
      <c r="A796" s="1">
        <v>44665</v>
      </c>
      <c r="B796" t="s">
        <v>11</v>
      </c>
      <c r="C796" t="s">
        <v>16</v>
      </c>
      <c r="D796" t="s">
        <v>12</v>
      </c>
      <c r="E796">
        <v>12812</v>
      </c>
      <c r="F796">
        <v>3881</v>
      </c>
      <c r="G796">
        <v>0</v>
      </c>
      <c r="H796">
        <v>8931</v>
      </c>
      <c r="I796" s="2">
        <f>sa_retail_sales[[#This Row],[Profit]] / sa_retail_sales[[#This Row],[Revenue]]</f>
        <v>0.69708086169216354</v>
      </c>
      <c r="J796">
        <f xml:space="preserve"> YEAR(sa_retail_sales[[#This Row],[Order Date]])</f>
        <v>2022</v>
      </c>
    </row>
    <row r="797" spans="1:10" x14ac:dyDescent="0.3">
      <c r="A797" s="1">
        <v>45624</v>
      </c>
      <c r="B797" t="s">
        <v>17</v>
      </c>
      <c r="C797" t="s">
        <v>16</v>
      </c>
      <c r="D797" t="s">
        <v>15</v>
      </c>
      <c r="E797">
        <v>8847</v>
      </c>
      <c r="F797">
        <v>3062</v>
      </c>
      <c r="G797">
        <v>20</v>
      </c>
      <c r="H797">
        <v>5785</v>
      </c>
      <c r="I797" s="2">
        <f>sa_retail_sales[[#This Row],[Profit]] / sa_retail_sales[[#This Row],[Revenue]]</f>
        <v>0.65389397535887872</v>
      </c>
      <c r="J797">
        <f xml:space="preserve"> YEAR(sa_retail_sales[[#This Row],[Order Date]])</f>
        <v>2024</v>
      </c>
    </row>
    <row r="798" spans="1:10" x14ac:dyDescent="0.3">
      <c r="A798" s="1">
        <v>44759</v>
      </c>
      <c r="B798" t="s">
        <v>11</v>
      </c>
      <c r="C798" t="s">
        <v>9</v>
      </c>
      <c r="D798" t="s">
        <v>19</v>
      </c>
      <c r="E798">
        <v>12280</v>
      </c>
      <c r="F798">
        <v>872</v>
      </c>
      <c r="G798">
        <v>15</v>
      </c>
      <c r="H798">
        <v>11408</v>
      </c>
      <c r="I798" s="2">
        <f>sa_retail_sales[[#This Row],[Profit]] / sa_retail_sales[[#This Row],[Revenue]]</f>
        <v>0.92899022801302933</v>
      </c>
      <c r="J798">
        <f xml:space="preserve"> YEAR(sa_retail_sales[[#This Row],[Order Date]])</f>
        <v>2022</v>
      </c>
    </row>
    <row r="799" spans="1:10" x14ac:dyDescent="0.3">
      <c r="A799" s="1">
        <v>45140</v>
      </c>
      <c r="B799" t="s">
        <v>11</v>
      </c>
      <c r="C799" t="s">
        <v>14</v>
      </c>
      <c r="D799" t="s">
        <v>10</v>
      </c>
      <c r="E799">
        <v>2312</v>
      </c>
      <c r="F799">
        <v>8005</v>
      </c>
      <c r="G799">
        <v>10</v>
      </c>
      <c r="H799">
        <v>-5693</v>
      </c>
      <c r="I799" s="2">
        <f>sa_retail_sales[[#This Row],[Profit]] / sa_retail_sales[[#This Row],[Revenue]]</f>
        <v>-2.4623702422145328</v>
      </c>
      <c r="J799">
        <f xml:space="preserve"> YEAR(sa_retail_sales[[#This Row],[Order Date]])</f>
        <v>2023</v>
      </c>
    </row>
    <row r="800" spans="1:10" x14ac:dyDescent="0.3">
      <c r="A800" s="1">
        <v>44952</v>
      </c>
      <c r="B800" t="s">
        <v>17</v>
      </c>
      <c r="C800" t="s">
        <v>13</v>
      </c>
      <c r="D800" t="s">
        <v>15</v>
      </c>
      <c r="E800">
        <v>14341</v>
      </c>
      <c r="F800">
        <v>914</v>
      </c>
      <c r="G800">
        <v>15</v>
      </c>
      <c r="H800">
        <v>13427</v>
      </c>
      <c r="I800" s="2">
        <f>sa_retail_sales[[#This Row],[Profit]] / sa_retail_sales[[#This Row],[Revenue]]</f>
        <v>0.93626664807196147</v>
      </c>
      <c r="J800">
        <f xml:space="preserve"> YEAR(sa_retail_sales[[#This Row],[Order Date]])</f>
        <v>2023</v>
      </c>
    </row>
    <row r="801" spans="1:10" x14ac:dyDescent="0.3">
      <c r="A801" s="1">
        <v>45115</v>
      </c>
      <c r="B801" t="s">
        <v>17</v>
      </c>
      <c r="C801" t="s">
        <v>14</v>
      </c>
      <c r="D801" t="s">
        <v>10</v>
      </c>
      <c r="E801">
        <v>14754</v>
      </c>
      <c r="F801">
        <v>4350</v>
      </c>
      <c r="G801">
        <v>5</v>
      </c>
      <c r="H801">
        <v>10404</v>
      </c>
      <c r="I801" s="2">
        <f>sa_retail_sales[[#This Row],[Profit]] / sa_retail_sales[[#This Row],[Revenue]]</f>
        <v>0.70516470109800733</v>
      </c>
      <c r="J801">
        <f xml:space="preserve"> YEAR(sa_retail_sales[[#This Row],[Order Date]])</f>
        <v>2023</v>
      </c>
    </row>
    <row r="802" spans="1:10" x14ac:dyDescent="0.3">
      <c r="A802" s="1">
        <v>45600</v>
      </c>
      <c r="B802" t="s">
        <v>17</v>
      </c>
      <c r="C802" t="s">
        <v>14</v>
      </c>
      <c r="D802" t="s">
        <v>19</v>
      </c>
      <c r="E802">
        <v>14521</v>
      </c>
      <c r="F802">
        <v>625</v>
      </c>
      <c r="G802">
        <v>5</v>
      </c>
      <c r="H802">
        <v>13896</v>
      </c>
      <c r="I802" s="2">
        <f>sa_retail_sales[[#This Row],[Profit]] / sa_retail_sales[[#This Row],[Revenue]]</f>
        <v>0.95695888712898558</v>
      </c>
      <c r="J802">
        <f xml:space="preserve"> YEAR(sa_retail_sales[[#This Row],[Order Date]])</f>
        <v>2024</v>
      </c>
    </row>
    <row r="803" spans="1:10" x14ac:dyDescent="0.3">
      <c r="A803" s="1">
        <v>45039</v>
      </c>
      <c r="B803" t="s">
        <v>8</v>
      </c>
      <c r="C803" t="s">
        <v>16</v>
      </c>
      <c r="D803" t="s">
        <v>10</v>
      </c>
      <c r="E803">
        <v>13868</v>
      </c>
      <c r="F803">
        <v>4040</v>
      </c>
      <c r="G803">
        <v>15</v>
      </c>
      <c r="H803">
        <v>9828</v>
      </c>
      <c r="I803" s="2">
        <f>sa_retail_sales[[#This Row],[Profit]] / sa_retail_sales[[#This Row],[Revenue]]</f>
        <v>0.70868185751370061</v>
      </c>
      <c r="J803">
        <f xml:space="preserve"> YEAR(sa_retail_sales[[#This Row],[Order Date]])</f>
        <v>2023</v>
      </c>
    </row>
    <row r="804" spans="1:10" x14ac:dyDescent="0.3">
      <c r="A804" s="1">
        <v>45484</v>
      </c>
      <c r="B804" t="s">
        <v>17</v>
      </c>
      <c r="C804" t="s">
        <v>13</v>
      </c>
      <c r="D804" t="s">
        <v>19</v>
      </c>
      <c r="E804">
        <v>6224</v>
      </c>
      <c r="F804">
        <v>658</v>
      </c>
      <c r="G804">
        <v>20</v>
      </c>
      <c r="H804">
        <v>5566</v>
      </c>
      <c r="I804" s="2">
        <f>sa_retail_sales[[#This Row],[Profit]] / sa_retail_sales[[#This Row],[Revenue]]</f>
        <v>0.89428020565552702</v>
      </c>
      <c r="J804">
        <f xml:space="preserve"> YEAR(sa_retail_sales[[#This Row],[Order Date]])</f>
        <v>2024</v>
      </c>
    </row>
    <row r="805" spans="1:10" x14ac:dyDescent="0.3">
      <c r="A805" s="1">
        <v>44981</v>
      </c>
      <c r="B805" t="s">
        <v>18</v>
      </c>
      <c r="C805" t="s">
        <v>14</v>
      </c>
      <c r="D805" t="s">
        <v>19</v>
      </c>
      <c r="E805">
        <v>12806</v>
      </c>
      <c r="F805">
        <v>4077</v>
      </c>
      <c r="G805">
        <v>5</v>
      </c>
      <c r="H805">
        <v>8729</v>
      </c>
      <c r="I805" s="2">
        <f>sa_retail_sales[[#This Row],[Profit]] / sa_retail_sales[[#This Row],[Revenue]]</f>
        <v>0.68163360924566607</v>
      </c>
      <c r="J805">
        <f xml:space="preserve"> YEAR(sa_retail_sales[[#This Row],[Order Date]])</f>
        <v>2023</v>
      </c>
    </row>
    <row r="806" spans="1:10" x14ac:dyDescent="0.3">
      <c r="A806" s="1">
        <v>44718</v>
      </c>
      <c r="B806" t="s">
        <v>11</v>
      </c>
      <c r="C806" t="s">
        <v>16</v>
      </c>
      <c r="D806" t="s">
        <v>10</v>
      </c>
      <c r="E806">
        <v>1907</v>
      </c>
      <c r="F806">
        <v>6206</v>
      </c>
      <c r="G806">
        <v>5</v>
      </c>
      <c r="H806">
        <v>-4299</v>
      </c>
      <c r="I806" s="2">
        <f>sa_retail_sales[[#This Row],[Profit]] / sa_retail_sales[[#This Row],[Revenue]]</f>
        <v>-2.2543261667540642</v>
      </c>
      <c r="J806">
        <f xml:space="preserve"> YEAR(sa_retail_sales[[#This Row],[Order Date]])</f>
        <v>2022</v>
      </c>
    </row>
    <row r="807" spans="1:10" x14ac:dyDescent="0.3">
      <c r="A807" s="1">
        <v>45111</v>
      </c>
      <c r="B807" t="s">
        <v>8</v>
      </c>
      <c r="C807" t="s">
        <v>14</v>
      </c>
      <c r="D807" t="s">
        <v>10</v>
      </c>
      <c r="E807">
        <v>8532</v>
      </c>
      <c r="F807">
        <v>10863</v>
      </c>
      <c r="G807">
        <v>10</v>
      </c>
      <c r="H807">
        <v>-2331</v>
      </c>
      <c r="I807" s="2">
        <f>sa_retail_sales[[#This Row],[Profit]] / sa_retail_sales[[#This Row],[Revenue]]</f>
        <v>-0.27320675105485231</v>
      </c>
      <c r="J807">
        <f xml:space="preserve"> YEAR(sa_retail_sales[[#This Row],[Order Date]])</f>
        <v>2023</v>
      </c>
    </row>
    <row r="808" spans="1:10" x14ac:dyDescent="0.3">
      <c r="A808" s="1">
        <v>45582</v>
      </c>
      <c r="B808" t="s">
        <v>17</v>
      </c>
      <c r="C808" t="s">
        <v>14</v>
      </c>
      <c r="D808" t="s">
        <v>19</v>
      </c>
      <c r="E808">
        <v>9908</v>
      </c>
      <c r="F808">
        <v>2021</v>
      </c>
      <c r="G808">
        <v>15</v>
      </c>
      <c r="H808">
        <v>7887</v>
      </c>
      <c r="I808" s="2">
        <f>sa_retail_sales[[#This Row],[Profit]] / sa_retail_sales[[#This Row],[Revenue]]</f>
        <v>0.79602341542188126</v>
      </c>
      <c r="J808">
        <f xml:space="preserve"> YEAR(sa_retail_sales[[#This Row],[Order Date]])</f>
        <v>2024</v>
      </c>
    </row>
    <row r="809" spans="1:10" x14ac:dyDescent="0.3">
      <c r="A809" s="1">
        <v>45558</v>
      </c>
      <c r="B809" t="s">
        <v>8</v>
      </c>
      <c r="C809" t="s">
        <v>16</v>
      </c>
      <c r="D809" t="s">
        <v>15</v>
      </c>
      <c r="E809">
        <v>1910</v>
      </c>
      <c r="F809">
        <v>1649</v>
      </c>
      <c r="G809">
        <v>5</v>
      </c>
      <c r="H809">
        <v>261</v>
      </c>
      <c r="I809" s="2">
        <f>sa_retail_sales[[#This Row],[Profit]] / sa_retail_sales[[#This Row],[Revenue]]</f>
        <v>0.13664921465968585</v>
      </c>
      <c r="J809">
        <f xml:space="preserve"> YEAR(sa_retail_sales[[#This Row],[Order Date]])</f>
        <v>2024</v>
      </c>
    </row>
    <row r="810" spans="1:10" x14ac:dyDescent="0.3">
      <c r="A810" s="1">
        <v>45512</v>
      </c>
      <c r="B810" t="s">
        <v>17</v>
      </c>
      <c r="C810" t="s">
        <v>16</v>
      </c>
      <c r="D810" t="s">
        <v>12</v>
      </c>
      <c r="E810">
        <v>3997</v>
      </c>
      <c r="F810">
        <v>3996</v>
      </c>
      <c r="G810">
        <v>20</v>
      </c>
      <c r="H810">
        <v>1</v>
      </c>
      <c r="I810" s="2">
        <f>sa_retail_sales[[#This Row],[Profit]] / sa_retail_sales[[#This Row],[Revenue]]</f>
        <v>2.501876407305479E-4</v>
      </c>
      <c r="J810">
        <f xml:space="preserve"> YEAR(sa_retail_sales[[#This Row],[Order Date]])</f>
        <v>2024</v>
      </c>
    </row>
    <row r="811" spans="1:10" x14ac:dyDescent="0.3">
      <c r="A811" s="1">
        <v>44850</v>
      </c>
      <c r="B811" t="s">
        <v>8</v>
      </c>
      <c r="C811" t="s">
        <v>16</v>
      </c>
      <c r="D811" t="s">
        <v>19</v>
      </c>
      <c r="E811">
        <v>4872</v>
      </c>
      <c r="F811">
        <v>4196</v>
      </c>
      <c r="G811">
        <v>0</v>
      </c>
      <c r="H811">
        <v>676</v>
      </c>
      <c r="I811" s="2">
        <f>sa_retail_sales[[#This Row],[Profit]] / sa_retail_sales[[#This Row],[Revenue]]</f>
        <v>0.13875205254515599</v>
      </c>
      <c r="J811">
        <f xml:space="preserve"> YEAR(sa_retail_sales[[#This Row],[Order Date]])</f>
        <v>2022</v>
      </c>
    </row>
    <row r="812" spans="1:10" x14ac:dyDescent="0.3">
      <c r="A812" s="1">
        <v>44757</v>
      </c>
      <c r="B812" t="s">
        <v>11</v>
      </c>
      <c r="C812" t="s">
        <v>13</v>
      </c>
      <c r="D812" t="s">
        <v>10</v>
      </c>
      <c r="E812">
        <v>7894</v>
      </c>
      <c r="F812">
        <v>4560</v>
      </c>
      <c r="G812">
        <v>15</v>
      </c>
      <c r="H812">
        <v>3334</v>
      </c>
      <c r="I812" s="2">
        <f>sa_retail_sales[[#This Row],[Profit]] / sa_retail_sales[[#This Row],[Revenue]]</f>
        <v>0.42234608563465925</v>
      </c>
      <c r="J812">
        <f xml:space="preserve"> YEAR(sa_retail_sales[[#This Row],[Order Date]])</f>
        <v>2022</v>
      </c>
    </row>
    <row r="813" spans="1:10" x14ac:dyDescent="0.3">
      <c r="A813" s="1">
        <v>45159</v>
      </c>
      <c r="B813" t="s">
        <v>11</v>
      </c>
      <c r="C813" t="s">
        <v>14</v>
      </c>
      <c r="D813" t="s">
        <v>10</v>
      </c>
      <c r="E813">
        <v>13532</v>
      </c>
      <c r="F813">
        <v>10088</v>
      </c>
      <c r="G813">
        <v>10</v>
      </c>
      <c r="H813">
        <v>3444</v>
      </c>
      <c r="I813" s="2">
        <f>sa_retail_sales[[#This Row],[Profit]] / sa_retail_sales[[#This Row],[Revenue]]</f>
        <v>0.2545078332840674</v>
      </c>
      <c r="J813">
        <f xml:space="preserve"> YEAR(sa_retail_sales[[#This Row],[Order Date]])</f>
        <v>2023</v>
      </c>
    </row>
    <row r="814" spans="1:10" x14ac:dyDescent="0.3">
      <c r="A814" s="1">
        <v>45078</v>
      </c>
      <c r="B814" t="s">
        <v>18</v>
      </c>
      <c r="C814" t="s">
        <v>16</v>
      </c>
      <c r="D814" t="s">
        <v>15</v>
      </c>
      <c r="E814">
        <v>1051</v>
      </c>
      <c r="F814">
        <v>10119</v>
      </c>
      <c r="G814">
        <v>5</v>
      </c>
      <c r="H814">
        <v>-9068</v>
      </c>
      <c r="I814" s="2">
        <f>sa_retail_sales[[#This Row],[Profit]] / sa_retail_sales[[#This Row],[Revenue]]</f>
        <v>-8.6279733587059937</v>
      </c>
      <c r="J814">
        <f xml:space="preserve"> YEAR(sa_retail_sales[[#This Row],[Order Date]])</f>
        <v>2023</v>
      </c>
    </row>
    <row r="815" spans="1:10" x14ac:dyDescent="0.3">
      <c r="A815" s="1">
        <v>45426</v>
      </c>
      <c r="B815" t="s">
        <v>18</v>
      </c>
      <c r="C815" t="s">
        <v>9</v>
      </c>
      <c r="D815" t="s">
        <v>12</v>
      </c>
      <c r="E815">
        <v>12086</v>
      </c>
      <c r="F815">
        <v>7241</v>
      </c>
      <c r="G815">
        <v>20</v>
      </c>
      <c r="H815">
        <v>4845</v>
      </c>
      <c r="I815" s="2">
        <f>sa_retail_sales[[#This Row],[Profit]] / sa_retail_sales[[#This Row],[Revenue]]</f>
        <v>0.40087704782392852</v>
      </c>
      <c r="J815">
        <f xml:space="preserve"> YEAR(sa_retail_sales[[#This Row],[Order Date]])</f>
        <v>2024</v>
      </c>
    </row>
    <row r="816" spans="1:10" x14ac:dyDescent="0.3">
      <c r="A816" s="1">
        <v>45367</v>
      </c>
      <c r="B816" t="s">
        <v>17</v>
      </c>
      <c r="C816" t="s">
        <v>14</v>
      </c>
      <c r="D816" t="s">
        <v>19</v>
      </c>
      <c r="E816">
        <v>9868</v>
      </c>
      <c r="F816">
        <v>10994</v>
      </c>
      <c r="G816">
        <v>15</v>
      </c>
      <c r="H816">
        <v>-1126</v>
      </c>
      <c r="I816" s="2">
        <f>sa_retail_sales[[#This Row],[Profit]] / sa_retail_sales[[#This Row],[Revenue]]</f>
        <v>-0.11410620186461289</v>
      </c>
      <c r="J816">
        <f xml:space="preserve"> YEAR(sa_retail_sales[[#This Row],[Order Date]])</f>
        <v>2024</v>
      </c>
    </row>
    <row r="817" spans="1:10" x14ac:dyDescent="0.3">
      <c r="A817" s="1">
        <v>45376</v>
      </c>
      <c r="B817" t="s">
        <v>11</v>
      </c>
      <c r="C817" t="s">
        <v>9</v>
      </c>
      <c r="D817" t="s">
        <v>19</v>
      </c>
      <c r="E817">
        <v>13426</v>
      </c>
      <c r="F817">
        <v>4108</v>
      </c>
      <c r="G817">
        <v>20</v>
      </c>
      <c r="H817">
        <v>9318</v>
      </c>
      <c r="I817" s="2">
        <f>sa_retail_sales[[#This Row],[Profit]] / sa_retail_sales[[#This Row],[Revenue]]</f>
        <v>0.69402651571577534</v>
      </c>
      <c r="J817">
        <f xml:space="preserve"> YEAR(sa_retail_sales[[#This Row],[Order Date]])</f>
        <v>2024</v>
      </c>
    </row>
    <row r="818" spans="1:10" x14ac:dyDescent="0.3">
      <c r="A818" s="1">
        <v>44789</v>
      </c>
      <c r="B818" t="s">
        <v>8</v>
      </c>
      <c r="C818" t="s">
        <v>13</v>
      </c>
      <c r="D818" t="s">
        <v>12</v>
      </c>
      <c r="E818">
        <v>4832</v>
      </c>
      <c r="F818">
        <v>5546</v>
      </c>
      <c r="G818">
        <v>20</v>
      </c>
      <c r="H818">
        <v>-714</v>
      </c>
      <c r="I818" s="2">
        <f>sa_retail_sales[[#This Row],[Profit]] / sa_retail_sales[[#This Row],[Revenue]]</f>
        <v>-0.14776490066225165</v>
      </c>
      <c r="J818">
        <f xml:space="preserve"> YEAR(sa_retail_sales[[#This Row],[Order Date]])</f>
        <v>2022</v>
      </c>
    </row>
    <row r="819" spans="1:10" x14ac:dyDescent="0.3">
      <c r="A819" s="1">
        <v>44777</v>
      </c>
      <c r="B819" t="s">
        <v>8</v>
      </c>
      <c r="C819" t="s">
        <v>16</v>
      </c>
      <c r="D819" t="s">
        <v>19</v>
      </c>
      <c r="E819">
        <v>1497</v>
      </c>
      <c r="F819">
        <v>8684</v>
      </c>
      <c r="G819">
        <v>10</v>
      </c>
      <c r="H819">
        <v>-7187</v>
      </c>
      <c r="I819" s="2">
        <f>sa_retail_sales[[#This Row],[Profit]] / sa_retail_sales[[#This Row],[Revenue]]</f>
        <v>-4.8009352037408153</v>
      </c>
      <c r="J819">
        <f xml:space="preserve"> YEAR(sa_retail_sales[[#This Row],[Order Date]])</f>
        <v>2022</v>
      </c>
    </row>
    <row r="820" spans="1:10" x14ac:dyDescent="0.3">
      <c r="A820" s="1">
        <v>45509</v>
      </c>
      <c r="B820" t="s">
        <v>8</v>
      </c>
      <c r="C820" t="s">
        <v>9</v>
      </c>
      <c r="D820" t="s">
        <v>12</v>
      </c>
      <c r="E820">
        <v>4576</v>
      </c>
      <c r="F820">
        <v>11166</v>
      </c>
      <c r="G820">
        <v>15</v>
      </c>
      <c r="H820">
        <v>-6590</v>
      </c>
      <c r="I820" s="2">
        <f>sa_retail_sales[[#This Row],[Profit]] / sa_retail_sales[[#This Row],[Revenue]]</f>
        <v>-1.4401223776223777</v>
      </c>
      <c r="J820">
        <f xml:space="preserve"> YEAR(sa_retail_sales[[#This Row],[Order Date]])</f>
        <v>2024</v>
      </c>
    </row>
    <row r="821" spans="1:10" x14ac:dyDescent="0.3">
      <c r="A821" s="1">
        <v>44576</v>
      </c>
      <c r="B821" t="s">
        <v>18</v>
      </c>
      <c r="C821" t="s">
        <v>13</v>
      </c>
      <c r="D821" t="s">
        <v>10</v>
      </c>
      <c r="E821">
        <v>14890</v>
      </c>
      <c r="F821">
        <v>4145</v>
      </c>
      <c r="G821">
        <v>5</v>
      </c>
      <c r="H821">
        <v>10745</v>
      </c>
      <c r="I821" s="2">
        <f>sa_retail_sales[[#This Row],[Profit]] / sa_retail_sales[[#This Row],[Revenue]]</f>
        <v>0.72162525184687709</v>
      </c>
      <c r="J821">
        <f xml:space="preserve"> YEAR(sa_retail_sales[[#This Row],[Order Date]])</f>
        <v>2022</v>
      </c>
    </row>
    <row r="822" spans="1:10" x14ac:dyDescent="0.3">
      <c r="A822" s="1">
        <v>44608</v>
      </c>
      <c r="B822" t="s">
        <v>8</v>
      </c>
      <c r="C822" t="s">
        <v>16</v>
      </c>
      <c r="D822" t="s">
        <v>12</v>
      </c>
      <c r="E822">
        <v>6599</v>
      </c>
      <c r="F822">
        <v>2877</v>
      </c>
      <c r="G822">
        <v>10</v>
      </c>
      <c r="H822">
        <v>3722</v>
      </c>
      <c r="I822" s="2">
        <f>sa_retail_sales[[#This Row],[Profit]] / sa_retail_sales[[#This Row],[Revenue]]</f>
        <v>0.56402485225034094</v>
      </c>
      <c r="J822">
        <f xml:space="preserve"> YEAR(sa_retail_sales[[#This Row],[Order Date]])</f>
        <v>2022</v>
      </c>
    </row>
    <row r="823" spans="1:10" x14ac:dyDescent="0.3">
      <c r="A823" s="1">
        <v>44885</v>
      </c>
      <c r="B823" t="s">
        <v>18</v>
      </c>
      <c r="C823" t="s">
        <v>9</v>
      </c>
      <c r="D823" t="s">
        <v>19</v>
      </c>
      <c r="E823">
        <v>6055</v>
      </c>
      <c r="F823">
        <v>391</v>
      </c>
      <c r="G823">
        <v>5</v>
      </c>
      <c r="H823">
        <v>5664</v>
      </c>
      <c r="I823" s="2">
        <f>sa_retail_sales[[#This Row],[Profit]] / sa_retail_sales[[#This Row],[Revenue]]</f>
        <v>0.93542526837324524</v>
      </c>
      <c r="J823">
        <f xml:space="preserve"> YEAR(sa_retail_sales[[#This Row],[Order Date]])</f>
        <v>2022</v>
      </c>
    </row>
    <row r="824" spans="1:10" x14ac:dyDescent="0.3">
      <c r="A824" s="1">
        <v>45405</v>
      </c>
      <c r="B824" t="s">
        <v>18</v>
      </c>
      <c r="C824" t="s">
        <v>9</v>
      </c>
      <c r="D824" t="s">
        <v>12</v>
      </c>
      <c r="E824">
        <v>11423</v>
      </c>
      <c r="F824">
        <v>4534</v>
      </c>
      <c r="G824">
        <v>0</v>
      </c>
      <c r="H824">
        <v>6889</v>
      </c>
      <c r="I824" s="2">
        <f>sa_retail_sales[[#This Row],[Profit]] / sa_retail_sales[[#This Row],[Revenue]]</f>
        <v>0.60308150223233825</v>
      </c>
      <c r="J824">
        <f xml:space="preserve"> YEAR(sa_retail_sales[[#This Row],[Order Date]])</f>
        <v>2024</v>
      </c>
    </row>
    <row r="825" spans="1:10" x14ac:dyDescent="0.3">
      <c r="A825" s="1">
        <v>44691</v>
      </c>
      <c r="B825" t="s">
        <v>17</v>
      </c>
      <c r="C825" t="s">
        <v>13</v>
      </c>
      <c r="D825" t="s">
        <v>15</v>
      </c>
      <c r="E825">
        <v>14944</v>
      </c>
      <c r="F825">
        <v>8972</v>
      </c>
      <c r="G825">
        <v>20</v>
      </c>
      <c r="H825">
        <v>5972</v>
      </c>
      <c r="I825" s="2">
        <f>sa_retail_sales[[#This Row],[Profit]] / sa_retail_sales[[#This Row],[Revenue]]</f>
        <v>0.39962526766595291</v>
      </c>
      <c r="J825">
        <f xml:space="preserve"> YEAR(sa_retail_sales[[#This Row],[Order Date]])</f>
        <v>2022</v>
      </c>
    </row>
    <row r="826" spans="1:10" x14ac:dyDescent="0.3">
      <c r="A826" s="1">
        <v>44656</v>
      </c>
      <c r="B826" t="s">
        <v>8</v>
      </c>
      <c r="C826" t="s">
        <v>16</v>
      </c>
      <c r="D826" t="s">
        <v>10</v>
      </c>
      <c r="E826">
        <v>12629</v>
      </c>
      <c r="F826">
        <v>6892</v>
      </c>
      <c r="G826">
        <v>0</v>
      </c>
      <c r="H826">
        <v>5737</v>
      </c>
      <c r="I826" s="2">
        <f>sa_retail_sales[[#This Row],[Profit]] / sa_retail_sales[[#This Row],[Revenue]]</f>
        <v>0.4542719138490775</v>
      </c>
      <c r="J826">
        <f xml:space="preserve"> YEAR(sa_retail_sales[[#This Row],[Order Date]])</f>
        <v>2022</v>
      </c>
    </row>
    <row r="827" spans="1:10" x14ac:dyDescent="0.3">
      <c r="A827" s="1">
        <v>45188</v>
      </c>
      <c r="B827" t="s">
        <v>8</v>
      </c>
      <c r="C827" t="s">
        <v>16</v>
      </c>
      <c r="D827" t="s">
        <v>10</v>
      </c>
      <c r="E827">
        <v>4552</v>
      </c>
      <c r="F827">
        <v>11408</v>
      </c>
      <c r="G827">
        <v>20</v>
      </c>
      <c r="H827">
        <v>-6856</v>
      </c>
      <c r="I827" s="2">
        <f>sa_retail_sales[[#This Row],[Profit]] / sa_retail_sales[[#This Row],[Revenue]]</f>
        <v>-1.5061511423550087</v>
      </c>
      <c r="J827">
        <f xml:space="preserve"> YEAR(sa_retail_sales[[#This Row],[Order Date]])</f>
        <v>2023</v>
      </c>
    </row>
    <row r="828" spans="1:10" x14ac:dyDescent="0.3">
      <c r="A828" s="1">
        <v>45316</v>
      </c>
      <c r="B828" t="s">
        <v>11</v>
      </c>
      <c r="C828" t="s">
        <v>9</v>
      </c>
      <c r="D828" t="s">
        <v>12</v>
      </c>
      <c r="E828">
        <v>5803</v>
      </c>
      <c r="F828">
        <v>8428</v>
      </c>
      <c r="G828">
        <v>10</v>
      </c>
      <c r="H828">
        <v>-2625</v>
      </c>
      <c r="I828" s="2">
        <f>sa_retail_sales[[#This Row],[Profit]] / sa_retail_sales[[#This Row],[Revenue]]</f>
        <v>-0.45235223160434257</v>
      </c>
      <c r="J828">
        <f xml:space="preserve"> YEAR(sa_retail_sales[[#This Row],[Order Date]])</f>
        <v>2024</v>
      </c>
    </row>
    <row r="829" spans="1:10" x14ac:dyDescent="0.3">
      <c r="A829" s="1">
        <v>45355</v>
      </c>
      <c r="B829" t="s">
        <v>17</v>
      </c>
      <c r="C829" t="s">
        <v>9</v>
      </c>
      <c r="D829" t="s">
        <v>19</v>
      </c>
      <c r="E829">
        <v>8618</v>
      </c>
      <c r="F829">
        <v>1375</v>
      </c>
      <c r="G829">
        <v>5</v>
      </c>
      <c r="H829">
        <v>7243</v>
      </c>
      <c r="I829" s="2">
        <f>sa_retail_sales[[#This Row],[Profit]] / sa_retail_sales[[#This Row],[Revenue]]</f>
        <v>0.84045022046878626</v>
      </c>
      <c r="J829">
        <f xml:space="preserve"> YEAR(sa_retail_sales[[#This Row],[Order Date]])</f>
        <v>2024</v>
      </c>
    </row>
    <row r="830" spans="1:10" x14ac:dyDescent="0.3">
      <c r="A830" s="1">
        <v>44630</v>
      </c>
      <c r="B830" t="s">
        <v>11</v>
      </c>
      <c r="C830" t="s">
        <v>9</v>
      </c>
      <c r="D830" t="s">
        <v>15</v>
      </c>
      <c r="E830">
        <v>14179</v>
      </c>
      <c r="F830">
        <v>2813</v>
      </c>
      <c r="G830">
        <v>5</v>
      </c>
      <c r="H830">
        <v>11366</v>
      </c>
      <c r="I830" s="2">
        <f>sa_retail_sales[[#This Row],[Profit]] / sa_retail_sales[[#This Row],[Revenue]]</f>
        <v>0.80160801184850838</v>
      </c>
      <c r="J830">
        <f xml:space="preserve"> YEAR(sa_retail_sales[[#This Row],[Order Date]])</f>
        <v>2022</v>
      </c>
    </row>
    <row r="831" spans="1:10" x14ac:dyDescent="0.3">
      <c r="A831" s="1">
        <v>44572</v>
      </c>
      <c r="B831" t="s">
        <v>17</v>
      </c>
      <c r="C831" t="s">
        <v>16</v>
      </c>
      <c r="D831" t="s">
        <v>10</v>
      </c>
      <c r="E831">
        <v>6602</v>
      </c>
      <c r="F831">
        <v>8468</v>
      </c>
      <c r="G831">
        <v>10</v>
      </c>
      <c r="H831">
        <v>-1866</v>
      </c>
      <c r="I831" s="2">
        <f>sa_retail_sales[[#This Row],[Profit]] / sa_retail_sales[[#This Row],[Revenue]]</f>
        <v>-0.28264162375037866</v>
      </c>
      <c r="J831">
        <f xml:space="preserve"> YEAR(sa_retail_sales[[#This Row],[Order Date]])</f>
        <v>2022</v>
      </c>
    </row>
    <row r="832" spans="1:10" x14ac:dyDescent="0.3">
      <c r="A832" s="1">
        <v>45433</v>
      </c>
      <c r="B832" t="s">
        <v>8</v>
      </c>
      <c r="C832" t="s">
        <v>13</v>
      </c>
      <c r="D832" t="s">
        <v>10</v>
      </c>
      <c r="E832">
        <v>14009</v>
      </c>
      <c r="F832">
        <v>7161</v>
      </c>
      <c r="G832">
        <v>15</v>
      </c>
      <c r="H832">
        <v>6848</v>
      </c>
      <c r="I832" s="2">
        <f>sa_retail_sales[[#This Row],[Profit]] / sa_retail_sales[[#This Row],[Revenue]]</f>
        <v>0.48882861017917051</v>
      </c>
      <c r="J832">
        <f xml:space="preserve"> YEAR(sa_retail_sales[[#This Row],[Order Date]])</f>
        <v>2024</v>
      </c>
    </row>
    <row r="833" spans="1:10" x14ac:dyDescent="0.3">
      <c r="A833" s="1">
        <v>45111</v>
      </c>
      <c r="B833" t="s">
        <v>18</v>
      </c>
      <c r="C833" t="s">
        <v>13</v>
      </c>
      <c r="D833" t="s">
        <v>19</v>
      </c>
      <c r="E833">
        <v>5990</v>
      </c>
      <c r="F833">
        <v>9290</v>
      </c>
      <c r="G833">
        <v>0</v>
      </c>
      <c r="H833">
        <v>-3300</v>
      </c>
      <c r="I833" s="2">
        <f>sa_retail_sales[[#This Row],[Profit]] / sa_retail_sales[[#This Row],[Revenue]]</f>
        <v>-0.55091819699499167</v>
      </c>
      <c r="J833">
        <f xml:space="preserve"> YEAR(sa_retail_sales[[#This Row],[Order Date]])</f>
        <v>2023</v>
      </c>
    </row>
    <row r="834" spans="1:10" x14ac:dyDescent="0.3">
      <c r="A834" s="1">
        <v>45273</v>
      </c>
      <c r="B834" t="s">
        <v>18</v>
      </c>
      <c r="C834" t="s">
        <v>16</v>
      </c>
      <c r="D834" t="s">
        <v>19</v>
      </c>
      <c r="E834">
        <v>9064</v>
      </c>
      <c r="F834">
        <v>904</v>
      </c>
      <c r="G834">
        <v>0</v>
      </c>
      <c r="H834">
        <v>8160</v>
      </c>
      <c r="I834" s="2">
        <f>sa_retail_sales[[#This Row],[Profit]] / sa_retail_sales[[#This Row],[Revenue]]</f>
        <v>0.90026478375992935</v>
      </c>
      <c r="J834">
        <f xml:space="preserve"> YEAR(sa_retail_sales[[#This Row],[Order Date]])</f>
        <v>2023</v>
      </c>
    </row>
    <row r="835" spans="1:10" x14ac:dyDescent="0.3">
      <c r="A835" s="1">
        <v>44584</v>
      </c>
      <c r="B835" t="s">
        <v>18</v>
      </c>
      <c r="C835" t="s">
        <v>14</v>
      </c>
      <c r="D835" t="s">
        <v>15</v>
      </c>
      <c r="E835">
        <v>6116</v>
      </c>
      <c r="F835">
        <v>3279</v>
      </c>
      <c r="G835">
        <v>5</v>
      </c>
      <c r="H835">
        <v>2837</v>
      </c>
      <c r="I835" s="2">
        <f>sa_retail_sales[[#This Row],[Profit]] / sa_retail_sales[[#This Row],[Revenue]]</f>
        <v>0.46386527141922823</v>
      </c>
      <c r="J835">
        <f xml:space="preserve"> YEAR(sa_retail_sales[[#This Row],[Order Date]])</f>
        <v>2022</v>
      </c>
    </row>
    <row r="836" spans="1:10" x14ac:dyDescent="0.3">
      <c r="A836" s="1">
        <v>45376</v>
      </c>
      <c r="B836" t="s">
        <v>18</v>
      </c>
      <c r="C836" t="s">
        <v>13</v>
      </c>
      <c r="D836" t="s">
        <v>12</v>
      </c>
      <c r="E836">
        <v>2748</v>
      </c>
      <c r="F836">
        <v>7440</v>
      </c>
      <c r="G836">
        <v>5</v>
      </c>
      <c r="H836">
        <v>-4692</v>
      </c>
      <c r="I836" s="2">
        <f>sa_retail_sales[[#This Row],[Profit]] / sa_retail_sales[[#This Row],[Revenue]]</f>
        <v>-1.7074235807860263</v>
      </c>
      <c r="J836">
        <f xml:space="preserve"> YEAR(sa_retail_sales[[#This Row],[Order Date]])</f>
        <v>2024</v>
      </c>
    </row>
    <row r="837" spans="1:10" x14ac:dyDescent="0.3">
      <c r="A837" s="1">
        <v>44907</v>
      </c>
      <c r="B837" t="s">
        <v>18</v>
      </c>
      <c r="C837" t="s">
        <v>9</v>
      </c>
      <c r="D837" t="s">
        <v>19</v>
      </c>
      <c r="E837">
        <v>1348</v>
      </c>
      <c r="F837">
        <v>7365</v>
      </c>
      <c r="G837">
        <v>5</v>
      </c>
      <c r="H837">
        <v>-6017</v>
      </c>
      <c r="I837" s="2">
        <f>sa_retail_sales[[#This Row],[Profit]] / sa_retail_sales[[#This Row],[Revenue]]</f>
        <v>-4.4636498516320477</v>
      </c>
      <c r="J837">
        <f xml:space="preserve"> YEAR(sa_retail_sales[[#This Row],[Order Date]])</f>
        <v>2022</v>
      </c>
    </row>
    <row r="838" spans="1:10" x14ac:dyDescent="0.3">
      <c r="A838" s="1">
        <v>44863</v>
      </c>
      <c r="B838" t="s">
        <v>11</v>
      </c>
      <c r="C838" t="s">
        <v>14</v>
      </c>
      <c r="D838" t="s">
        <v>12</v>
      </c>
      <c r="E838">
        <v>11248</v>
      </c>
      <c r="F838">
        <v>5216</v>
      </c>
      <c r="G838">
        <v>10</v>
      </c>
      <c r="H838">
        <v>6032</v>
      </c>
      <c r="I838" s="2">
        <f>sa_retail_sales[[#This Row],[Profit]] / sa_retail_sales[[#This Row],[Revenue]]</f>
        <v>0.5362731152204836</v>
      </c>
      <c r="J838">
        <f xml:space="preserve"> YEAR(sa_retail_sales[[#This Row],[Order Date]])</f>
        <v>2022</v>
      </c>
    </row>
    <row r="839" spans="1:10" x14ac:dyDescent="0.3">
      <c r="A839" s="1">
        <v>44924</v>
      </c>
      <c r="B839" t="s">
        <v>17</v>
      </c>
      <c r="C839" t="s">
        <v>14</v>
      </c>
      <c r="D839" t="s">
        <v>15</v>
      </c>
      <c r="E839">
        <v>14133</v>
      </c>
      <c r="F839">
        <v>7100</v>
      </c>
      <c r="G839">
        <v>15</v>
      </c>
      <c r="H839">
        <v>7033</v>
      </c>
      <c r="I839" s="2">
        <f>sa_retail_sales[[#This Row],[Profit]] / sa_retail_sales[[#This Row],[Revenue]]</f>
        <v>0.4976296610769122</v>
      </c>
      <c r="J839">
        <f xml:space="preserve"> YEAR(sa_retail_sales[[#This Row],[Order Date]])</f>
        <v>2022</v>
      </c>
    </row>
    <row r="840" spans="1:10" x14ac:dyDescent="0.3">
      <c r="A840" s="1">
        <v>44957</v>
      </c>
      <c r="B840" t="s">
        <v>8</v>
      </c>
      <c r="C840" t="s">
        <v>13</v>
      </c>
      <c r="D840" t="s">
        <v>12</v>
      </c>
      <c r="E840">
        <v>11014</v>
      </c>
      <c r="F840">
        <v>897</v>
      </c>
      <c r="G840">
        <v>0</v>
      </c>
      <c r="H840">
        <v>10117</v>
      </c>
      <c r="I840" s="2">
        <f>sa_retail_sales[[#This Row],[Profit]] / sa_retail_sales[[#This Row],[Revenue]]</f>
        <v>0.91855819865625565</v>
      </c>
      <c r="J840">
        <f xml:space="preserve"> YEAR(sa_retail_sales[[#This Row],[Order Date]])</f>
        <v>2023</v>
      </c>
    </row>
    <row r="841" spans="1:10" x14ac:dyDescent="0.3">
      <c r="A841" s="1">
        <v>44779</v>
      </c>
      <c r="B841" t="s">
        <v>11</v>
      </c>
      <c r="C841" t="s">
        <v>14</v>
      </c>
      <c r="D841" t="s">
        <v>10</v>
      </c>
      <c r="E841">
        <v>6854</v>
      </c>
      <c r="F841">
        <v>10024</v>
      </c>
      <c r="G841">
        <v>20</v>
      </c>
      <c r="H841">
        <v>-3170</v>
      </c>
      <c r="I841" s="2">
        <f>sa_retail_sales[[#This Row],[Profit]] / sa_retail_sales[[#This Row],[Revenue]]</f>
        <v>-0.46250364750510653</v>
      </c>
      <c r="J841">
        <f xml:space="preserve"> YEAR(sa_retail_sales[[#This Row],[Order Date]])</f>
        <v>2022</v>
      </c>
    </row>
    <row r="842" spans="1:10" x14ac:dyDescent="0.3">
      <c r="A842" s="1">
        <v>44702</v>
      </c>
      <c r="B842" t="s">
        <v>17</v>
      </c>
      <c r="C842" t="s">
        <v>14</v>
      </c>
      <c r="D842" t="s">
        <v>12</v>
      </c>
      <c r="E842">
        <v>9195</v>
      </c>
      <c r="F842">
        <v>7620</v>
      </c>
      <c r="G842">
        <v>10</v>
      </c>
      <c r="H842">
        <v>1575</v>
      </c>
      <c r="I842" s="2">
        <f>sa_retail_sales[[#This Row],[Profit]] / sa_retail_sales[[#This Row],[Revenue]]</f>
        <v>0.17128874388254486</v>
      </c>
      <c r="J842">
        <f xml:space="preserve"> YEAR(sa_retail_sales[[#This Row],[Order Date]])</f>
        <v>2022</v>
      </c>
    </row>
    <row r="843" spans="1:10" x14ac:dyDescent="0.3">
      <c r="A843" s="1">
        <v>45519</v>
      </c>
      <c r="B843" t="s">
        <v>18</v>
      </c>
      <c r="C843" t="s">
        <v>13</v>
      </c>
      <c r="D843" t="s">
        <v>15</v>
      </c>
      <c r="E843">
        <v>8570</v>
      </c>
      <c r="F843">
        <v>9005</v>
      </c>
      <c r="G843">
        <v>0</v>
      </c>
      <c r="H843">
        <v>-435</v>
      </c>
      <c r="I843" s="2">
        <f>sa_retail_sales[[#This Row],[Profit]] / sa_retail_sales[[#This Row],[Revenue]]</f>
        <v>-5.0758459743290546E-2</v>
      </c>
      <c r="J843">
        <f xml:space="preserve"> YEAR(sa_retail_sales[[#This Row],[Order Date]])</f>
        <v>2024</v>
      </c>
    </row>
    <row r="844" spans="1:10" x14ac:dyDescent="0.3">
      <c r="A844" s="1">
        <v>45546</v>
      </c>
      <c r="B844" t="s">
        <v>17</v>
      </c>
      <c r="C844" t="s">
        <v>13</v>
      </c>
      <c r="D844" t="s">
        <v>15</v>
      </c>
      <c r="E844">
        <v>11881</v>
      </c>
      <c r="F844">
        <v>5922</v>
      </c>
      <c r="G844">
        <v>15</v>
      </c>
      <c r="H844">
        <v>5959</v>
      </c>
      <c r="I844" s="2">
        <f>sa_retail_sales[[#This Row],[Profit]] / sa_retail_sales[[#This Row],[Revenue]]</f>
        <v>0.50155710798754316</v>
      </c>
      <c r="J844">
        <f xml:space="preserve"> YEAR(sa_retail_sales[[#This Row],[Order Date]])</f>
        <v>2024</v>
      </c>
    </row>
    <row r="845" spans="1:10" x14ac:dyDescent="0.3">
      <c r="A845" s="1">
        <v>45554</v>
      </c>
      <c r="B845" t="s">
        <v>17</v>
      </c>
      <c r="C845" t="s">
        <v>14</v>
      </c>
      <c r="D845" t="s">
        <v>15</v>
      </c>
      <c r="E845">
        <v>9394</v>
      </c>
      <c r="F845">
        <v>2177</v>
      </c>
      <c r="G845">
        <v>10</v>
      </c>
      <c r="H845">
        <v>7217</v>
      </c>
      <c r="I845" s="2">
        <f>sa_retail_sales[[#This Row],[Profit]] / sa_retail_sales[[#This Row],[Revenue]]</f>
        <v>0.76825633383010428</v>
      </c>
      <c r="J845">
        <f xml:space="preserve"> YEAR(sa_retail_sales[[#This Row],[Order Date]])</f>
        <v>2024</v>
      </c>
    </row>
    <row r="846" spans="1:10" x14ac:dyDescent="0.3">
      <c r="A846" s="1">
        <v>45389</v>
      </c>
      <c r="B846" t="s">
        <v>18</v>
      </c>
      <c r="C846" t="s">
        <v>9</v>
      </c>
      <c r="D846" t="s">
        <v>12</v>
      </c>
      <c r="E846">
        <v>4125</v>
      </c>
      <c r="F846">
        <v>1999</v>
      </c>
      <c r="G846">
        <v>0</v>
      </c>
      <c r="H846">
        <v>2126</v>
      </c>
      <c r="I846" s="2">
        <f>sa_retail_sales[[#This Row],[Profit]] / sa_retail_sales[[#This Row],[Revenue]]</f>
        <v>0.5153939393939394</v>
      </c>
      <c r="J846">
        <f xml:space="preserve"> YEAR(sa_retail_sales[[#This Row],[Order Date]])</f>
        <v>2024</v>
      </c>
    </row>
    <row r="847" spans="1:10" x14ac:dyDescent="0.3">
      <c r="A847" s="1">
        <v>45244</v>
      </c>
      <c r="B847" t="s">
        <v>18</v>
      </c>
      <c r="C847" t="s">
        <v>16</v>
      </c>
      <c r="D847" t="s">
        <v>10</v>
      </c>
      <c r="E847">
        <v>14877</v>
      </c>
      <c r="F847">
        <v>9521</v>
      </c>
      <c r="G847">
        <v>10</v>
      </c>
      <c r="H847">
        <v>5356</v>
      </c>
      <c r="I847" s="2">
        <f>sa_retail_sales[[#This Row],[Profit]] / sa_retail_sales[[#This Row],[Revenue]]</f>
        <v>0.36001882099885729</v>
      </c>
      <c r="J847">
        <f xml:space="preserve"> YEAR(sa_retail_sales[[#This Row],[Order Date]])</f>
        <v>2023</v>
      </c>
    </row>
    <row r="848" spans="1:10" x14ac:dyDescent="0.3">
      <c r="A848" s="1">
        <v>45565</v>
      </c>
      <c r="B848" t="s">
        <v>18</v>
      </c>
      <c r="C848" t="s">
        <v>14</v>
      </c>
      <c r="D848" t="s">
        <v>19</v>
      </c>
      <c r="E848">
        <v>814</v>
      </c>
      <c r="F848">
        <v>6080</v>
      </c>
      <c r="G848">
        <v>0</v>
      </c>
      <c r="H848">
        <v>-5266</v>
      </c>
      <c r="I848" s="2">
        <f>sa_retail_sales[[#This Row],[Profit]] / sa_retail_sales[[#This Row],[Revenue]]</f>
        <v>-6.4692874692874689</v>
      </c>
      <c r="J848">
        <f xml:space="preserve"> YEAR(sa_retail_sales[[#This Row],[Order Date]])</f>
        <v>2024</v>
      </c>
    </row>
    <row r="849" spans="1:10" x14ac:dyDescent="0.3">
      <c r="A849" s="1">
        <v>44917</v>
      </c>
      <c r="B849" t="s">
        <v>8</v>
      </c>
      <c r="C849" t="s">
        <v>14</v>
      </c>
      <c r="D849" t="s">
        <v>10</v>
      </c>
      <c r="E849">
        <v>2876</v>
      </c>
      <c r="F849">
        <v>1016</v>
      </c>
      <c r="G849">
        <v>0</v>
      </c>
      <c r="H849">
        <v>1860</v>
      </c>
      <c r="I849" s="2">
        <f>sa_retail_sales[[#This Row],[Profit]] / sa_retail_sales[[#This Row],[Revenue]]</f>
        <v>0.64673157162726014</v>
      </c>
      <c r="J849">
        <f xml:space="preserve"> YEAR(sa_retail_sales[[#This Row],[Order Date]])</f>
        <v>2022</v>
      </c>
    </row>
    <row r="850" spans="1:10" x14ac:dyDescent="0.3">
      <c r="A850" s="1">
        <v>45569</v>
      </c>
      <c r="B850" t="s">
        <v>18</v>
      </c>
      <c r="C850" t="s">
        <v>9</v>
      </c>
      <c r="D850" t="s">
        <v>12</v>
      </c>
      <c r="E850">
        <v>9732</v>
      </c>
      <c r="F850">
        <v>4386</v>
      </c>
      <c r="G850">
        <v>15</v>
      </c>
      <c r="H850">
        <v>5346</v>
      </c>
      <c r="I850" s="2">
        <f>sa_retail_sales[[#This Row],[Profit]] / sa_retail_sales[[#This Row],[Revenue]]</f>
        <v>0.54932182490752157</v>
      </c>
      <c r="J850">
        <f xml:space="preserve"> YEAR(sa_retail_sales[[#This Row],[Order Date]])</f>
        <v>2024</v>
      </c>
    </row>
    <row r="851" spans="1:10" x14ac:dyDescent="0.3">
      <c r="A851" s="1">
        <v>45449</v>
      </c>
      <c r="B851" t="s">
        <v>8</v>
      </c>
      <c r="C851" t="s">
        <v>14</v>
      </c>
      <c r="D851" t="s">
        <v>12</v>
      </c>
      <c r="E851">
        <v>4878</v>
      </c>
      <c r="F851">
        <v>965</v>
      </c>
      <c r="G851">
        <v>20</v>
      </c>
      <c r="H851">
        <v>3913</v>
      </c>
      <c r="I851" s="2">
        <f>sa_retail_sales[[#This Row],[Profit]] / sa_retail_sales[[#This Row],[Revenue]]</f>
        <v>0.80217302173021732</v>
      </c>
      <c r="J851">
        <f xml:space="preserve"> YEAR(sa_retail_sales[[#This Row],[Order Date]])</f>
        <v>2024</v>
      </c>
    </row>
    <row r="852" spans="1:10" x14ac:dyDescent="0.3">
      <c r="A852" s="1">
        <v>44688</v>
      </c>
      <c r="B852" t="s">
        <v>18</v>
      </c>
      <c r="C852" t="s">
        <v>14</v>
      </c>
      <c r="D852" t="s">
        <v>19</v>
      </c>
      <c r="E852">
        <v>11682</v>
      </c>
      <c r="F852">
        <v>8146</v>
      </c>
      <c r="G852">
        <v>15</v>
      </c>
      <c r="H852">
        <v>3536</v>
      </c>
      <c r="I852" s="2">
        <f>sa_retail_sales[[#This Row],[Profit]] / sa_retail_sales[[#This Row],[Revenue]]</f>
        <v>0.30268789590823492</v>
      </c>
      <c r="J852">
        <f xml:space="preserve"> YEAR(sa_retail_sales[[#This Row],[Order Date]])</f>
        <v>2022</v>
      </c>
    </row>
    <row r="853" spans="1:10" x14ac:dyDescent="0.3">
      <c r="A853" s="1">
        <v>45570</v>
      </c>
      <c r="B853" t="s">
        <v>8</v>
      </c>
      <c r="C853" t="s">
        <v>16</v>
      </c>
      <c r="D853" t="s">
        <v>12</v>
      </c>
      <c r="E853">
        <v>8949</v>
      </c>
      <c r="F853">
        <v>6911</v>
      </c>
      <c r="G853">
        <v>0</v>
      </c>
      <c r="H853">
        <v>2038</v>
      </c>
      <c r="I853" s="2">
        <f>sa_retail_sales[[#This Row],[Profit]] / sa_retail_sales[[#This Row],[Revenue]]</f>
        <v>0.22773494245167059</v>
      </c>
      <c r="J853">
        <f xml:space="preserve"> YEAR(sa_retail_sales[[#This Row],[Order Date]])</f>
        <v>2024</v>
      </c>
    </row>
    <row r="854" spans="1:10" x14ac:dyDescent="0.3">
      <c r="A854" s="1">
        <v>45165</v>
      </c>
      <c r="B854" t="s">
        <v>17</v>
      </c>
      <c r="C854" t="s">
        <v>16</v>
      </c>
      <c r="D854" t="s">
        <v>15</v>
      </c>
      <c r="E854">
        <v>1074</v>
      </c>
      <c r="F854">
        <v>10700</v>
      </c>
      <c r="G854">
        <v>10</v>
      </c>
      <c r="H854">
        <v>-9626</v>
      </c>
      <c r="I854" s="2">
        <f>sa_retail_sales[[#This Row],[Profit]] / sa_retail_sales[[#This Row],[Revenue]]</f>
        <v>-8.9627560521415273</v>
      </c>
      <c r="J854">
        <f xml:space="preserve"> YEAR(sa_retail_sales[[#This Row],[Order Date]])</f>
        <v>2023</v>
      </c>
    </row>
    <row r="855" spans="1:10" x14ac:dyDescent="0.3">
      <c r="A855" s="1">
        <v>45575</v>
      </c>
      <c r="B855" t="s">
        <v>11</v>
      </c>
      <c r="C855" t="s">
        <v>16</v>
      </c>
      <c r="D855" t="s">
        <v>15</v>
      </c>
      <c r="E855">
        <v>13361</v>
      </c>
      <c r="F855">
        <v>1379</v>
      </c>
      <c r="G855">
        <v>15</v>
      </c>
      <c r="H855">
        <v>11982</v>
      </c>
      <c r="I855" s="2">
        <f>sa_retail_sales[[#This Row],[Profit]] / sa_retail_sales[[#This Row],[Revenue]]</f>
        <v>0.89678916248783769</v>
      </c>
      <c r="J855">
        <f xml:space="preserve"> YEAR(sa_retail_sales[[#This Row],[Order Date]])</f>
        <v>2024</v>
      </c>
    </row>
    <row r="856" spans="1:10" x14ac:dyDescent="0.3">
      <c r="A856" s="1">
        <v>44612</v>
      </c>
      <c r="B856" t="s">
        <v>17</v>
      </c>
      <c r="C856" t="s">
        <v>13</v>
      </c>
      <c r="D856" t="s">
        <v>15</v>
      </c>
      <c r="E856">
        <v>13830</v>
      </c>
      <c r="F856">
        <v>8719</v>
      </c>
      <c r="G856">
        <v>20</v>
      </c>
      <c r="H856">
        <v>5111</v>
      </c>
      <c r="I856" s="2">
        <f>sa_retail_sales[[#This Row],[Profit]] / sa_retail_sales[[#This Row],[Revenue]]</f>
        <v>0.36955892986261751</v>
      </c>
      <c r="J856">
        <f xml:space="preserve"> YEAR(sa_retail_sales[[#This Row],[Order Date]])</f>
        <v>2022</v>
      </c>
    </row>
    <row r="857" spans="1:10" x14ac:dyDescent="0.3">
      <c r="A857" s="1">
        <v>45614</v>
      </c>
      <c r="B857" t="s">
        <v>17</v>
      </c>
      <c r="C857" t="s">
        <v>13</v>
      </c>
      <c r="D857" t="s">
        <v>15</v>
      </c>
      <c r="E857">
        <v>10244</v>
      </c>
      <c r="F857">
        <v>8640</v>
      </c>
      <c r="G857">
        <v>0</v>
      </c>
      <c r="H857">
        <v>1604</v>
      </c>
      <c r="I857" s="2">
        <f>sa_retail_sales[[#This Row],[Profit]] / sa_retail_sales[[#This Row],[Revenue]]</f>
        <v>0.15657946114798907</v>
      </c>
      <c r="J857">
        <f xml:space="preserve"> YEAR(sa_retail_sales[[#This Row],[Order Date]])</f>
        <v>2024</v>
      </c>
    </row>
    <row r="858" spans="1:10" x14ac:dyDescent="0.3">
      <c r="A858" s="1">
        <v>45340</v>
      </c>
      <c r="B858" t="s">
        <v>18</v>
      </c>
      <c r="C858" t="s">
        <v>16</v>
      </c>
      <c r="D858" t="s">
        <v>15</v>
      </c>
      <c r="E858">
        <v>13210</v>
      </c>
      <c r="F858">
        <v>1369</v>
      </c>
      <c r="G858">
        <v>15</v>
      </c>
      <c r="H858">
        <v>11841</v>
      </c>
      <c r="I858" s="2">
        <f>sa_retail_sales[[#This Row],[Profit]] / sa_retail_sales[[#This Row],[Revenue]]</f>
        <v>0.89636638909916733</v>
      </c>
      <c r="J858">
        <f xml:space="preserve"> YEAR(sa_retail_sales[[#This Row],[Order Date]])</f>
        <v>2024</v>
      </c>
    </row>
    <row r="859" spans="1:10" x14ac:dyDescent="0.3">
      <c r="A859" s="1">
        <v>45375</v>
      </c>
      <c r="B859" t="s">
        <v>8</v>
      </c>
      <c r="C859" t="s">
        <v>16</v>
      </c>
      <c r="D859" t="s">
        <v>12</v>
      </c>
      <c r="E859">
        <v>6085</v>
      </c>
      <c r="F859">
        <v>5563</v>
      </c>
      <c r="G859">
        <v>15</v>
      </c>
      <c r="H859">
        <v>522</v>
      </c>
      <c r="I859" s="2">
        <f>sa_retail_sales[[#This Row],[Profit]] / sa_retail_sales[[#This Row],[Revenue]]</f>
        <v>8.5784716516023013E-2</v>
      </c>
      <c r="J859">
        <f xml:space="preserve"> YEAR(sa_retail_sales[[#This Row],[Order Date]])</f>
        <v>2024</v>
      </c>
    </row>
    <row r="860" spans="1:10" x14ac:dyDescent="0.3">
      <c r="A860" s="1">
        <v>44981</v>
      </c>
      <c r="B860" t="s">
        <v>11</v>
      </c>
      <c r="C860" t="s">
        <v>13</v>
      </c>
      <c r="D860" t="s">
        <v>19</v>
      </c>
      <c r="E860">
        <v>5992</v>
      </c>
      <c r="F860">
        <v>8251</v>
      </c>
      <c r="G860">
        <v>15</v>
      </c>
      <c r="H860">
        <v>-2259</v>
      </c>
      <c r="I860" s="2">
        <f>sa_retail_sales[[#This Row],[Profit]] / sa_retail_sales[[#This Row],[Revenue]]</f>
        <v>-0.37700267022696932</v>
      </c>
      <c r="J860">
        <f xml:space="preserve"> YEAR(sa_retail_sales[[#This Row],[Order Date]])</f>
        <v>2023</v>
      </c>
    </row>
    <row r="861" spans="1:10" x14ac:dyDescent="0.3">
      <c r="A861" s="1">
        <v>45544</v>
      </c>
      <c r="B861" t="s">
        <v>18</v>
      </c>
      <c r="C861" t="s">
        <v>9</v>
      </c>
      <c r="D861" t="s">
        <v>19</v>
      </c>
      <c r="E861">
        <v>9449</v>
      </c>
      <c r="F861">
        <v>1663</v>
      </c>
      <c r="G861">
        <v>15</v>
      </c>
      <c r="H861">
        <v>7786</v>
      </c>
      <c r="I861" s="2">
        <f>sa_retail_sales[[#This Row],[Profit]] / sa_retail_sales[[#This Row],[Revenue]]</f>
        <v>0.82400253995131756</v>
      </c>
      <c r="J861">
        <f xml:space="preserve"> YEAR(sa_retail_sales[[#This Row],[Order Date]])</f>
        <v>2024</v>
      </c>
    </row>
    <row r="862" spans="1:10" x14ac:dyDescent="0.3">
      <c r="A862" s="1">
        <v>45386</v>
      </c>
      <c r="B862" t="s">
        <v>18</v>
      </c>
      <c r="C862" t="s">
        <v>14</v>
      </c>
      <c r="D862" t="s">
        <v>15</v>
      </c>
      <c r="E862">
        <v>3310</v>
      </c>
      <c r="F862">
        <v>4808</v>
      </c>
      <c r="G862">
        <v>10</v>
      </c>
      <c r="H862">
        <v>-1498</v>
      </c>
      <c r="I862" s="2">
        <f>sa_retail_sales[[#This Row],[Profit]] / sa_retail_sales[[#This Row],[Revenue]]</f>
        <v>-0.45256797583081571</v>
      </c>
      <c r="J862">
        <f xml:space="preserve"> YEAR(sa_retail_sales[[#This Row],[Order Date]])</f>
        <v>2024</v>
      </c>
    </row>
    <row r="863" spans="1:10" x14ac:dyDescent="0.3">
      <c r="A863" s="1">
        <v>45586</v>
      </c>
      <c r="B863" t="s">
        <v>18</v>
      </c>
      <c r="C863" t="s">
        <v>14</v>
      </c>
      <c r="D863" t="s">
        <v>12</v>
      </c>
      <c r="E863">
        <v>8634</v>
      </c>
      <c r="F863">
        <v>2055</v>
      </c>
      <c r="G863">
        <v>20</v>
      </c>
      <c r="H863">
        <v>6579</v>
      </c>
      <c r="I863" s="2">
        <f>sa_retail_sales[[#This Row],[Profit]] / sa_retail_sales[[#This Row],[Revenue]]</f>
        <v>0.76198749131341215</v>
      </c>
      <c r="J863">
        <f xml:space="preserve"> YEAR(sa_retail_sales[[#This Row],[Order Date]])</f>
        <v>2024</v>
      </c>
    </row>
    <row r="864" spans="1:10" x14ac:dyDescent="0.3">
      <c r="A864" s="1">
        <v>45128</v>
      </c>
      <c r="B864" t="s">
        <v>17</v>
      </c>
      <c r="C864" t="s">
        <v>16</v>
      </c>
      <c r="D864" t="s">
        <v>10</v>
      </c>
      <c r="E864">
        <v>9796</v>
      </c>
      <c r="F864">
        <v>819</v>
      </c>
      <c r="G864">
        <v>20</v>
      </c>
      <c r="H864">
        <v>8977</v>
      </c>
      <c r="I864" s="2">
        <f>sa_retail_sales[[#This Row],[Profit]] / sa_retail_sales[[#This Row],[Revenue]]</f>
        <v>0.91639444671294401</v>
      </c>
      <c r="J864">
        <f xml:space="preserve"> YEAR(sa_retail_sales[[#This Row],[Order Date]])</f>
        <v>2023</v>
      </c>
    </row>
    <row r="865" spans="1:10" x14ac:dyDescent="0.3">
      <c r="A865" s="1">
        <v>44932</v>
      </c>
      <c r="B865" t="s">
        <v>8</v>
      </c>
      <c r="C865" t="s">
        <v>9</v>
      </c>
      <c r="D865" t="s">
        <v>10</v>
      </c>
      <c r="E865">
        <v>6170</v>
      </c>
      <c r="F865">
        <v>5763</v>
      </c>
      <c r="G865">
        <v>0</v>
      </c>
      <c r="H865">
        <v>407</v>
      </c>
      <c r="I865" s="2">
        <f>sa_retail_sales[[#This Row],[Profit]] / sa_retail_sales[[#This Row],[Revenue]]</f>
        <v>6.59643435980551E-2</v>
      </c>
      <c r="J865">
        <f xml:space="preserve"> YEAR(sa_retail_sales[[#This Row],[Order Date]])</f>
        <v>2023</v>
      </c>
    </row>
    <row r="866" spans="1:10" x14ac:dyDescent="0.3">
      <c r="A866" s="1">
        <v>45497</v>
      </c>
      <c r="B866" t="s">
        <v>8</v>
      </c>
      <c r="C866" t="s">
        <v>13</v>
      </c>
      <c r="D866" t="s">
        <v>12</v>
      </c>
      <c r="E866">
        <v>8215</v>
      </c>
      <c r="F866">
        <v>10814</v>
      </c>
      <c r="G866">
        <v>5</v>
      </c>
      <c r="H866">
        <v>-2599</v>
      </c>
      <c r="I866" s="2">
        <f>sa_retail_sales[[#This Row],[Profit]] / sa_retail_sales[[#This Row],[Revenue]]</f>
        <v>-0.31637248934875228</v>
      </c>
      <c r="J866">
        <f xml:space="preserve"> YEAR(sa_retail_sales[[#This Row],[Order Date]])</f>
        <v>2024</v>
      </c>
    </row>
    <row r="867" spans="1:10" x14ac:dyDescent="0.3">
      <c r="A867" s="1">
        <v>45222</v>
      </c>
      <c r="B867" t="s">
        <v>11</v>
      </c>
      <c r="C867" t="s">
        <v>16</v>
      </c>
      <c r="D867" t="s">
        <v>15</v>
      </c>
      <c r="E867">
        <v>7067</v>
      </c>
      <c r="F867">
        <v>7533</v>
      </c>
      <c r="G867">
        <v>10</v>
      </c>
      <c r="H867">
        <v>-466</v>
      </c>
      <c r="I867" s="2">
        <f>sa_retail_sales[[#This Row],[Profit]] / sa_retail_sales[[#This Row],[Revenue]]</f>
        <v>-6.5940285835573792E-2</v>
      </c>
      <c r="J867">
        <f xml:space="preserve"> YEAR(sa_retail_sales[[#This Row],[Order Date]])</f>
        <v>2023</v>
      </c>
    </row>
    <row r="868" spans="1:10" x14ac:dyDescent="0.3">
      <c r="A868" s="1">
        <v>45530</v>
      </c>
      <c r="B868" t="s">
        <v>8</v>
      </c>
      <c r="C868" t="s">
        <v>9</v>
      </c>
      <c r="D868" t="s">
        <v>19</v>
      </c>
      <c r="E868">
        <v>13216</v>
      </c>
      <c r="F868">
        <v>1402</v>
      </c>
      <c r="G868">
        <v>0</v>
      </c>
      <c r="H868">
        <v>11814</v>
      </c>
      <c r="I868" s="2">
        <f>sa_retail_sales[[#This Row],[Profit]] / sa_retail_sales[[#This Row],[Revenue]]</f>
        <v>0.89391646489104115</v>
      </c>
      <c r="J868">
        <f xml:space="preserve"> YEAR(sa_retail_sales[[#This Row],[Order Date]])</f>
        <v>2024</v>
      </c>
    </row>
    <row r="869" spans="1:10" x14ac:dyDescent="0.3">
      <c r="A869" s="1">
        <v>44763</v>
      </c>
      <c r="B869" t="s">
        <v>8</v>
      </c>
      <c r="C869" t="s">
        <v>9</v>
      </c>
      <c r="D869" t="s">
        <v>12</v>
      </c>
      <c r="E869">
        <v>3959</v>
      </c>
      <c r="F869">
        <v>897</v>
      </c>
      <c r="G869">
        <v>0</v>
      </c>
      <c r="H869">
        <v>3062</v>
      </c>
      <c r="I869" s="2">
        <f>sa_retail_sales[[#This Row],[Profit]] / sa_retail_sales[[#This Row],[Revenue]]</f>
        <v>0.77342763324071739</v>
      </c>
      <c r="J869">
        <f xml:space="preserve"> YEAR(sa_retail_sales[[#This Row],[Order Date]])</f>
        <v>2022</v>
      </c>
    </row>
    <row r="870" spans="1:10" x14ac:dyDescent="0.3">
      <c r="A870" s="1">
        <v>44874</v>
      </c>
      <c r="B870" t="s">
        <v>18</v>
      </c>
      <c r="C870" t="s">
        <v>9</v>
      </c>
      <c r="D870" t="s">
        <v>10</v>
      </c>
      <c r="E870">
        <v>6617</v>
      </c>
      <c r="F870">
        <v>3573</v>
      </c>
      <c r="G870">
        <v>15</v>
      </c>
      <c r="H870">
        <v>3044</v>
      </c>
      <c r="I870" s="2">
        <f>sa_retail_sales[[#This Row],[Profit]] / sa_retail_sales[[#This Row],[Revenue]]</f>
        <v>0.46002720265981561</v>
      </c>
      <c r="J870">
        <f xml:space="preserve"> YEAR(sa_retail_sales[[#This Row],[Order Date]])</f>
        <v>2022</v>
      </c>
    </row>
    <row r="871" spans="1:10" x14ac:dyDescent="0.3">
      <c r="A871" s="1">
        <v>44678</v>
      </c>
      <c r="B871" t="s">
        <v>18</v>
      </c>
      <c r="C871" t="s">
        <v>13</v>
      </c>
      <c r="D871" t="s">
        <v>10</v>
      </c>
      <c r="E871">
        <v>4492</v>
      </c>
      <c r="F871">
        <v>6081</v>
      </c>
      <c r="G871">
        <v>5</v>
      </c>
      <c r="H871">
        <v>-1589</v>
      </c>
      <c r="I871" s="2">
        <f>sa_retail_sales[[#This Row],[Profit]] / sa_retail_sales[[#This Row],[Revenue]]</f>
        <v>-0.35373998219056102</v>
      </c>
      <c r="J871">
        <f xml:space="preserve"> YEAR(sa_retail_sales[[#This Row],[Order Date]])</f>
        <v>2022</v>
      </c>
    </row>
    <row r="872" spans="1:10" x14ac:dyDescent="0.3">
      <c r="A872" s="1">
        <v>45498</v>
      </c>
      <c r="B872" t="s">
        <v>17</v>
      </c>
      <c r="C872" t="s">
        <v>13</v>
      </c>
      <c r="D872" t="s">
        <v>10</v>
      </c>
      <c r="E872">
        <v>8337</v>
      </c>
      <c r="F872">
        <v>11097</v>
      </c>
      <c r="G872">
        <v>5</v>
      </c>
      <c r="H872">
        <v>-2760</v>
      </c>
      <c r="I872" s="2">
        <f>sa_retail_sales[[#This Row],[Profit]] / sa_retail_sales[[#This Row],[Revenue]]</f>
        <v>-0.33105433609211948</v>
      </c>
      <c r="J872">
        <f xml:space="preserve"> YEAR(sa_retail_sales[[#This Row],[Order Date]])</f>
        <v>2024</v>
      </c>
    </row>
    <row r="873" spans="1:10" x14ac:dyDescent="0.3">
      <c r="A873" s="1">
        <v>45136</v>
      </c>
      <c r="B873" t="s">
        <v>18</v>
      </c>
      <c r="C873" t="s">
        <v>14</v>
      </c>
      <c r="D873" t="s">
        <v>15</v>
      </c>
      <c r="E873">
        <v>703</v>
      </c>
      <c r="F873">
        <v>6556</v>
      </c>
      <c r="G873">
        <v>10</v>
      </c>
      <c r="H873">
        <v>-5853</v>
      </c>
      <c r="I873" s="2">
        <f>sa_retail_sales[[#This Row],[Profit]] / sa_retail_sales[[#This Row],[Revenue]]</f>
        <v>-8.3257467994310108</v>
      </c>
      <c r="J873">
        <f xml:space="preserve"> YEAR(sa_retail_sales[[#This Row],[Order Date]])</f>
        <v>2023</v>
      </c>
    </row>
    <row r="874" spans="1:10" x14ac:dyDescent="0.3">
      <c r="A874" s="1">
        <v>44805</v>
      </c>
      <c r="B874" t="s">
        <v>18</v>
      </c>
      <c r="C874" t="s">
        <v>14</v>
      </c>
      <c r="D874" t="s">
        <v>10</v>
      </c>
      <c r="E874">
        <v>3275</v>
      </c>
      <c r="F874">
        <v>7558</v>
      </c>
      <c r="G874">
        <v>5</v>
      </c>
      <c r="H874">
        <v>-4283</v>
      </c>
      <c r="I874" s="2">
        <f>sa_retail_sales[[#This Row],[Profit]] / sa_retail_sales[[#This Row],[Revenue]]</f>
        <v>-1.3077862595419847</v>
      </c>
      <c r="J874">
        <f xml:space="preserve"> YEAR(sa_retail_sales[[#This Row],[Order Date]])</f>
        <v>2022</v>
      </c>
    </row>
    <row r="875" spans="1:10" x14ac:dyDescent="0.3">
      <c r="A875" s="1">
        <v>45098</v>
      </c>
      <c r="B875" t="s">
        <v>18</v>
      </c>
      <c r="C875" t="s">
        <v>9</v>
      </c>
      <c r="D875" t="s">
        <v>12</v>
      </c>
      <c r="E875">
        <v>11024</v>
      </c>
      <c r="F875">
        <v>10680</v>
      </c>
      <c r="G875">
        <v>0</v>
      </c>
      <c r="H875">
        <v>344</v>
      </c>
      <c r="I875" s="2">
        <f>sa_retail_sales[[#This Row],[Profit]] / sa_retail_sales[[#This Row],[Revenue]]</f>
        <v>3.1204644412191583E-2</v>
      </c>
      <c r="J875">
        <f xml:space="preserve"> YEAR(sa_retail_sales[[#This Row],[Order Date]])</f>
        <v>2023</v>
      </c>
    </row>
    <row r="876" spans="1:10" x14ac:dyDescent="0.3">
      <c r="A876" s="1">
        <v>44636</v>
      </c>
      <c r="B876" t="s">
        <v>18</v>
      </c>
      <c r="C876" t="s">
        <v>9</v>
      </c>
      <c r="D876" t="s">
        <v>12</v>
      </c>
      <c r="E876">
        <v>2492</v>
      </c>
      <c r="F876">
        <v>9080</v>
      </c>
      <c r="G876">
        <v>5</v>
      </c>
      <c r="H876">
        <v>-6588</v>
      </c>
      <c r="I876" s="2">
        <f>sa_retail_sales[[#This Row],[Profit]] / sa_retail_sales[[#This Row],[Revenue]]</f>
        <v>-2.6436597110754416</v>
      </c>
      <c r="J876">
        <f xml:space="preserve"> YEAR(sa_retail_sales[[#This Row],[Order Date]])</f>
        <v>2022</v>
      </c>
    </row>
    <row r="877" spans="1:10" x14ac:dyDescent="0.3">
      <c r="A877" s="1">
        <v>44947</v>
      </c>
      <c r="B877" t="s">
        <v>17</v>
      </c>
      <c r="C877" t="s">
        <v>13</v>
      </c>
      <c r="D877" t="s">
        <v>10</v>
      </c>
      <c r="E877">
        <v>2743</v>
      </c>
      <c r="F877">
        <v>6854</v>
      </c>
      <c r="G877">
        <v>5</v>
      </c>
      <c r="H877">
        <v>-4111</v>
      </c>
      <c r="I877" s="2">
        <f>sa_retail_sales[[#This Row],[Profit]] / sa_retail_sales[[#This Row],[Revenue]]</f>
        <v>-1.4987240247903755</v>
      </c>
      <c r="J877">
        <f xml:space="preserve"> YEAR(sa_retail_sales[[#This Row],[Order Date]])</f>
        <v>2023</v>
      </c>
    </row>
    <row r="878" spans="1:10" x14ac:dyDescent="0.3">
      <c r="A878" s="1">
        <v>45036</v>
      </c>
      <c r="B878" t="s">
        <v>18</v>
      </c>
      <c r="C878" t="s">
        <v>14</v>
      </c>
      <c r="D878" t="s">
        <v>12</v>
      </c>
      <c r="E878">
        <v>8998</v>
      </c>
      <c r="F878">
        <v>9899</v>
      </c>
      <c r="G878">
        <v>20</v>
      </c>
      <c r="H878">
        <v>-901</v>
      </c>
      <c r="I878" s="2">
        <f>sa_retail_sales[[#This Row],[Profit]] / sa_retail_sales[[#This Row],[Revenue]]</f>
        <v>-0.10013336296954879</v>
      </c>
      <c r="J878">
        <f xml:space="preserve"> YEAR(sa_retail_sales[[#This Row],[Order Date]])</f>
        <v>2023</v>
      </c>
    </row>
    <row r="879" spans="1:10" x14ac:dyDescent="0.3">
      <c r="A879" s="1">
        <v>44979</v>
      </c>
      <c r="B879" t="s">
        <v>11</v>
      </c>
      <c r="C879" t="s">
        <v>9</v>
      </c>
      <c r="D879" t="s">
        <v>10</v>
      </c>
      <c r="E879">
        <v>2187</v>
      </c>
      <c r="F879">
        <v>8302</v>
      </c>
      <c r="G879">
        <v>0</v>
      </c>
      <c r="H879">
        <v>-6115</v>
      </c>
      <c r="I879" s="2">
        <f>sa_retail_sales[[#This Row],[Profit]] / sa_retail_sales[[#This Row],[Revenue]]</f>
        <v>-2.7960676726108824</v>
      </c>
      <c r="J879">
        <f xml:space="preserve"> YEAR(sa_retail_sales[[#This Row],[Order Date]])</f>
        <v>2023</v>
      </c>
    </row>
    <row r="880" spans="1:10" x14ac:dyDescent="0.3">
      <c r="A880" s="1">
        <v>44908</v>
      </c>
      <c r="B880" t="s">
        <v>11</v>
      </c>
      <c r="C880" t="s">
        <v>14</v>
      </c>
      <c r="D880" t="s">
        <v>10</v>
      </c>
      <c r="E880">
        <v>4609</v>
      </c>
      <c r="F880">
        <v>5146</v>
      </c>
      <c r="G880">
        <v>5</v>
      </c>
      <c r="H880">
        <v>-537</v>
      </c>
      <c r="I880" s="2">
        <f>sa_retail_sales[[#This Row],[Profit]] / sa_retail_sales[[#This Row],[Revenue]]</f>
        <v>-0.11651117379041007</v>
      </c>
      <c r="J880">
        <f xml:space="preserve"> YEAR(sa_retail_sales[[#This Row],[Order Date]])</f>
        <v>2022</v>
      </c>
    </row>
    <row r="881" spans="1:10" x14ac:dyDescent="0.3">
      <c r="A881" s="1">
        <v>45201</v>
      </c>
      <c r="B881" t="s">
        <v>11</v>
      </c>
      <c r="C881" t="s">
        <v>14</v>
      </c>
      <c r="D881" t="s">
        <v>19</v>
      </c>
      <c r="E881">
        <v>2360</v>
      </c>
      <c r="F881">
        <v>11882</v>
      </c>
      <c r="G881">
        <v>5</v>
      </c>
      <c r="H881">
        <v>-9522</v>
      </c>
      <c r="I881" s="2">
        <f>sa_retail_sales[[#This Row],[Profit]] / sa_retail_sales[[#This Row],[Revenue]]</f>
        <v>-4.0347457627118644</v>
      </c>
      <c r="J881">
        <f xml:space="preserve"> YEAR(sa_retail_sales[[#This Row],[Order Date]])</f>
        <v>2023</v>
      </c>
    </row>
    <row r="882" spans="1:10" x14ac:dyDescent="0.3">
      <c r="A882" s="1">
        <v>45500</v>
      </c>
      <c r="B882" t="s">
        <v>11</v>
      </c>
      <c r="C882" t="s">
        <v>9</v>
      </c>
      <c r="D882" t="s">
        <v>15</v>
      </c>
      <c r="E882">
        <v>10653</v>
      </c>
      <c r="F882">
        <v>11932</v>
      </c>
      <c r="G882">
        <v>15</v>
      </c>
      <c r="H882">
        <v>-1279</v>
      </c>
      <c r="I882" s="2">
        <f>sa_retail_sales[[#This Row],[Profit]] / sa_retail_sales[[#This Row],[Revenue]]</f>
        <v>-0.12006007697362245</v>
      </c>
      <c r="J882">
        <f xml:space="preserve"> YEAR(sa_retail_sales[[#This Row],[Order Date]])</f>
        <v>2024</v>
      </c>
    </row>
    <row r="883" spans="1:10" x14ac:dyDescent="0.3">
      <c r="A883" s="1">
        <v>45516</v>
      </c>
      <c r="B883" t="s">
        <v>18</v>
      </c>
      <c r="C883" t="s">
        <v>13</v>
      </c>
      <c r="D883" t="s">
        <v>15</v>
      </c>
      <c r="E883">
        <v>5676</v>
      </c>
      <c r="F883">
        <v>10121</v>
      </c>
      <c r="G883">
        <v>5</v>
      </c>
      <c r="H883">
        <v>-4445</v>
      </c>
      <c r="I883" s="2">
        <f>sa_retail_sales[[#This Row],[Profit]] / sa_retail_sales[[#This Row],[Revenue]]</f>
        <v>-0.78312191684284704</v>
      </c>
      <c r="J883">
        <f xml:space="preserve"> YEAR(sa_retail_sales[[#This Row],[Order Date]])</f>
        <v>2024</v>
      </c>
    </row>
    <row r="884" spans="1:10" x14ac:dyDescent="0.3">
      <c r="A884" s="1">
        <v>45437</v>
      </c>
      <c r="B884" t="s">
        <v>11</v>
      </c>
      <c r="C884" t="s">
        <v>9</v>
      </c>
      <c r="D884" t="s">
        <v>19</v>
      </c>
      <c r="E884">
        <v>1222</v>
      </c>
      <c r="F884">
        <v>9486</v>
      </c>
      <c r="G884">
        <v>5</v>
      </c>
      <c r="H884">
        <v>-8264</v>
      </c>
      <c r="I884" s="2">
        <f>sa_retail_sales[[#This Row],[Profit]] / sa_retail_sales[[#This Row],[Revenue]]</f>
        <v>-6.7626841243862517</v>
      </c>
      <c r="J884">
        <f xml:space="preserve"> YEAR(sa_retail_sales[[#This Row],[Order Date]])</f>
        <v>2024</v>
      </c>
    </row>
    <row r="885" spans="1:10" x14ac:dyDescent="0.3">
      <c r="A885" s="1">
        <v>45324</v>
      </c>
      <c r="B885" t="s">
        <v>18</v>
      </c>
      <c r="C885" t="s">
        <v>9</v>
      </c>
      <c r="D885" t="s">
        <v>19</v>
      </c>
      <c r="E885">
        <v>9471</v>
      </c>
      <c r="F885">
        <v>5098</v>
      </c>
      <c r="G885">
        <v>20</v>
      </c>
      <c r="H885">
        <v>4373</v>
      </c>
      <c r="I885" s="2">
        <f>sa_retail_sales[[#This Row],[Profit]] / sa_retail_sales[[#This Row],[Revenue]]</f>
        <v>0.46172526660331537</v>
      </c>
      <c r="J885">
        <f xml:space="preserve"> YEAR(sa_retail_sales[[#This Row],[Order Date]])</f>
        <v>2024</v>
      </c>
    </row>
    <row r="886" spans="1:10" x14ac:dyDescent="0.3">
      <c r="A886" s="1">
        <v>45225</v>
      </c>
      <c r="B886" t="s">
        <v>17</v>
      </c>
      <c r="C886" t="s">
        <v>14</v>
      </c>
      <c r="D886" t="s">
        <v>15</v>
      </c>
      <c r="E886">
        <v>14021</v>
      </c>
      <c r="F886">
        <v>6905</v>
      </c>
      <c r="G886">
        <v>0</v>
      </c>
      <c r="H886">
        <v>7116</v>
      </c>
      <c r="I886" s="2">
        <f>sa_retail_sales[[#This Row],[Profit]] / sa_retail_sales[[#This Row],[Revenue]]</f>
        <v>0.50752442764424788</v>
      </c>
      <c r="J886">
        <f xml:space="preserve"> YEAR(sa_retail_sales[[#This Row],[Order Date]])</f>
        <v>2023</v>
      </c>
    </row>
    <row r="887" spans="1:10" x14ac:dyDescent="0.3">
      <c r="A887" s="1">
        <v>44586</v>
      </c>
      <c r="B887" t="s">
        <v>11</v>
      </c>
      <c r="C887" t="s">
        <v>9</v>
      </c>
      <c r="D887" t="s">
        <v>10</v>
      </c>
      <c r="E887">
        <v>9220</v>
      </c>
      <c r="F887">
        <v>10551</v>
      </c>
      <c r="G887">
        <v>10</v>
      </c>
      <c r="H887">
        <v>-1331</v>
      </c>
      <c r="I887" s="2">
        <f>sa_retail_sales[[#This Row],[Profit]] / sa_retail_sales[[#This Row],[Revenue]]</f>
        <v>-0.14436008676789588</v>
      </c>
      <c r="J887">
        <f xml:space="preserve"> YEAR(sa_retail_sales[[#This Row],[Order Date]])</f>
        <v>2022</v>
      </c>
    </row>
    <row r="888" spans="1:10" x14ac:dyDescent="0.3">
      <c r="A888" s="1">
        <v>45271</v>
      </c>
      <c r="B888" t="s">
        <v>8</v>
      </c>
      <c r="C888" t="s">
        <v>13</v>
      </c>
      <c r="D888" t="s">
        <v>10</v>
      </c>
      <c r="E888">
        <v>5393</v>
      </c>
      <c r="F888">
        <v>3286</v>
      </c>
      <c r="G888">
        <v>0</v>
      </c>
      <c r="H888">
        <v>2107</v>
      </c>
      <c r="I888" s="2">
        <f>sa_retail_sales[[#This Row],[Profit]] / sa_retail_sales[[#This Row],[Revenue]]</f>
        <v>0.39069163730762096</v>
      </c>
      <c r="J888">
        <f xml:space="preserve"> YEAR(sa_retail_sales[[#This Row],[Order Date]])</f>
        <v>2023</v>
      </c>
    </row>
    <row r="889" spans="1:10" x14ac:dyDescent="0.3">
      <c r="A889" s="1">
        <v>44738</v>
      </c>
      <c r="B889" t="s">
        <v>11</v>
      </c>
      <c r="C889" t="s">
        <v>9</v>
      </c>
      <c r="D889" t="s">
        <v>15</v>
      </c>
      <c r="E889">
        <v>843</v>
      </c>
      <c r="F889">
        <v>700</v>
      </c>
      <c r="G889">
        <v>15</v>
      </c>
      <c r="H889">
        <v>143</v>
      </c>
      <c r="I889" s="2">
        <f>sa_retail_sales[[#This Row],[Profit]] / sa_retail_sales[[#This Row],[Revenue]]</f>
        <v>0.16963226571767498</v>
      </c>
      <c r="J889">
        <f xml:space="preserve"> YEAR(sa_retail_sales[[#This Row],[Order Date]])</f>
        <v>2022</v>
      </c>
    </row>
    <row r="890" spans="1:10" x14ac:dyDescent="0.3">
      <c r="A890" s="1">
        <v>44846</v>
      </c>
      <c r="B890" t="s">
        <v>11</v>
      </c>
      <c r="C890" t="s">
        <v>13</v>
      </c>
      <c r="D890" t="s">
        <v>10</v>
      </c>
      <c r="E890">
        <v>12478</v>
      </c>
      <c r="F890">
        <v>3155</v>
      </c>
      <c r="G890">
        <v>0</v>
      </c>
      <c r="H890">
        <v>9323</v>
      </c>
      <c r="I890" s="2">
        <f>sa_retail_sales[[#This Row],[Profit]] / sa_retail_sales[[#This Row],[Revenue]]</f>
        <v>0.74715499278730568</v>
      </c>
      <c r="J890">
        <f xml:space="preserve"> YEAR(sa_retail_sales[[#This Row],[Order Date]])</f>
        <v>2022</v>
      </c>
    </row>
    <row r="891" spans="1:10" x14ac:dyDescent="0.3">
      <c r="A891" s="1">
        <v>44624</v>
      </c>
      <c r="B891" t="s">
        <v>18</v>
      </c>
      <c r="C891" t="s">
        <v>13</v>
      </c>
      <c r="D891" t="s">
        <v>19</v>
      </c>
      <c r="E891">
        <v>12374</v>
      </c>
      <c r="F891">
        <v>10716</v>
      </c>
      <c r="G891">
        <v>5</v>
      </c>
      <c r="H891">
        <v>1658</v>
      </c>
      <c r="I891" s="2">
        <f>sa_retail_sales[[#This Row],[Profit]] / sa_retail_sales[[#This Row],[Revenue]]</f>
        <v>0.13399062550509133</v>
      </c>
      <c r="J891">
        <f xml:space="preserve"> YEAR(sa_retail_sales[[#This Row],[Order Date]])</f>
        <v>2022</v>
      </c>
    </row>
    <row r="892" spans="1:10" x14ac:dyDescent="0.3">
      <c r="A892" s="1">
        <v>45564</v>
      </c>
      <c r="B892" t="s">
        <v>11</v>
      </c>
      <c r="C892" t="s">
        <v>14</v>
      </c>
      <c r="D892" t="s">
        <v>10</v>
      </c>
      <c r="E892">
        <v>5898</v>
      </c>
      <c r="F892">
        <v>3712</v>
      </c>
      <c r="G892">
        <v>15</v>
      </c>
      <c r="H892">
        <v>2186</v>
      </c>
      <c r="I892" s="2">
        <f>sa_retail_sales[[#This Row],[Profit]] / sa_retail_sales[[#This Row],[Revenue]]</f>
        <v>0.3706341132587318</v>
      </c>
      <c r="J892">
        <f xml:space="preserve"> YEAR(sa_retail_sales[[#This Row],[Order Date]])</f>
        <v>2024</v>
      </c>
    </row>
    <row r="893" spans="1:10" x14ac:dyDescent="0.3">
      <c r="A893" s="1">
        <v>45223</v>
      </c>
      <c r="B893" t="s">
        <v>8</v>
      </c>
      <c r="C893" t="s">
        <v>16</v>
      </c>
      <c r="D893" t="s">
        <v>10</v>
      </c>
      <c r="E893">
        <v>8900</v>
      </c>
      <c r="F893">
        <v>356</v>
      </c>
      <c r="G893">
        <v>0</v>
      </c>
      <c r="H893">
        <v>8544</v>
      </c>
      <c r="I893" s="2">
        <f>sa_retail_sales[[#This Row],[Profit]] / sa_retail_sales[[#This Row],[Revenue]]</f>
        <v>0.96</v>
      </c>
      <c r="J893">
        <f xml:space="preserve"> YEAR(sa_retail_sales[[#This Row],[Order Date]])</f>
        <v>2023</v>
      </c>
    </row>
    <row r="894" spans="1:10" x14ac:dyDescent="0.3">
      <c r="A894" s="1">
        <v>45227</v>
      </c>
      <c r="B894" t="s">
        <v>18</v>
      </c>
      <c r="C894" t="s">
        <v>16</v>
      </c>
      <c r="D894" t="s">
        <v>12</v>
      </c>
      <c r="E894">
        <v>5236</v>
      </c>
      <c r="F894">
        <v>8322</v>
      </c>
      <c r="G894">
        <v>15</v>
      </c>
      <c r="H894">
        <v>-3086</v>
      </c>
      <c r="I894" s="2">
        <f>sa_retail_sales[[#This Row],[Profit]] / sa_retail_sales[[#This Row],[Revenue]]</f>
        <v>-0.5893812070282658</v>
      </c>
      <c r="J894">
        <f xml:space="preserve"> YEAR(sa_retail_sales[[#This Row],[Order Date]])</f>
        <v>2023</v>
      </c>
    </row>
    <row r="895" spans="1:10" x14ac:dyDescent="0.3">
      <c r="A895" s="1">
        <v>44717</v>
      </c>
      <c r="B895" t="s">
        <v>18</v>
      </c>
      <c r="C895" t="s">
        <v>14</v>
      </c>
      <c r="D895" t="s">
        <v>12</v>
      </c>
      <c r="E895">
        <v>3906</v>
      </c>
      <c r="F895">
        <v>2175</v>
      </c>
      <c r="G895">
        <v>10</v>
      </c>
      <c r="H895">
        <v>1731</v>
      </c>
      <c r="I895" s="2">
        <f>sa_retail_sales[[#This Row],[Profit]] / sa_retail_sales[[#This Row],[Revenue]]</f>
        <v>0.44316436251920122</v>
      </c>
      <c r="J895">
        <f xml:space="preserve"> YEAR(sa_retail_sales[[#This Row],[Order Date]])</f>
        <v>2022</v>
      </c>
    </row>
    <row r="896" spans="1:10" x14ac:dyDescent="0.3">
      <c r="A896" s="1">
        <v>45634</v>
      </c>
      <c r="B896" t="s">
        <v>17</v>
      </c>
      <c r="C896" t="s">
        <v>9</v>
      </c>
      <c r="D896" t="s">
        <v>12</v>
      </c>
      <c r="E896">
        <v>10003</v>
      </c>
      <c r="F896">
        <v>4843</v>
      </c>
      <c r="G896">
        <v>0</v>
      </c>
      <c r="H896">
        <v>5160</v>
      </c>
      <c r="I896" s="2">
        <f>sa_retail_sales[[#This Row],[Profit]] / sa_retail_sales[[#This Row],[Revenue]]</f>
        <v>0.51584524642607221</v>
      </c>
      <c r="J896">
        <f xml:space="preserve"> YEAR(sa_retail_sales[[#This Row],[Order Date]])</f>
        <v>2024</v>
      </c>
    </row>
    <row r="897" spans="1:10" x14ac:dyDescent="0.3">
      <c r="A897" s="1">
        <v>45528</v>
      </c>
      <c r="B897" t="s">
        <v>17</v>
      </c>
      <c r="C897" t="s">
        <v>14</v>
      </c>
      <c r="D897" t="s">
        <v>10</v>
      </c>
      <c r="E897">
        <v>10991</v>
      </c>
      <c r="F897">
        <v>4598</v>
      </c>
      <c r="G897">
        <v>5</v>
      </c>
      <c r="H897">
        <v>6393</v>
      </c>
      <c r="I897" s="2">
        <f>sa_retail_sales[[#This Row],[Profit]] / sa_retail_sales[[#This Row],[Revenue]]</f>
        <v>0.58165771995268856</v>
      </c>
      <c r="J897">
        <f xml:space="preserve"> YEAR(sa_retail_sales[[#This Row],[Order Date]])</f>
        <v>2024</v>
      </c>
    </row>
    <row r="898" spans="1:10" x14ac:dyDescent="0.3">
      <c r="A898" s="1">
        <v>45410</v>
      </c>
      <c r="B898" t="s">
        <v>11</v>
      </c>
      <c r="C898" t="s">
        <v>13</v>
      </c>
      <c r="D898" t="s">
        <v>15</v>
      </c>
      <c r="E898">
        <v>12028</v>
      </c>
      <c r="F898">
        <v>4068</v>
      </c>
      <c r="G898">
        <v>15</v>
      </c>
      <c r="H898">
        <v>7960</v>
      </c>
      <c r="I898" s="2">
        <f>sa_retail_sales[[#This Row],[Profit]] / sa_retail_sales[[#This Row],[Revenue]]</f>
        <v>0.66178915862986365</v>
      </c>
      <c r="J898">
        <f xml:space="preserve"> YEAR(sa_retail_sales[[#This Row],[Order Date]])</f>
        <v>2024</v>
      </c>
    </row>
    <row r="899" spans="1:10" x14ac:dyDescent="0.3">
      <c r="A899" s="1">
        <v>45250</v>
      </c>
      <c r="B899" t="s">
        <v>17</v>
      </c>
      <c r="C899" t="s">
        <v>16</v>
      </c>
      <c r="D899" t="s">
        <v>19</v>
      </c>
      <c r="E899">
        <v>10639</v>
      </c>
      <c r="F899">
        <v>6052</v>
      </c>
      <c r="G899">
        <v>20</v>
      </c>
      <c r="H899">
        <v>4587</v>
      </c>
      <c r="I899" s="2">
        <f>sa_retail_sales[[#This Row],[Profit]] / sa_retail_sales[[#This Row],[Revenue]]</f>
        <v>0.43114954413008744</v>
      </c>
      <c r="J899">
        <f xml:space="preserve"> YEAR(sa_retail_sales[[#This Row],[Order Date]])</f>
        <v>2023</v>
      </c>
    </row>
    <row r="900" spans="1:10" x14ac:dyDescent="0.3">
      <c r="A900" s="1">
        <v>44709</v>
      </c>
      <c r="B900" t="s">
        <v>17</v>
      </c>
      <c r="C900" t="s">
        <v>14</v>
      </c>
      <c r="D900" t="s">
        <v>10</v>
      </c>
      <c r="E900">
        <v>1419</v>
      </c>
      <c r="F900">
        <v>5133</v>
      </c>
      <c r="G900">
        <v>15</v>
      </c>
      <c r="H900">
        <v>-3714</v>
      </c>
      <c r="I900" s="2">
        <f>sa_retail_sales[[#This Row],[Profit]] / sa_retail_sales[[#This Row],[Revenue]]</f>
        <v>-2.617336152219873</v>
      </c>
      <c r="J900">
        <f xml:space="preserve"> YEAR(sa_retail_sales[[#This Row],[Order Date]])</f>
        <v>2022</v>
      </c>
    </row>
    <row r="901" spans="1:10" x14ac:dyDescent="0.3">
      <c r="A901" s="1">
        <v>44903</v>
      </c>
      <c r="B901" t="s">
        <v>17</v>
      </c>
      <c r="C901" t="s">
        <v>9</v>
      </c>
      <c r="D901" t="s">
        <v>15</v>
      </c>
      <c r="E901">
        <v>6319</v>
      </c>
      <c r="F901">
        <v>1653</v>
      </c>
      <c r="G901">
        <v>20</v>
      </c>
      <c r="H901">
        <v>4666</v>
      </c>
      <c r="I901" s="2">
        <f>sa_retail_sales[[#This Row],[Profit]] / sa_retail_sales[[#This Row],[Revenue]]</f>
        <v>0.73840797594556096</v>
      </c>
      <c r="J901">
        <f xml:space="preserve"> YEAR(sa_retail_sales[[#This Row],[Order Date]])</f>
        <v>2022</v>
      </c>
    </row>
    <row r="902" spans="1:10" x14ac:dyDescent="0.3">
      <c r="A902" s="1">
        <v>45037</v>
      </c>
      <c r="B902" t="s">
        <v>18</v>
      </c>
      <c r="C902" t="s">
        <v>14</v>
      </c>
      <c r="D902" t="s">
        <v>10</v>
      </c>
      <c r="E902">
        <v>2544</v>
      </c>
      <c r="F902">
        <v>10902</v>
      </c>
      <c r="G902">
        <v>5</v>
      </c>
      <c r="H902">
        <v>-8358</v>
      </c>
      <c r="I902" s="2">
        <f>sa_retail_sales[[#This Row],[Profit]] / sa_retail_sales[[#This Row],[Revenue]]</f>
        <v>-3.2853773584905661</v>
      </c>
      <c r="J902">
        <f xml:space="preserve"> YEAR(sa_retail_sales[[#This Row],[Order Date]])</f>
        <v>2023</v>
      </c>
    </row>
    <row r="903" spans="1:10" x14ac:dyDescent="0.3">
      <c r="A903" s="1">
        <v>45648</v>
      </c>
      <c r="B903" t="s">
        <v>18</v>
      </c>
      <c r="C903" t="s">
        <v>16</v>
      </c>
      <c r="D903" t="s">
        <v>19</v>
      </c>
      <c r="E903">
        <v>918</v>
      </c>
      <c r="F903">
        <v>5287</v>
      </c>
      <c r="G903">
        <v>10</v>
      </c>
      <c r="H903">
        <v>-4369</v>
      </c>
      <c r="I903" s="2">
        <f>sa_retail_sales[[#This Row],[Profit]] / sa_retail_sales[[#This Row],[Revenue]]</f>
        <v>-4.7592592592592595</v>
      </c>
      <c r="J903">
        <f xml:space="preserve"> YEAR(sa_retail_sales[[#This Row],[Order Date]])</f>
        <v>2024</v>
      </c>
    </row>
    <row r="904" spans="1:10" x14ac:dyDescent="0.3">
      <c r="A904" s="1">
        <v>45122</v>
      </c>
      <c r="B904" t="s">
        <v>18</v>
      </c>
      <c r="C904" t="s">
        <v>14</v>
      </c>
      <c r="D904" t="s">
        <v>10</v>
      </c>
      <c r="E904">
        <v>2249</v>
      </c>
      <c r="F904">
        <v>6897</v>
      </c>
      <c r="G904">
        <v>20</v>
      </c>
      <c r="H904">
        <v>-4648</v>
      </c>
      <c r="I904" s="2">
        <f>sa_retail_sales[[#This Row],[Profit]] / sa_retail_sales[[#This Row],[Revenue]]</f>
        <v>-2.0666963094708759</v>
      </c>
      <c r="J904">
        <f xml:space="preserve"> YEAR(sa_retail_sales[[#This Row],[Order Date]])</f>
        <v>2023</v>
      </c>
    </row>
    <row r="905" spans="1:10" x14ac:dyDescent="0.3">
      <c r="A905" s="1">
        <v>44888</v>
      </c>
      <c r="B905" t="s">
        <v>17</v>
      </c>
      <c r="C905" t="s">
        <v>14</v>
      </c>
      <c r="D905" t="s">
        <v>19</v>
      </c>
      <c r="E905">
        <v>11534</v>
      </c>
      <c r="F905">
        <v>4611</v>
      </c>
      <c r="G905">
        <v>10</v>
      </c>
      <c r="H905">
        <v>6923</v>
      </c>
      <c r="I905" s="2">
        <f>sa_retail_sales[[#This Row],[Profit]] / sa_retail_sales[[#This Row],[Revenue]]</f>
        <v>0.60022542049592509</v>
      </c>
      <c r="J905">
        <f xml:space="preserve"> YEAR(sa_retail_sales[[#This Row],[Order Date]])</f>
        <v>2022</v>
      </c>
    </row>
    <row r="906" spans="1:10" x14ac:dyDescent="0.3">
      <c r="A906" s="1">
        <v>45551</v>
      </c>
      <c r="B906" t="s">
        <v>18</v>
      </c>
      <c r="C906" t="s">
        <v>16</v>
      </c>
      <c r="D906" t="s">
        <v>10</v>
      </c>
      <c r="E906">
        <v>7878</v>
      </c>
      <c r="F906">
        <v>11094</v>
      </c>
      <c r="G906">
        <v>15</v>
      </c>
      <c r="H906">
        <v>-3216</v>
      </c>
      <c r="I906" s="2">
        <f>sa_retail_sales[[#This Row],[Profit]] / sa_retail_sales[[#This Row],[Revenue]]</f>
        <v>-0.40822543792840821</v>
      </c>
      <c r="J906">
        <f xml:space="preserve"> YEAR(sa_retail_sales[[#This Row],[Order Date]])</f>
        <v>2024</v>
      </c>
    </row>
    <row r="907" spans="1:10" x14ac:dyDescent="0.3">
      <c r="A907" s="1">
        <v>44776</v>
      </c>
      <c r="B907" t="s">
        <v>17</v>
      </c>
      <c r="C907" t="s">
        <v>13</v>
      </c>
      <c r="D907" t="s">
        <v>19</v>
      </c>
      <c r="E907">
        <v>14176</v>
      </c>
      <c r="F907">
        <v>3234</v>
      </c>
      <c r="G907">
        <v>5</v>
      </c>
      <c r="H907">
        <v>10942</v>
      </c>
      <c r="I907" s="2">
        <f>sa_retail_sales[[#This Row],[Profit]] / sa_retail_sales[[#This Row],[Revenue]]</f>
        <v>0.77186794582392781</v>
      </c>
      <c r="J907">
        <f xml:space="preserve"> YEAR(sa_retail_sales[[#This Row],[Order Date]])</f>
        <v>2022</v>
      </c>
    </row>
    <row r="908" spans="1:10" x14ac:dyDescent="0.3">
      <c r="A908" s="1">
        <v>44996</v>
      </c>
      <c r="B908" t="s">
        <v>18</v>
      </c>
      <c r="C908" t="s">
        <v>13</v>
      </c>
      <c r="D908" t="s">
        <v>10</v>
      </c>
      <c r="E908">
        <v>1599</v>
      </c>
      <c r="F908">
        <v>322</v>
      </c>
      <c r="G908">
        <v>20</v>
      </c>
      <c r="H908">
        <v>1277</v>
      </c>
      <c r="I908" s="2">
        <f>sa_retail_sales[[#This Row],[Profit]] / sa_retail_sales[[#This Row],[Revenue]]</f>
        <v>0.79862414008755467</v>
      </c>
      <c r="J908">
        <f xml:space="preserve"> YEAR(sa_retail_sales[[#This Row],[Order Date]])</f>
        <v>2023</v>
      </c>
    </row>
    <row r="909" spans="1:10" x14ac:dyDescent="0.3">
      <c r="A909" s="1">
        <v>45513</v>
      </c>
      <c r="B909" t="s">
        <v>18</v>
      </c>
      <c r="C909" t="s">
        <v>16</v>
      </c>
      <c r="D909" t="s">
        <v>19</v>
      </c>
      <c r="E909">
        <v>3892</v>
      </c>
      <c r="F909">
        <v>10694</v>
      </c>
      <c r="G909">
        <v>15</v>
      </c>
      <c r="H909">
        <v>-6802</v>
      </c>
      <c r="I909" s="2">
        <f>sa_retail_sales[[#This Row],[Profit]] / sa_retail_sales[[#This Row],[Revenue]]</f>
        <v>-1.7476875642343268</v>
      </c>
      <c r="J909">
        <f xml:space="preserve"> YEAR(sa_retail_sales[[#This Row],[Order Date]])</f>
        <v>2024</v>
      </c>
    </row>
    <row r="910" spans="1:10" x14ac:dyDescent="0.3">
      <c r="A910" s="1">
        <v>45284</v>
      </c>
      <c r="B910" t="s">
        <v>8</v>
      </c>
      <c r="C910" t="s">
        <v>14</v>
      </c>
      <c r="D910" t="s">
        <v>12</v>
      </c>
      <c r="E910">
        <v>3272</v>
      </c>
      <c r="F910">
        <v>1509</v>
      </c>
      <c r="G910">
        <v>0</v>
      </c>
      <c r="H910">
        <v>1763</v>
      </c>
      <c r="I910" s="2">
        <f>sa_retail_sales[[#This Row],[Profit]] / sa_retail_sales[[#This Row],[Revenue]]</f>
        <v>0.53881418092909539</v>
      </c>
      <c r="J910">
        <f xml:space="preserve"> YEAR(sa_retail_sales[[#This Row],[Order Date]])</f>
        <v>2023</v>
      </c>
    </row>
    <row r="911" spans="1:10" x14ac:dyDescent="0.3">
      <c r="A911" s="1">
        <v>44593</v>
      </c>
      <c r="B911" t="s">
        <v>11</v>
      </c>
      <c r="C911" t="s">
        <v>16</v>
      </c>
      <c r="D911" t="s">
        <v>10</v>
      </c>
      <c r="E911">
        <v>11172</v>
      </c>
      <c r="F911">
        <v>10788</v>
      </c>
      <c r="G911">
        <v>15</v>
      </c>
      <c r="H911">
        <v>384</v>
      </c>
      <c r="I911" s="2">
        <f>sa_retail_sales[[#This Row],[Profit]] / sa_retail_sales[[#This Row],[Revenue]]</f>
        <v>3.4371643394199784E-2</v>
      </c>
      <c r="J911">
        <f xml:space="preserve"> YEAR(sa_retail_sales[[#This Row],[Order Date]])</f>
        <v>2022</v>
      </c>
    </row>
    <row r="912" spans="1:10" x14ac:dyDescent="0.3">
      <c r="A912" s="1">
        <v>45231</v>
      </c>
      <c r="B912" t="s">
        <v>17</v>
      </c>
      <c r="C912" t="s">
        <v>13</v>
      </c>
      <c r="D912" t="s">
        <v>10</v>
      </c>
      <c r="E912">
        <v>14944</v>
      </c>
      <c r="F912">
        <v>9240</v>
      </c>
      <c r="G912">
        <v>10</v>
      </c>
      <c r="H912">
        <v>5704</v>
      </c>
      <c r="I912" s="2">
        <f>sa_retail_sales[[#This Row],[Profit]] / sa_retail_sales[[#This Row],[Revenue]]</f>
        <v>0.3816916488222698</v>
      </c>
      <c r="J912">
        <f xml:space="preserve"> YEAR(sa_retail_sales[[#This Row],[Order Date]])</f>
        <v>2023</v>
      </c>
    </row>
    <row r="913" spans="1:10" x14ac:dyDescent="0.3">
      <c r="A913" s="1">
        <v>44846</v>
      </c>
      <c r="B913" t="s">
        <v>8</v>
      </c>
      <c r="C913" t="s">
        <v>9</v>
      </c>
      <c r="D913" t="s">
        <v>15</v>
      </c>
      <c r="E913">
        <v>7284</v>
      </c>
      <c r="F913">
        <v>1104</v>
      </c>
      <c r="G913">
        <v>5</v>
      </c>
      <c r="H913">
        <v>6180</v>
      </c>
      <c r="I913" s="2">
        <f>sa_retail_sales[[#This Row],[Profit]] / sa_retail_sales[[#This Row],[Revenue]]</f>
        <v>0.84843492586490943</v>
      </c>
      <c r="J913">
        <f xml:space="preserve"> YEAR(sa_retail_sales[[#This Row],[Order Date]])</f>
        <v>2022</v>
      </c>
    </row>
    <row r="914" spans="1:10" x14ac:dyDescent="0.3">
      <c r="A914" s="1">
        <v>44990</v>
      </c>
      <c r="B914" t="s">
        <v>18</v>
      </c>
      <c r="C914" t="s">
        <v>14</v>
      </c>
      <c r="D914" t="s">
        <v>15</v>
      </c>
      <c r="E914">
        <v>2045</v>
      </c>
      <c r="F914">
        <v>8625</v>
      </c>
      <c r="G914">
        <v>5</v>
      </c>
      <c r="H914">
        <v>-6580</v>
      </c>
      <c r="I914" s="2">
        <f>sa_retail_sales[[#This Row],[Profit]] / sa_retail_sales[[#This Row],[Revenue]]</f>
        <v>-3.21760391198044</v>
      </c>
      <c r="J914">
        <f xml:space="preserve"> YEAR(sa_retail_sales[[#This Row],[Order Date]])</f>
        <v>2023</v>
      </c>
    </row>
    <row r="915" spans="1:10" x14ac:dyDescent="0.3">
      <c r="A915" s="1">
        <v>44847</v>
      </c>
      <c r="B915" t="s">
        <v>17</v>
      </c>
      <c r="C915" t="s">
        <v>13</v>
      </c>
      <c r="D915" t="s">
        <v>19</v>
      </c>
      <c r="E915">
        <v>1570</v>
      </c>
      <c r="F915">
        <v>4716</v>
      </c>
      <c r="G915">
        <v>15</v>
      </c>
      <c r="H915">
        <v>-3146</v>
      </c>
      <c r="I915" s="2">
        <f>sa_retail_sales[[#This Row],[Profit]] / sa_retail_sales[[#This Row],[Revenue]]</f>
        <v>-2.0038216560509556</v>
      </c>
      <c r="J915">
        <f xml:space="preserve"> YEAR(sa_retail_sales[[#This Row],[Order Date]])</f>
        <v>2022</v>
      </c>
    </row>
    <row r="916" spans="1:10" x14ac:dyDescent="0.3">
      <c r="A916" s="1">
        <v>45604</v>
      </c>
      <c r="B916" t="s">
        <v>18</v>
      </c>
      <c r="C916" t="s">
        <v>14</v>
      </c>
      <c r="D916" t="s">
        <v>10</v>
      </c>
      <c r="E916">
        <v>7022</v>
      </c>
      <c r="F916">
        <v>10929</v>
      </c>
      <c r="G916">
        <v>0</v>
      </c>
      <c r="H916">
        <v>-3907</v>
      </c>
      <c r="I916" s="2">
        <f>sa_retail_sales[[#This Row],[Profit]] / sa_retail_sales[[#This Row],[Revenue]]</f>
        <v>-0.55639418968954713</v>
      </c>
      <c r="J916">
        <f xml:space="preserve"> YEAR(sa_retail_sales[[#This Row],[Order Date]])</f>
        <v>2024</v>
      </c>
    </row>
    <row r="917" spans="1:10" x14ac:dyDescent="0.3">
      <c r="A917" s="1">
        <v>44579</v>
      </c>
      <c r="B917" t="s">
        <v>11</v>
      </c>
      <c r="C917" t="s">
        <v>16</v>
      </c>
      <c r="D917" t="s">
        <v>19</v>
      </c>
      <c r="E917">
        <v>2350</v>
      </c>
      <c r="F917">
        <v>8925</v>
      </c>
      <c r="G917">
        <v>10</v>
      </c>
      <c r="H917">
        <v>-6575</v>
      </c>
      <c r="I917" s="2">
        <f>sa_retail_sales[[#This Row],[Profit]] / sa_retail_sales[[#This Row],[Revenue]]</f>
        <v>-2.7978723404255321</v>
      </c>
      <c r="J917">
        <f xml:space="preserve"> YEAR(sa_retail_sales[[#This Row],[Order Date]])</f>
        <v>2022</v>
      </c>
    </row>
    <row r="918" spans="1:10" x14ac:dyDescent="0.3">
      <c r="A918" s="1">
        <v>45330</v>
      </c>
      <c r="B918" t="s">
        <v>8</v>
      </c>
      <c r="C918" t="s">
        <v>9</v>
      </c>
      <c r="D918" t="s">
        <v>12</v>
      </c>
      <c r="E918">
        <v>13907</v>
      </c>
      <c r="F918">
        <v>5441</v>
      </c>
      <c r="G918">
        <v>15</v>
      </c>
      <c r="H918">
        <v>8466</v>
      </c>
      <c r="I918" s="2">
        <f>sa_retail_sales[[#This Row],[Profit]] / sa_retail_sales[[#This Row],[Revenue]]</f>
        <v>0.60875817933414822</v>
      </c>
      <c r="J918">
        <f xml:space="preserve"> YEAR(sa_retail_sales[[#This Row],[Order Date]])</f>
        <v>2024</v>
      </c>
    </row>
    <row r="919" spans="1:10" x14ac:dyDescent="0.3">
      <c r="A919" s="1">
        <v>45151</v>
      </c>
      <c r="B919" t="s">
        <v>11</v>
      </c>
      <c r="C919" t="s">
        <v>16</v>
      </c>
      <c r="D919" t="s">
        <v>15</v>
      </c>
      <c r="E919">
        <v>5553</v>
      </c>
      <c r="F919">
        <v>5268</v>
      </c>
      <c r="G919">
        <v>15</v>
      </c>
      <c r="H919">
        <v>285</v>
      </c>
      <c r="I919" s="2">
        <f>sa_retail_sales[[#This Row],[Profit]] / sa_retail_sales[[#This Row],[Revenue]]</f>
        <v>5.1323608860075635E-2</v>
      </c>
      <c r="J919">
        <f xml:space="preserve"> YEAR(sa_retail_sales[[#This Row],[Order Date]])</f>
        <v>2023</v>
      </c>
    </row>
    <row r="920" spans="1:10" x14ac:dyDescent="0.3">
      <c r="A920" s="1">
        <v>45571</v>
      </c>
      <c r="B920" t="s">
        <v>8</v>
      </c>
      <c r="C920" t="s">
        <v>9</v>
      </c>
      <c r="D920" t="s">
        <v>19</v>
      </c>
      <c r="E920">
        <v>12890</v>
      </c>
      <c r="F920">
        <v>3971</v>
      </c>
      <c r="G920">
        <v>5</v>
      </c>
      <c r="H920">
        <v>8919</v>
      </c>
      <c r="I920" s="2">
        <f>sa_retail_sales[[#This Row],[Profit]] / sa_retail_sales[[#This Row],[Revenue]]</f>
        <v>0.69193173002327391</v>
      </c>
      <c r="J920">
        <f xml:space="preserve"> YEAR(sa_retail_sales[[#This Row],[Order Date]])</f>
        <v>2024</v>
      </c>
    </row>
    <row r="921" spans="1:10" x14ac:dyDescent="0.3">
      <c r="A921" s="1">
        <v>44755</v>
      </c>
      <c r="B921" t="s">
        <v>18</v>
      </c>
      <c r="C921" t="s">
        <v>14</v>
      </c>
      <c r="D921" t="s">
        <v>19</v>
      </c>
      <c r="E921">
        <v>3439</v>
      </c>
      <c r="F921">
        <v>7592</v>
      </c>
      <c r="G921">
        <v>10</v>
      </c>
      <c r="H921">
        <v>-4153</v>
      </c>
      <c r="I921" s="2">
        <f>sa_retail_sales[[#This Row],[Profit]] / sa_retail_sales[[#This Row],[Revenue]]</f>
        <v>-1.2076184937481826</v>
      </c>
      <c r="J921">
        <f xml:space="preserve"> YEAR(sa_retail_sales[[#This Row],[Order Date]])</f>
        <v>2022</v>
      </c>
    </row>
    <row r="922" spans="1:10" x14ac:dyDescent="0.3">
      <c r="A922" s="1">
        <v>45063</v>
      </c>
      <c r="B922" t="s">
        <v>11</v>
      </c>
      <c r="C922" t="s">
        <v>14</v>
      </c>
      <c r="D922" t="s">
        <v>15</v>
      </c>
      <c r="E922">
        <v>13957</v>
      </c>
      <c r="F922">
        <v>7301</v>
      </c>
      <c r="G922">
        <v>0</v>
      </c>
      <c r="H922">
        <v>6656</v>
      </c>
      <c r="I922" s="2">
        <f>sa_retail_sales[[#This Row],[Profit]] / sa_retail_sales[[#This Row],[Revenue]]</f>
        <v>0.47689331518234579</v>
      </c>
      <c r="J922">
        <f xml:space="preserve"> YEAR(sa_retail_sales[[#This Row],[Order Date]])</f>
        <v>2023</v>
      </c>
    </row>
    <row r="923" spans="1:10" x14ac:dyDescent="0.3">
      <c r="A923" s="1">
        <v>45549</v>
      </c>
      <c r="B923" t="s">
        <v>11</v>
      </c>
      <c r="C923" t="s">
        <v>16</v>
      </c>
      <c r="D923" t="s">
        <v>10</v>
      </c>
      <c r="E923">
        <v>10595</v>
      </c>
      <c r="F923">
        <v>2398</v>
      </c>
      <c r="G923">
        <v>5</v>
      </c>
      <c r="H923">
        <v>8197</v>
      </c>
      <c r="I923" s="2">
        <f>sa_retail_sales[[#This Row],[Profit]] / sa_retail_sales[[#This Row],[Revenue]]</f>
        <v>0.77366682397357245</v>
      </c>
      <c r="J923">
        <f xml:space="preserve"> YEAR(sa_retail_sales[[#This Row],[Order Date]])</f>
        <v>2024</v>
      </c>
    </row>
    <row r="924" spans="1:10" x14ac:dyDescent="0.3">
      <c r="A924" s="1">
        <v>44675</v>
      </c>
      <c r="B924" t="s">
        <v>18</v>
      </c>
      <c r="C924" t="s">
        <v>9</v>
      </c>
      <c r="D924" t="s">
        <v>19</v>
      </c>
      <c r="E924">
        <v>7694</v>
      </c>
      <c r="F924">
        <v>11409</v>
      </c>
      <c r="G924">
        <v>15</v>
      </c>
      <c r="H924">
        <v>-3715</v>
      </c>
      <c r="I924" s="2">
        <f>sa_retail_sales[[#This Row],[Profit]] / sa_retail_sales[[#This Row],[Revenue]]</f>
        <v>-0.48284377436963866</v>
      </c>
      <c r="J924">
        <f xml:space="preserve"> YEAR(sa_retail_sales[[#This Row],[Order Date]])</f>
        <v>2022</v>
      </c>
    </row>
    <row r="925" spans="1:10" x14ac:dyDescent="0.3">
      <c r="A925" s="1">
        <v>45508</v>
      </c>
      <c r="B925" t="s">
        <v>11</v>
      </c>
      <c r="C925" t="s">
        <v>9</v>
      </c>
      <c r="D925" t="s">
        <v>15</v>
      </c>
      <c r="E925">
        <v>6351</v>
      </c>
      <c r="F925">
        <v>8744</v>
      </c>
      <c r="G925">
        <v>5</v>
      </c>
      <c r="H925">
        <v>-2393</v>
      </c>
      <c r="I925" s="2">
        <f>sa_retail_sales[[#This Row],[Profit]] / sa_retail_sales[[#This Row],[Revenue]]</f>
        <v>-0.37679105652653128</v>
      </c>
      <c r="J925">
        <f xml:space="preserve"> YEAR(sa_retail_sales[[#This Row],[Order Date]])</f>
        <v>2024</v>
      </c>
    </row>
    <row r="926" spans="1:10" x14ac:dyDescent="0.3">
      <c r="A926" s="1">
        <v>45392</v>
      </c>
      <c r="B926" t="s">
        <v>17</v>
      </c>
      <c r="C926" t="s">
        <v>14</v>
      </c>
      <c r="D926" t="s">
        <v>10</v>
      </c>
      <c r="E926">
        <v>7173</v>
      </c>
      <c r="F926">
        <v>5361</v>
      </c>
      <c r="G926">
        <v>5</v>
      </c>
      <c r="H926">
        <v>1812</v>
      </c>
      <c r="I926" s="2">
        <f>sa_retail_sales[[#This Row],[Profit]] / sa_retail_sales[[#This Row],[Revenue]]</f>
        <v>0.25261396905060646</v>
      </c>
      <c r="J926">
        <f xml:space="preserve"> YEAR(sa_retail_sales[[#This Row],[Order Date]])</f>
        <v>2024</v>
      </c>
    </row>
    <row r="927" spans="1:10" x14ac:dyDescent="0.3">
      <c r="A927" s="1">
        <v>45486</v>
      </c>
      <c r="B927" t="s">
        <v>8</v>
      </c>
      <c r="C927" t="s">
        <v>16</v>
      </c>
      <c r="D927" t="s">
        <v>12</v>
      </c>
      <c r="E927">
        <v>1178</v>
      </c>
      <c r="F927">
        <v>9621</v>
      </c>
      <c r="G927">
        <v>20</v>
      </c>
      <c r="H927">
        <v>-8443</v>
      </c>
      <c r="I927" s="2">
        <f>sa_retail_sales[[#This Row],[Profit]] / sa_retail_sales[[#This Row],[Revenue]]</f>
        <v>-7.16723259762309</v>
      </c>
      <c r="J927">
        <f xml:space="preserve"> YEAR(sa_retail_sales[[#This Row],[Order Date]])</f>
        <v>2024</v>
      </c>
    </row>
    <row r="928" spans="1:10" x14ac:dyDescent="0.3">
      <c r="A928" s="1">
        <v>44616</v>
      </c>
      <c r="B928" t="s">
        <v>8</v>
      </c>
      <c r="C928" t="s">
        <v>9</v>
      </c>
      <c r="D928" t="s">
        <v>15</v>
      </c>
      <c r="E928">
        <v>14756</v>
      </c>
      <c r="F928">
        <v>3564</v>
      </c>
      <c r="G928">
        <v>5</v>
      </c>
      <c r="H928">
        <v>11192</v>
      </c>
      <c r="I928" s="2">
        <f>sa_retail_sales[[#This Row],[Profit]] / sa_retail_sales[[#This Row],[Revenue]]</f>
        <v>0.75847113038763891</v>
      </c>
      <c r="J928">
        <f xml:space="preserve"> YEAR(sa_retail_sales[[#This Row],[Order Date]])</f>
        <v>2022</v>
      </c>
    </row>
    <row r="929" spans="1:10" x14ac:dyDescent="0.3">
      <c r="A929" s="1">
        <v>45361</v>
      </c>
      <c r="B929" t="s">
        <v>8</v>
      </c>
      <c r="C929" t="s">
        <v>14</v>
      </c>
      <c r="D929" t="s">
        <v>19</v>
      </c>
      <c r="E929">
        <v>1488</v>
      </c>
      <c r="F929">
        <v>5735</v>
      </c>
      <c r="G929">
        <v>5</v>
      </c>
      <c r="H929">
        <v>-4247</v>
      </c>
      <c r="I929" s="2">
        <f>sa_retail_sales[[#This Row],[Profit]] / sa_retail_sales[[#This Row],[Revenue]]</f>
        <v>-2.8541666666666665</v>
      </c>
      <c r="J929">
        <f xml:space="preserve"> YEAR(sa_retail_sales[[#This Row],[Order Date]])</f>
        <v>2024</v>
      </c>
    </row>
    <row r="930" spans="1:10" x14ac:dyDescent="0.3">
      <c r="A930" s="1">
        <v>45339</v>
      </c>
      <c r="B930" t="s">
        <v>17</v>
      </c>
      <c r="C930" t="s">
        <v>13</v>
      </c>
      <c r="D930" t="s">
        <v>12</v>
      </c>
      <c r="E930">
        <v>13893</v>
      </c>
      <c r="F930">
        <v>8793</v>
      </c>
      <c r="G930">
        <v>10</v>
      </c>
      <c r="H930">
        <v>5100</v>
      </c>
      <c r="I930" s="2">
        <f>sa_retail_sales[[#This Row],[Profit]] / sa_retail_sales[[#This Row],[Revenue]]</f>
        <v>0.36709134096307494</v>
      </c>
      <c r="J930">
        <f xml:space="preserve"> YEAR(sa_retail_sales[[#This Row],[Order Date]])</f>
        <v>2024</v>
      </c>
    </row>
    <row r="931" spans="1:10" x14ac:dyDescent="0.3">
      <c r="A931" s="1">
        <v>44723</v>
      </c>
      <c r="B931" t="s">
        <v>8</v>
      </c>
      <c r="C931" t="s">
        <v>16</v>
      </c>
      <c r="D931" t="s">
        <v>10</v>
      </c>
      <c r="E931">
        <v>11167</v>
      </c>
      <c r="F931">
        <v>6991</v>
      </c>
      <c r="G931">
        <v>5</v>
      </c>
      <c r="H931">
        <v>4176</v>
      </c>
      <c r="I931" s="2">
        <f>sa_retail_sales[[#This Row],[Profit]] / sa_retail_sales[[#This Row],[Revenue]]</f>
        <v>0.37395898629891644</v>
      </c>
      <c r="J931">
        <f xml:space="preserve"> YEAR(sa_retail_sales[[#This Row],[Order Date]])</f>
        <v>2022</v>
      </c>
    </row>
    <row r="932" spans="1:10" x14ac:dyDescent="0.3">
      <c r="A932" s="1">
        <v>44648</v>
      </c>
      <c r="B932" t="s">
        <v>18</v>
      </c>
      <c r="C932" t="s">
        <v>13</v>
      </c>
      <c r="D932" t="s">
        <v>10</v>
      </c>
      <c r="E932">
        <v>10299</v>
      </c>
      <c r="F932">
        <v>10469</v>
      </c>
      <c r="G932">
        <v>0</v>
      </c>
      <c r="H932">
        <v>-170</v>
      </c>
      <c r="I932" s="2">
        <f>sa_retail_sales[[#This Row],[Profit]] / sa_retail_sales[[#This Row],[Revenue]]</f>
        <v>-1.6506456937566753E-2</v>
      </c>
      <c r="J932">
        <f xml:space="preserve"> YEAR(sa_retail_sales[[#This Row],[Order Date]])</f>
        <v>2022</v>
      </c>
    </row>
    <row r="933" spans="1:10" x14ac:dyDescent="0.3">
      <c r="A933" s="1">
        <v>44616</v>
      </c>
      <c r="B933" t="s">
        <v>11</v>
      </c>
      <c r="C933" t="s">
        <v>16</v>
      </c>
      <c r="D933" t="s">
        <v>15</v>
      </c>
      <c r="E933">
        <v>11561</v>
      </c>
      <c r="F933">
        <v>3063</v>
      </c>
      <c r="G933">
        <v>15</v>
      </c>
      <c r="H933">
        <v>8498</v>
      </c>
      <c r="I933" s="2">
        <f>sa_retail_sales[[#This Row],[Profit]] / sa_retail_sales[[#This Row],[Revenue]]</f>
        <v>0.7350575209756941</v>
      </c>
      <c r="J933">
        <f xml:space="preserve"> YEAR(sa_retail_sales[[#This Row],[Order Date]])</f>
        <v>2022</v>
      </c>
    </row>
    <row r="934" spans="1:10" x14ac:dyDescent="0.3">
      <c r="A934" s="1">
        <v>45593</v>
      </c>
      <c r="B934" t="s">
        <v>17</v>
      </c>
      <c r="C934" t="s">
        <v>14</v>
      </c>
      <c r="D934" t="s">
        <v>15</v>
      </c>
      <c r="E934">
        <v>2002</v>
      </c>
      <c r="F934">
        <v>4305</v>
      </c>
      <c r="G934">
        <v>10</v>
      </c>
      <c r="H934">
        <v>-2303</v>
      </c>
      <c r="I934" s="2">
        <f>sa_retail_sales[[#This Row],[Profit]] / sa_retail_sales[[#This Row],[Revenue]]</f>
        <v>-1.1503496503496504</v>
      </c>
      <c r="J934">
        <f xml:space="preserve"> YEAR(sa_retail_sales[[#This Row],[Order Date]])</f>
        <v>2024</v>
      </c>
    </row>
    <row r="935" spans="1:10" x14ac:dyDescent="0.3">
      <c r="A935" s="1">
        <v>45394</v>
      </c>
      <c r="B935" t="s">
        <v>8</v>
      </c>
      <c r="C935" t="s">
        <v>9</v>
      </c>
      <c r="D935" t="s">
        <v>15</v>
      </c>
      <c r="E935">
        <v>2289</v>
      </c>
      <c r="F935">
        <v>3541</v>
      </c>
      <c r="G935">
        <v>5</v>
      </c>
      <c r="H935">
        <v>-1252</v>
      </c>
      <c r="I935" s="2">
        <f>sa_retail_sales[[#This Row],[Profit]] / sa_retail_sales[[#This Row],[Revenue]]</f>
        <v>-0.54696373962429012</v>
      </c>
      <c r="J935">
        <f xml:space="preserve"> YEAR(sa_retail_sales[[#This Row],[Order Date]])</f>
        <v>2024</v>
      </c>
    </row>
    <row r="936" spans="1:10" x14ac:dyDescent="0.3">
      <c r="A936" s="1">
        <v>44874</v>
      </c>
      <c r="B936" t="s">
        <v>18</v>
      </c>
      <c r="C936" t="s">
        <v>9</v>
      </c>
      <c r="D936" t="s">
        <v>10</v>
      </c>
      <c r="E936">
        <v>5781</v>
      </c>
      <c r="F936">
        <v>3357</v>
      </c>
      <c r="G936">
        <v>0</v>
      </c>
      <c r="H936">
        <v>2424</v>
      </c>
      <c r="I936" s="2">
        <f>sa_retail_sales[[#This Row],[Profit]] / sa_retail_sales[[#This Row],[Revenue]]</f>
        <v>0.4193046185781007</v>
      </c>
      <c r="J936">
        <f xml:space="preserve"> YEAR(sa_retail_sales[[#This Row],[Order Date]])</f>
        <v>2022</v>
      </c>
    </row>
    <row r="937" spans="1:10" x14ac:dyDescent="0.3">
      <c r="A937" s="1">
        <v>45320</v>
      </c>
      <c r="B937" t="s">
        <v>11</v>
      </c>
      <c r="C937" t="s">
        <v>9</v>
      </c>
      <c r="D937" t="s">
        <v>12</v>
      </c>
      <c r="E937">
        <v>5527</v>
      </c>
      <c r="F937">
        <v>850</v>
      </c>
      <c r="G937">
        <v>15</v>
      </c>
      <c r="H937">
        <v>4677</v>
      </c>
      <c r="I937" s="2">
        <f>sa_retail_sales[[#This Row],[Profit]] / sa_retail_sales[[#This Row],[Revenue]]</f>
        <v>0.84620951691695312</v>
      </c>
      <c r="J937">
        <f xml:space="preserve"> YEAR(sa_retail_sales[[#This Row],[Order Date]])</f>
        <v>2024</v>
      </c>
    </row>
    <row r="938" spans="1:10" x14ac:dyDescent="0.3">
      <c r="A938" s="1">
        <v>45004</v>
      </c>
      <c r="B938" t="s">
        <v>11</v>
      </c>
      <c r="C938" t="s">
        <v>16</v>
      </c>
      <c r="D938" t="s">
        <v>10</v>
      </c>
      <c r="E938">
        <v>1925</v>
      </c>
      <c r="F938">
        <v>5874</v>
      </c>
      <c r="G938">
        <v>10</v>
      </c>
      <c r="H938">
        <v>-3949</v>
      </c>
      <c r="I938" s="2">
        <f>sa_retail_sales[[#This Row],[Profit]] / sa_retail_sales[[#This Row],[Revenue]]</f>
        <v>-2.0514285714285716</v>
      </c>
      <c r="J938">
        <f xml:space="preserve"> YEAR(sa_retail_sales[[#This Row],[Order Date]])</f>
        <v>2023</v>
      </c>
    </row>
    <row r="939" spans="1:10" x14ac:dyDescent="0.3">
      <c r="A939" s="1">
        <v>44889</v>
      </c>
      <c r="B939" t="s">
        <v>17</v>
      </c>
      <c r="C939" t="s">
        <v>14</v>
      </c>
      <c r="D939" t="s">
        <v>19</v>
      </c>
      <c r="E939">
        <v>13849</v>
      </c>
      <c r="F939">
        <v>5711</v>
      </c>
      <c r="G939">
        <v>0</v>
      </c>
      <c r="H939">
        <v>8138</v>
      </c>
      <c r="I939" s="2">
        <f>sa_retail_sales[[#This Row],[Profit]] / sa_retail_sales[[#This Row],[Revenue]]</f>
        <v>0.5876236551375551</v>
      </c>
      <c r="J939">
        <f xml:space="preserve"> YEAR(sa_retail_sales[[#This Row],[Order Date]])</f>
        <v>2022</v>
      </c>
    </row>
    <row r="940" spans="1:10" x14ac:dyDescent="0.3">
      <c r="A940" s="1">
        <v>45639</v>
      </c>
      <c r="B940" t="s">
        <v>17</v>
      </c>
      <c r="C940" t="s">
        <v>13</v>
      </c>
      <c r="D940" t="s">
        <v>10</v>
      </c>
      <c r="E940">
        <v>14766</v>
      </c>
      <c r="F940">
        <v>1887</v>
      </c>
      <c r="G940">
        <v>5</v>
      </c>
      <c r="H940">
        <v>12879</v>
      </c>
      <c r="I940" s="2">
        <f>sa_retail_sales[[#This Row],[Profit]] / sa_retail_sales[[#This Row],[Revenue]]</f>
        <v>0.87220642015440875</v>
      </c>
      <c r="J940">
        <f xml:space="preserve"> YEAR(sa_retail_sales[[#This Row],[Order Date]])</f>
        <v>2024</v>
      </c>
    </row>
    <row r="941" spans="1:10" x14ac:dyDescent="0.3">
      <c r="A941" s="1">
        <v>45322</v>
      </c>
      <c r="B941" t="s">
        <v>17</v>
      </c>
      <c r="C941" t="s">
        <v>14</v>
      </c>
      <c r="D941" t="s">
        <v>19</v>
      </c>
      <c r="E941">
        <v>7154</v>
      </c>
      <c r="F941">
        <v>10314</v>
      </c>
      <c r="G941">
        <v>20</v>
      </c>
      <c r="H941">
        <v>-3160</v>
      </c>
      <c r="I941" s="2">
        <f>sa_retail_sales[[#This Row],[Profit]] / sa_retail_sales[[#This Row],[Revenue]]</f>
        <v>-0.44171093094772157</v>
      </c>
      <c r="J941">
        <f xml:space="preserve"> YEAR(sa_retail_sales[[#This Row],[Order Date]])</f>
        <v>2024</v>
      </c>
    </row>
    <row r="942" spans="1:10" x14ac:dyDescent="0.3">
      <c r="A942" s="1">
        <v>45140</v>
      </c>
      <c r="B942" t="s">
        <v>18</v>
      </c>
      <c r="C942" t="s">
        <v>13</v>
      </c>
      <c r="D942" t="s">
        <v>12</v>
      </c>
      <c r="E942">
        <v>2940</v>
      </c>
      <c r="F942">
        <v>6220</v>
      </c>
      <c r="G942">
        <v>20</v>
      </c>
      <c r="H942">
        <v>-3280</v>
      </c>
      <c r="I942" s="2">
        <f>sa_retail_sales[[#This Row],[Profit]] / sa_retail_sales[[#This Row],[Revenue]]</f>
        <v>-1.1156462585034013</v>
      </c>
      <c r="J942">
        <f xml:space="preserve"> YEAR(sa_retail_sales[[#This Row],[Order Date]])</f>
        <v>2023</v>
      </c>
    </row>
    <row r="943" spans="1:10" x14ac:dyDescent="0.3">
      <c r="A943" s="1">
        <v>45636</v>
      </c>
      <c r="B943" t="s">
        <v>18</v>
      </c>
      <c r="C943" t="s">
        <v>16</v>
      </c>
      <c r="D943" t="s">
        <v>15</v>
      </c>
      <c r="E943">
        <v>10734</v>
      </c>
      <c r="F943">
        <v>5560</v>
      </c>
      <c r="G943">
        <v>10</v>
      </c>
      <c r="H943">
        <v>5174</v>
      </c>
      <c r="I943" s="2">
        <f>sa_retail_sales[[#This Row],[Profit]] / sa_retail_sales[[#This Row],[Revenue]]</f>
        <v>0.4820197503260667</v>
      </c>
      <c r="J943">
        <f xml:space="preserve"> YEAR(sa_retail_sales[[#This Row],[Order Date]])</f>
        <v>2024</v>
      </c>
    </row>
    <row r="944" spans="1:10" x14ac:dyDescent="0.3">
      <c r="A944" s="1">
        <v>45568</v>
      </c>
      <c r="B944" t="s">
        <v>17</v>
      </c>
      <c r="C944" t="s">
        <v>16</v>
      </c>
      <c r="D944" t="s">
        <v>15</v>
      </c>
      <c r="E944">
        <v>7356</v>
      </c>
      <c r="F944">
        <v>11709</v>
      </c>
      <c r="G944">
        <v>0</v>
      </c>
      <c r="H944">
        <v>-4353</v>
      </c>
      <c r="I944" s="2">
        <f>sa_retail_sales[[#This Row],[Profit]] / sa_retail_sales[[#This Row],[Revenue]]</f>
        <v>-0.59176182707993474</v>
      </c>
      <c r="J944">
        <f xml:space="preserve"> YEAR(sa_retail_sales[[#This Row],[Order Date]])</f>
        <v>2024</v>
      </c>
    </row>
    <row r="945" spans="1:10" x14ac:dyDescent="0.3">
      <c r="A945" s="1">
        <v>44657</v>
      </c>
      <c r="B945" t="s">
        <v>8</v>
      </c>
      <c r="C945" t="s">
        <v>13</v>
      </c>
      <c r="D945" t="s">
        <v>10</v>
      </c>
      <c r="E945">
        <v>7867</v>
      </c>
      <c r="F945">
        <v>11988</v>
      </c>
      <c r="G945">
        <v>15</v>
      </c>
      <c r="H945">
        <v>-4121</v>
      </c>
      <c r="I945" s="2">
        <f>sa_retail_sales[[#This Row],[Profit]] / sa_retail_sales[[#This Row],[Revenue]]</f>
        <v>-0.52383373585865001</v>
      </c>
      <c r="J945">
        <f xml:space="preserve"> YEAR(sa_retail_sales[[#This Row],[Order Date]])</f>
        <v>2022</v>
      </c>
    </row>
    <row r="946" spans="1:10" x14ac:dyDescent="0.3">
      <c r="A946" s="1">
        <v>45375</v>
      </c>
      <c r="B946" t="s">
        <v>11</v>
      </c>
      <c r="C946" t="s">
        <v>13</v>
      </c>
      <c r="D946" t="s">
        <v>15</v>
      </c>
      <c r="E946">
        <v>9970</v>
      </c>
      <c r="F946">
        <v>4709</v>
      </c>
      <c r="G946">
        <v>0</v>
      </c>
      <c r="H946">
        <v>5261</v>
      </c>
      <c r="I946" s="2">
        <f>sa_retail_sales[[#This Row],[Profit]] / sa_retail_sales[[#This Row],[Revenue]]</f>
        <v>0.52768304914744235</v>
      </c>
      <c r="J946">
        <f xml:space="preserve"> YEAR(sa_retail_sales[[#This Row],[Order Date]])</f>
        <v>2024</v>
      </c>
    </row>
    <row r="947" spans="1:10" x14ac:dyDescent="0.3">
      <c r="A947" s="1">
        <v>45052</v>
      </c>
      <c r="B947" t="s">
        <v>11</v>
      </c>
      <c r="C947" t="s">
        <v>13</v>
      </c>
      <c r="D947" t="s">
        <v>12</v>
      </c>
      <c r="E947">
        <v>13990</v>
      </c>
      <c r="F947">
        <v>6083</v>
      </c>
      <c r="G947">
        <v>20</v>
      </c>
      <c r="H947">
        <v>7907</v>
      </c>
      <c r="I947" s="2">
        <f>sa_retail_sales[[#This Row],[Profit]] / sa_retail_sales[[#This Row],[Revenue]]</f>
        <v>0.56518942101501068</v>
      </c>
      <c r="J947">
        <f xml:space="preserve"> YEAR(sa_retail_sales[[#This Row],[Order Date]])</f>
        <v>2023</v>
      </c>
    </row>
    <row r="948" spans="1:10" x14ac:dyDescent="0.3">
      <c r="A948" s="1">
        <v>45013</v>
      </c>
      <c r="B948" t="s">
        <v>18</v>
      </c>
      <c r="C948" t="s">
        <v>14</v>
      </c>
      <c r="D948" t="s">
        <v>15</v>
      </c>
      <c r="E948">
        <v>3094</v>
      </c>
      <c r="F948">
        <v>1012</v>
      </c>
      <c r="G948">
        <v>10</v>
      </c>
      <c r="H948">
        <v>2082</v>
      </c>
      <c r="I948" s="2">
        <f>sa_retail_sales[[#This Row],[Profit]] / sa_retail_sales[[#This Row],[Revenue]]</f>
        <v>0.67291531997414356</v>
      </c>
      <c r="J948">
        <f xml:space="preserve"> YEAR(sa_retail_sales[[#This Row],[Order Date]])</f>
        <v>2023</v>
      </c>
    </row>
    <row r="949" spans="1:10" x14ac:dyDescent="0.3">
      <c r="A949" s="1">
        <v>44726</v>
      </c>
      <c r="B949" t="s">
        <v>11</v>
      </c>
      <c r="C949" t="s">
        <v>13</v>
      </c>
      <c r="D949" t="s">
        <v>10</v>
      </c>
      <c r="E949">
        <v>5189</v>
      </c>
      <c r="F949">
        <v>10667</v>
      </c>
      <c r="G949">
        <v>5</v>
      </c>
      <c r="H949">
        <v>-5478</v>
      </c>
      <c r="I949" s="2">
        <f>sa_retail_sales[[#This Row],[Profit]] / sa_retail_sales[[#This Row],[Revenue]]</f>
        <v>-1.0556947388706881</v>
      </c>
      <c r="J949">
        <f xml:space="preserve"> YEAR(sa_retail_sales[[#This Row],[Order Date]])</f>
        <v>2022</v>
      </c>
    </row>
    <row r="950" spans="1:10" x14ac:dyDescent="0.3">
      <c r="A950" s="1">
        <v>44743</v>
      </c>
      <c r="B950" t="s">
        <v>8</v>
      </c>
      <c r="C950" t="s">
        <v>16</v>
      </c>
      <c r="D950" t="s">
        <v>12</v>
      </c>
      <c r="E950">
        <v>2936</v>
      </c>
      <c r="F950">
        <v>5706</v>
      </c>
      <c r="G950">
        <v>0</v>
      </c>
      <c r="H950">
        <v>-2770</v>
      </c>
      <c r="I950" s="2">
        <f>sa_retail_sales[[#This Row],[Profit]] / sa_retail_sales[[#This Row],[Revenue]]</f>
        <v>-0.94346049046321523</v>
      </c>
      <c r="J950">
        <f xml:space="preserve"> YEAR(sa_retail_sales[[#This Row],[Order Date]])</f>
        <v>2022</v>
      </c>
    </row>
    <row r="951" spans="1:10" x14ac:dyDescent="0.3">
      <c r="A951" s="1">
        <v>45030</v>
      </c>
      <c r="B951" t="s">
        <v>11</v>
      </c>
      <c r="C951" t="s">
        <v>16</v>
      </c>
      <c r="D951" t="s">
        <v>19</v>
      </c>
      <c r="E951">
        <v>6017</v>
      </c>
      <c r="F951">
        <v>8290</v>
      </c>
      <c r="G951">
        <v>20</v>
      </c>
      <c r="H951">
        <v>-2273</v>
      </c>
      <c r="I951" s="2">
        <f>sa_retail_sales[[#This Row],[Profit]] / sa_retail_sales[[#This Row],[Revenue]]</f>
        <v>-0.37776300481967756</v>
      </c>
      <c r="J951">
        <f xml:space="preserve"> YEAR(sa_retail_sales[[#This Row],[Order Date]])</f>
        <v>2023</v>
      </c>
    </row>
    <row r="952" spans="1:10" x14ac:dyDescent="0.3">
      <c r="A952" s="1">
        <v>45471</v>
      </c>
      <c r="B952" t="s">
        <v>18</v>
      </c>
      <c r="C952" t="s">
        <v>9</v>
      </c>
      <c r="D952" t="s">
        <v>10</v>
      </c>
      <c r="E952">
        <v>12495</v>
      </c>
      <c r="F952">
        <v>7720</v>
      </c>
      <c r="G952">
        <v>15</v>
      </c>
      <c r="H952">
        <v>4775</v>
      </c>
      <c r="I952" s="2">
        <f>sa_retail_sales[[#This Row],[Profit]] / sa_retail_sales[[#This Row],[Revenue]]</f>
        <v>0.38215286114445779</v>
      </c>
      <c r="J952">
        <f xml:space="preserve"> YEAR(sa_retail_sales[[#This Row],[Order Date]])</f>
        <v>2024</v>
      </c>
    </row>
    <row r="953" spans="1:10" x14ac:dyDescent="0.3">
      <c r="A953" s="1">
        <v>45296</v>
      </c>
      <c r="B953" t="s">
        <v>18</v>
      </c>
      <c r="C953" t="s">
        <v>13</v>
      </c>
      <c r="D953" t="s">
        <v>19</v>
      </c>
      <c r="E953">
        <v>10897</v>
      </c>
      <c r="F953">
        <v>7143</v>
      </c>
      <c r="G953">
        <v>10</v>
      </c>
      <c r="H953">
        <v>3754</v>
      </c>
      <c r="I953" s="2">
        <f>sa_retail_sales[[#This Row],[Profit]] / sa_retail_sales[[#This Row],[Revenue]]</f>
        <v>0.34449848582178583</v>
      </c>
      <c r="J953">
        <f xml:space="preserve"> YEAR(sa_retail_sales[[#This Row],[Order Date]])</f>
        <v>2024</v>
      </c>
    </row>
    <row r="954" spans="1:10" x14ac:dyDescent="0.3">
      <c r="A954" s="1">
        <v>45384</v>
      </c>
      <c r="B954" t="s">
        <v>8</v>
      </c>
      <c r="C954" t="s">
        <v>14</v>
      </c>
      <c r="D954" t="s">
        <v>12</v>
      </c>
      <c r="E954">
        <v>9719</v>
      </c>
      <c r="F954">
        <v>2733</v>
      </c>
      <c r="G954">
        <v>5</v>
      </c>
      <c r="H954">
        <v>6986</v>
      </c>
      <c r="I954" s="2">
        <f>sa_retail_sales[[#This Row],[Profit]] / sa_retail_sales[[#This Row],[Revenue]]</f>
        <v>0.71879823027060397</v>
      </c>
      <c r="J954">
        <f xml:space="preserve"> YEAR(sa_retail_sales[[#This Row],[Order Date]])</f>
        <v>2024</v>
      </c>
    </row>
    <row r="955" spans="1:10" x14ac:dyDescent="0.3">
      <c r="A955" s="1">
        <v>45505</v>
      </c>
      <c r="B955" t="s">
        <v>8</v>
      </c>
      <c r="C955" t="s">
        <v>14</v>
      </c>
      <c r="D955" t="s">
        <v>10</v>
      </c>
      <c r="E955">
        <v>6810</v>
      </c>
      <c r="F955">
        <v>3601</v>
      </c>
      <c r="G955">
        <v>0</v>
      </c>
      <c r="H955">
        <v>3209</v>
      </c>
      <c r="I955" s="2">
        <f>sa_retail_sales[[#This Row],[Profit]] / sa_retail_sales[[#This Row],[Revenue]]</f>
        <v>0.47121879588839943</v>
      </c>
      <c r="J955">
        <f xml:space="preserve"> YEAR(sa_retail_sales[[#This Row],[Order Date]])</f>
        <v>2024</v>
      </c>
    </row>
    <row r="956" spans="1:10" x14ac:dyDescent="0.3">
      <c r="A956" s="1">
        <v>44568</v>
      </c>
      <c r="B956" t="s">
        <v>11</v>
      </c>
      <c r="C956" t="s">
        <v>14</v>
      </c>
      <c r="D956" t="s">
        <v>10</v>
      </c>
      <c r="E956">
        <v>4039</v>
      </c>
      <c r="F956">
        <v>570</v>
      </c>
      <c r="G956">
        <v>15</v>
      </c>
      <c r="H956">
        <v>3469</v>
      </c>
      <c r="I956" s="2">
        <f>sa_retail_sales[[#This Row],[Profit]] / sa_retail_sales[[#This Row],[Revenue]]</f>
        <v>0.85887595939589012</v>
      </c>
      <c r="J956">
        <f xml:space="preserve"> YEAR(sa_retail_sales[[#This Row],[Order Date]])</f>
        <v>2022</v>
      </c>
    </row>
    <row r="957" spans="1:10" x14ac:dyDescent="0.3">
      <c r="A957" s="1">
        <v>44891</v>
      </c>
      <c r="B957" t="s">
        <v>11</v>
      </c>
      <c r="C957" t="s">
        <v>9</v>
      </c>
      <c r="D957" t="s">
        <v>12</v>
      </c>
      <c r="E957">
        <v>13747</v>
      </c>
      <c r="F957">
        <v>10286</v>
      </c>
      <c r="G957">
        <v>5</v>
      </c>
      <c r="H957">
        <v>3461</v>
      </c>
      <c r="I957" s="2">
        <f>sa_retail_sales[[#This Row],[Profit]] / sa_retail_sales[[#This Row],[Revenue]]</f>
        <v>0.25176402124099806</v>
      </c>
      <c r="J957">
        <f xml:space="preserve"> YEAR(sa_retail_sales[[#This Row],[Order Date]])</f>
        <v>2022</v>
      </c>
    </row>
    <row r="958" spans="1:10" x14ac:dyDescent="0.3">
      <c r="A958" s="1">
        <v>45336</v>
      </c>
      <c r="B958" t="s">
        <v>18</v>
      </c>
      <c r="C958" t="s">
        <v>16</v>
      </c>
      <c r="D958" t="s">
        <v>15</v>
      </c>
      <c r="E958">
        <v>3983</v>
      </c>
      <c r="F958">
        <v>10954</v>
      </c>
      <c r="G958">
        <v>20</v>
      </c>
      <c r="H958">
        <v>-6971</v>
      </c>
      <c r="I958" s="2">
        <f>sa_retail_sales[[#This Row],[Profit]] / sa_retail_sales[[#This Row],[Revenue]]</f>
        <v>-1.7501883002761738</v>
      </c>
      <c r="J958">
        <f xml:space="preserve"> YEAR(sa_retail_sales[[#This Row],[Order Date]])</f>
        <v>2024</v>
      </c>
    </row>
    <row r="959" spans="1:10" x14ac:dyDescent="0.3">
      <c r="A959" s="1">
        <v>44712</v>
      </c>
      <c r="B959" t="s">
        <v>8</v>
      </c>
      <c r="C959" t="s">
        <v>14</v>
      </c>
      <c r="D959" t="s">
        <v>10</v>
      </c>
      <c r="E959">
        <v>7871</v>
      </c>
      <c r="F959">
        <v>11886</v>
      </c>
      <c r="G959">
        <v>20</v>
      </c>
      <c r="H959">
        <v>-4015</v>
      </c>
      <c r="I959" s="2">
        <f>sa_retail_sales[[#This Row],[Profit]] / sa_retail_sales[[#This Row],[Revenue]]</f>
        <v>-0.51010036844111295</v>
      </c>
      <c r="J959">
        <f xml:space="preserve"> YEAR(sa_retail_sales[[#This Row],[Order Date]])</f>
        <v>2022</v>
      </c>
    </row>
    <row r="960" spans="1:10" x14ac:dyDescent="0.3">
      <c r="A960" s="1">
        <v>44708</v>
      </c>
      <c r="B960" t="s">
        <v>8</v>
      </c>
      <c r="C960" t="s">
        <v>16</v>
      </c>
      <c r="D960" t="s">
        <v>10</v>
      </c>
      <c r="E960">
        <v>2741</v>
      </c>
      <c r="F960">
        <v>1379</v>
      </c>
      <c r="G960">
        <v>15</v>
      </c>
      <c r="H960">
        <v>1362</v>
      </c>
      <c r="I960" s="2">
        <f>sa_retail_sales[[#This Row],[Profit]] / sa_retail_sales[[#This Row],[Revenue]]</f>
        <v>0.49689894199197371</v>
      </c>
      <c r="J960">
        <f xml:space="preserve"> YEAR(sa_retail_sales[[#This Row],[Order Date]])</f>
        <v>2022</v>
      </c>
    </row>
    <row r="961" spans="1:10" x14ac:dyDescent="0.3">
      <c r="A961" s="1">
        <v>45476</v>
      </c>
      <c r="B961" t="s">
        <v>8</v>
      </c>
      <c r="C961" t="s">
        <v>9</v>
      </c>
      <c r="D961" t="s">
        <v>19</v>
      </c>
      <c r="E961">
        <v>6878</v>
      </c>
      <c r="F961">
        <v>11370</v>
      </c>
      <c r="G961">
        <v>20</v>
      </c>
      <c r="H961">
        <v>-4492</v>
      </c>
      <c r="I961" s="2">
        <f>sa_retail_sales[[#This Row],[Profit]] / sa_retail_sales[[#This Row],[Revenue]]</f>
        <v>-0.65309683047397504</v>
      </c>
      <c r="J961">
        <f xml:space="preserve"> YEAR(sa_retail_sales[[#This Row],[Order Date]])</f>
        <v>2024</v>
      </c>
    </row>
    <row r="962" spans="1:10" x14ac:dyDescent="0.3">
      <c r="A962" s="1">
        <v>45261</v>
      </c>
      <c r="B962" t="s">
        <v>11</v>
      </c>
      <c r="C962" t="s">
        <v>13</v>
      </c>
      <c r="D962" t="s">
        <v>15</v>
      </c>
      <c r="E962">
        <v>3265</v>
      </c>
      <c r="F962">
        <v>5622</v>
      </c>
      <c r="G962">
        <v>10</v>
      </c>
      <c r="H962">
        <v>-2357</v>
      </c>
      <c r="I962" s="2">
        <f>sa_retail_sales[[#This Row],[Profit]] / sa_retail_sales[[#This Row],[Revenue]]</f>
        <v>-0.72189892802450228</v>
      </c>
      <c r="J962">
        <f xml:space="preserve"> YEAR(sa_retail_sales[[#This Row],[Order Date]])</f>
        <v>2023</v>
      </c>
    </row>
    <row r="963" spans="1:10" x14ac:dyDescent="0.3">
      <c r="A963" s="1">
        <v>44643</v>
      </c>
      <c r="B963" t="s">
        <v>8</v>
      </c>
      <c r="C963" t="s">
        <v>13</v>
      </c>
      <c r="D963" t="s">
        <v>19</v>
      </c>
      <c r="E963">
        <v>9865</v>
      </c>
      <c r="F963">
        <v>9095</v>
      </c>
      <c r="G963">
        <v>15</v>
      </c>
      <c r="H963">
        <v>770</v>
      </c>
      <c r="I963" s="2">
        <f>sa_retail_sales[[#This Row],[Profit]] / sa_retail_sales[[#This Row],[Revenue]]</f>
        <v>7.8053725291434367E-2</v>
      </c>
      <c r="J963">
        <f xml:space="preserve"> YEAR(sa_retail_sales[[#This Row],[Order Date]])</f>
        <v>2022</v>
      </c>
    </row>
    <row r="964" spans="1:10" x14ac:dyDescent="0.3">
      <c r="A964" s="1">
        <v>45075</v>
      </c>
      <c r="B964" t="s">
        <v>18</v>
      </c>
      <c r="C964" t="s">
        <v>13</v>
      </c>
      <c r="D964" t="s">
        <v>19</v>
      </c>
      <c r="E964">
        <v>11922</v>
      </c>
      <c r="F964">
        <v>5557</v>
      </c>
      <c r="G964">
        <v>20</v>
      </c>
      <c r="H964">
        <v>6365</v>
      </c>
      <c r="I964" s="2">
        <f>sa_retail_sales[[#This Row],[Profit]] / sa_retail_sales[[#This Row],[Revenue]]</f>
        <v>0.53388693172286528</v>
      </c>
      <c r="J964">
        <f xml:space="preserve"> YEAR(sa_retail_sales[[#This Row],[Order Date]])</f>
        <v>2023</v>
      </c>
    </row>
    <row r="965" spans="1:10" x14ac:dyDescent="0.3">
      <c r="A965" s="1">
        <v>45376</v>
      </c>
      <c r="B965" t="s">
        <v>18</v>
      </c>
      <c r="C965" t="s">
        <v>14</v>
      </c>
      <c r="D965" t="s">
        <v>15</v>
      </c>
      <c r="E965">
        <v>12042</v>
      </c>
      <c r="F965">
        <v>8282</v>
      </c>
      <c r="G965">
        <v>0</v>
      </c>
      <c r="H965">
        <v>3760</v>
      </c>
      <c r="I965" s="2">
        <f>sa_retail_sales[[#This Row],[Profit]] / sa_retail_sales[[#This Row],[Revenue]]</f>
        <v>0.31224049161268891</v>
      </c>
      <c r="J965">
        <f xml:space="preserve"> YEAR(sa_retail_sales[[#This Row],[Order Date]])</f>
        <v>2024</v>
      </c>
    </row>
    <row r="966" spans="1:10" x14ac:dyDescent="0.3">
      <c r="A966" s="1">
        <v>45270</v>
      </c>
      <c r="B966" t="s">
        <v>11</v>
      </c>
      <c r="C966" t="s">
        <v>13</v>
      </c>
      <c r="D966" t="s">
        <v>15</v>
      </c>
      <c r="E966">
        <v>5411</v>
      </c>
      <c r="F966">
        <v>10077</v>
      </c>
      <c r="G966">
        <v>20</v>
      </c>
      <c r="H966">
        <v>-4666</v>
      </c>
      <c r="I966" s="2">
        <f>sa_retail_sales[[#This Row],[Profit]] / sa_retail_sales[[#This Row],[Revenue]]</f>
        <v>-0.86231750138606544</v>
      </c>
      <c r="J966">
        <f xml:space="preserve"> YEAR(sa_retail_sales[[#This Row],[Order Date]])</f>
        <v>2023</v>
      </c>
    </row>
    <row r="967" spans="1:10" x14ac:dyDescent="0.3">
      <c r="A967" s="1">
        <v>45307</v>
      </c>
      <c r="B967" t="s">
        <v>17</v>
      </c>
      <c r="C967" t="s">
        <v>14</v>
      </c>
      <c r="D967" t="s">
        <v>12</v>
      </c>
      <c r="E967">
        <v>903</v>
      </c>
      <c r="F967">
        <v>11549</v>
      </c>
      <c r="G967">
        <v>10</v>
      </c>
      <c r="H967">
        <v>-10646</v>
      </c>
      <c r="I967" s="2">
        <f>sa_retail_sales[[#This Row],[Profit]] / sa_retail_sales[[#This Row],[Revenue]]</f>
        <v>-11.789590254706534</v>
      </c>
      <c r="J967">
        <f xml:space="preserve"> YEAR(sa_retail_sales[[#This Row],[Order Date]])</f>
        <v>2024</v>
      </c>
    </row>
    <row r="968" spans="1:10" x14ac:dyDescent="0.3">
      <c r="A968" s="1">
        <v>45584</v>
      </c>
      <c r="B968" t="s">
        <v>11</v>
      </c>
      <c r="C968" t="s">
        <v>9</v>
      </c>
      <c r="D968" t="s">
        <v>15</v>
      </c>
      <c r="E968">
        <v>13680</v>
      </c>
      <c r="F968">
        <v>6514</v>
      </c>
      <c r="G968">
        <v>5</v>
      </c>
      <c r="H968">
        <v>7166</v>
      </c>
      <c r="I968" s="2">
        <f>sa_retail_sales[[#This Row],[Profit]] / sa_retail_sales[[#This Row],[Revenue]]</f>
        <v>0.52383040935672509</v>
      </c>
      <c r="J968">
        <f xml:space="preserve"> YEAR(sa_retail_sales[[#This Row],[Order Date]])</f>
        <v>2024</v>
      </c>
    </row>
    <row r="969" spans="1:10" x14ac:dyDescent="0.3">
      <c r="A969" s="1">
        <v>45268</v>
      </c>
      <c r="B969" t="s">
        <v>17</v>
      </c>
      <c r="C969" t="s">
        <v>9</v>
      </c>
      <c r="D969" t="s">
        <v>10</v>
      </c>
      <c r="E969">
        <v>11417</v>
      </c>
      <c r="F969">
        <v>5306</v>
      </c>
      <c r="G969">
        <v>5</v>
      </c>
      <c r="H969">
        <v>6111</v>
      </c>
      <c r="I969" s="2">
        <f>sa_retail_sales[[#This Row],[Profit]] / sa_retail_sales[[#This Row],[Revenue]]</f>
        <v>0.53525444512568976</v>
      </c>
      <c r="J969">
        <f xml:space="preserve"> YEAR(sa_retail_sales[[#This Row],[Order Date]])</f>
        <v>2023</v>
      </c>
    </row>
    <row r="970" spans="1:10" x14ac:dyDescent="0.3">
      <c r="A970" s="1">
        <v>45032</v>
      </c>
      <c r="B970" t="s">
        <v>8</v>
      </c>
      <c r="C970" t="s">
        <v>14</v>
      </c>
      <c r="D970" t="s">
        <v>15</v>
      </c>
      <c r="E970">
        <v>3882</v>
      </c>
      <c r="F970">
        <v>4285</v>
      </c>
      <c r="G970">
        <v>20</v>
      </c>
      <c r="H970">
        <v>-403</v>
      </c>
      <c r="I970" s="2">
        <f>sa_retail_sales[[#This Row],[Profit]] / sa_retail_sales[[#This Row],[Revenue]]</f>
        <v>-0.10381246780010304</v>
      </c>
      <c r="J970">
        <f xml:space="preserve"> YEAR(sa_retail_sales[[#This Row],[Order Date]])</f>
        <v>2023</v>
      </c>
    </row>
    <row r="971" spans="1:10" x14ac:dyDescent="0.3">
      <c r="A971" s="1">
        <v>44957</v>
      </c>
      <c r="B971" t="s">
        <v>11</v>
      </c>
      <c r="C971" t="s">
        <v>16</v>
      </c>
      <c r="D971" t="s">
        <v>12</v>
      </c>
      <c r="E971">
        <v>4663</v>
      </c>
      <c r="F971">
        <v>9887</v>
      </c>
      <c r="G971">
        <v>5</v>
      </c>
      <c r="H971">
        <v>-5224</v>
      </c>
      <c r="I971" s="2">
        <f>sa_retail_sales[[#This Row],[Profit]] / sa_retail_sales[[#This Row],[Revenue]]</f>
        <v>-1.1203088140681965</v>
      </c>
      <c r="J971">
        <f xml:space="preserve"> YEAR(sa_retail_sales[[#This Row],[Order Date]])</f>
        <v>2023</v>
      </c>
    </row>
    <row r="972" spans="1:10" x14ac:dyDescent="0.3">
      <c r="A972" s="1">
        <v>44822</v>
      </c>
      <c r="B972" t="s">
        <v>18</v>
      </c>
      <c r="C972" t="s">
        <v>13</v>
      </c>
      <c r="D972" t="s">
        <v>12</v>
      </c>
      <c r="E972">
        <v>8130</v>
      </c>
      <c r="F972">
        <v>9091</v>
      </c>
      <c r="G972">
        <v>20</v>
      </c>
      <c r="H972">
        <v>-961</v>
      </c>
      <c r="I972" s="2">
        <f>sa_retail_sales[[#This Row],[Profit]] / sa_retail_sales[[#This Row],[Revenue]]</f>
        <v>-0.11820418204182041</v>
      </c>
      <c r="J972">
        <f xml:space="preserve"> YEAR(sa_retail_sales[[#This Row],[Order Date]])</f>
        <v>2022</v>
      </c>
    </row>
    <row r="973" spans="1:10" x14ac:dyDescent="0.3">
      <c r="A973" s="1">
        <v>45366</v>
      </c>
      <c r="B973" t="s">
        <v>8</v>
      </c>
      <c r="C973" t="s">
        <v>13</v>
      </c>
      <c r="D973" t="s">
        <v>12</v>
      </c>
      <c r="E973">
        <v>587</v>
      </c>
      <c r="F973">
        <v>9005</v>
      </c>
      <c r="G973">
        <v>10</v>
      </c>
      <c r="H973">
        <v>-8418</v>
      </c>
      <c r="I973" s="2">
        <f>sa_retail_sales[[#This Row],[Profit]] / sa_retail_sales[[#This Row],[Revenue]]</f>
        <v>-14.340715502555366</v>
      </c>
      <c r="J973">
        <f xml:space="preserve"> YEAR(sa_retail_sales[[#This Row],[Order Date]])</f>
        <v>2024</v>
      </c>
    </row>
    <row r="974" spans="1:10" x14ac:dyDescent="0.3">
      <c r="A974" s="1">
        <v>45495</v>
      </c>
      <c r="B974" t="s">
        <v>18</v>
      </c>
      <c r="C974" t="s">
        <v>13</v>
      </c>
      <c r="D974" t="s">
        <v>15</v>
      </c>
      <c r="E974">
        <v>14836</v>
      </c>
      <c r="F974">
        <v>6291</v>
      </c>
      <c r="G974">
        <v>5</v>
      </c>
      <c r="H974">
        <v>8545</v>
      </c>
      <c r="I974" s="2">
        <f>sa_retail_sales[[#This Row],[Profit]] / sa_retail_sales[[#This Row],[Revenue]]</f>
        <v>0.57596387166352114</v>
      </c>
      <c r="J974">
        <f xml:space="preserve"> YEAR(sa_retail_sales[[#This Row],[Order Date]])</f>
        <v>2024</v>
      </c>
    </row>
    <row r="975" spans="1:10" x14ac:dyDescent="0.3">
      <c r="A975" s="1">
        <v>45466</v>
      </c>
      <c r="B975" t="s">
        <v>8</v>
      </c>
      <c r="C975" t="s">
        <v>14</v>
      </c>
      <c r="D975" t="s">
        <v>15</v>
      </c>
      <c r="E975">
        <v>9850</v>
      </c>
      <c r="F975">
        <v>6527</v>
      </c>
      <c r="G975">
        <v>0</v>
      </c>
      <c r="H975">
        <v>3323</v>
      </c>
      <c r="I975" s="2">
        <f>sa_retail_sales[[#This Row],[Profit]] / sa_retail_sales[[#This Row],[Revenue]]</f>
        <v>0.33736040609137058</v>
      </c>
      <c r="J975">
        <f xml:space="preserve"> YEAR(sa_retail_sales[[#This Row],[Order Date]])</f>
        <v>2024</v>
      </c>
    </row>
    <row r="976" spans="1:10" x14ac:dyDescent="0.3">
      <c r="A976" s="1">
        <v>45638</v>
      </c>
      <c r="B976" t="s">
        <v>11</v>
      </c>
      <c r="C976" t="s">
        <v>9</v>
      </c>
      <c r="D976" t="s">
        <v>19</v>
      </c>
      <c r="E976">
        <v>6316</v>
      </c>
      <c r="F976">
        <v>9558</v>
      </c>
      <c r="G976">
        <v>20</v>
      </c>
      <c r="H976">
        <v>-3242</v>
      </c>
      <c r="I976" s="2">
        <f>sa_retail_sales[[#This Row],[Profit]] / sa_retail_sales[[#This Row],[Revenue]]</f>
        <v>-0.513299556681444</v>
      </c>
      <c r="J976">
        <f xml:space="preserve"> YEAR(sa_retail_sales[[#This Row],[Order Date]])</f>
        <v>2024</v>
      </c>
    </row>
    <row r="977" spans="1:10" x14ac:dyDescent="0.3">
      <c r="A977" s="1">
        <v>45501</v>
      </c>
      <c r="B977" t="s">
        <v>17</v>
      </c>
      <c r="C977" t="s">
        <v>13</v>
      </c>
      <c r="D977" t="s">
        <v>19</v>
      </c>
      <c r="E977">
        <v>5970</v>
      </c>
      <c r="F977">
        <v>8133</v>
      </c>
      <c r="G977">
        <v>5</v>
      </c>
      <c r="H977">
        <v>-2163</v>
      </c>
      <c r="I977" s="2">
        <f>sa_retail_sales[[#This Row],[Profit]] / sa_retail_sales[[#This Row],[Revenue]]</f>
        <v>-0.36231155778894475</v>
      </c>
      <c r="J977">
        <f xml:space="preserve"> YEAR(sa_retail_sales[[#This Row],[Order Date]])</f>
        <v>2024</v>
      </c>
    </row>
    <row r="978" spans="1:10" x14ac:dyDescent="0.3">
      <c r="A978" s="1">
        <v>45415</v>
      </c>
      <c r="B978" t="s">
        <v>8</v>
      </c>
      <c r="C978" t="s">
        <v>9</v>
      </c>
      <c r="D978" t="s">
        <v>10</v>
      </c>
      <c r="E978">
        <v>14975</v>
      </c>
      <c r="F978">
        <v>3186</v>
      </c>
      <c r="G978">
        <v>10</v>
      </c>
      <c r="H978">
        <v>11789</v>
      </c>
      <c r="I978" s="2">
        <f>sa_retail_sales[[#This Row],[Profit]] / sa_retail_sales[[#This Row],[Revenue]]</f>
        <v>0.78724540901502504</v>
      </c>
      <c r="J978">
        <f xml:space="preserve"> YEAR(sa_retail_sales[[#This Row],[Order Date]])</f>
        <v>2024</v>
      </c>
    </row>
    <row r="979" spans="1:10" x14ac:dyDescent="0.3">
      <c r="A979" s="1">
        <v>45154</v>
      </c>
      <c r="B979" t="s">
        <v>17</v>
      </c>
      <c r="C979" t="s">
        <v>13</v>
      </c>
      <c r="D979" t="s">
        <v>19</v>
      </c>
      <c r="E979">
        <v>6776</v>
      </c>
      <c r="F979">
        <v>2953</v>
      </c>
      <c r="G979">
        <v>10</v>
      </c>
      <c r="H979">
        <v>3823</v>
      </c>
      <c r="I979" s="2">
        <f>sa_retail_sales[[#This Row],[Profit]] / sa_retail_sales[[#This Row],[Revenue]]</f>
        <v>0.56419716646989371</v>
      </c>
      <c r="J979">
        <f xml:space="preserve"> YEAR(sa_retail_sales[[#This Row],[Order Date]])</f>
        <v>2023</v>
      </c>
    </row>
    <row r="980" spans="1:10" x14ac:dyDescent="0.3">
      <c r="A980" s="1">
        <v>45275</v>
      </c>
      <c r="B980" t="s">
        <v>8</v>
      </c>
      <c r="C980" t="s">
        <v>13</v>
      </c>
      <c r="D980" t="s">
        <v>10</v>
      </c>
      <c r="E980">
        <v>6239</v>
      </c>
      <c r="F980">
        <v>9580</v>
      </c>
      <c r="G980">
        <v>0</v>
      </c>
      <c r="H980">
        <v>-3341</v>
      </c>
      <c r="I980" s="2">
        <f>sa_retail_sales[[#This Row],[Profit]] / sa_retail_sales[[#This Row],[Revenue]]</f>
        <v>-0.53550248437249559</v>
      </c>
      <c r="J980">
        <f xml:space="preserve"> YEAR(sa_retail_sales[[#This Row],[Order Date]])</f>
        <v>2023</v>
      </c>
    </row>
    <row r="981" spans="1:10" x14ac:dyDescent="0.3">
      <c r="A981" s="1">
        <v>45193</v>
      </c>
      <c r="B981" t="s">
        <v>18</v>
      </c>
      <c r="C981" t="s">
        <v>14</v>
      </c>
      <c r="D981" t="s">
        <v>12</v>
      </c>
      <c r="E981">
        <v>4773</v>
      </c>
      <c r="F981">
        <v>5164</v>
      </c>
      <c r="G981">
        <v>10</v>
      </c>
      <c r="H981">
        <v>-391</v>
      </c>
      <c r="I981" s="2">
        <f>sa_retail_sales[[#This Row],[Profit]] / sa_retail_sales[[#This Row],[Revenue]]</f>
        <v>-8.1919128430756341E-2</v>
      </c>
      <c r="J981">
        <f xml:space="preserve"> YEAR(sa_retail_sales[[#This Row],[Order Date]])</f>
        <v>2023</v>
      </c>
    </row>
    <row r="982" spans="1:10" x14ac:dyDescent="0.3">
      <c r="A982" s="1">
        <v>44620</v>
      </c>
      <c r="B982" t="s">
        <v>18</v>
      </c>
      <c r="C982" t="s">
        <v>16</v>
      </c>
      <c r="D982" t="s">
        <v>19</v>
      </c>
      <c r="E982">
        <v>11549</v>
      </c>
      <c r="F982">
        <v>2814</v>
      </c>
      <c r="G982">
        <v>10</v>
      </c>
      <c r="H982">
        <v>8735</v>
      </c>
      <c r="I982" s="2">
        <f>sa_retail_sales[[#This Row],[Profit]] / sa_retail_sales[[#This Row],[Revenue]]</f>
        <v>0.75634254047969518</v>
      </c>
      <c r="J982">
        <f xml:space="preserve"> YEAR(sa_retail_sales[[#This Row],[Order Date]])</f>
        <v>2022</v>
      </c>
    </row>
    <row r="983" spans="1:10" x14ac:dyDescent="0.3">
      <c r="A983" s="1">
        <v>44689</v>
      </c>
      <c r="B983" t="s">
        <v>8</v>
      </c>
      <c r="C983" t="s">
        <v>14</v>
      </c>
      <c r="D983" t="s">
        <v>15</v>
      </c>
      <c r="E983">
        <v>10073</v>
      </c>
      <c r="F983">
        <v>4269</v>
      </c>
      <c r="G983">
        <v>5</v>
      </c>
      <c r="H983">
        <v>5804</v>
      </c>
      <c r="I983" s="2">
        <f>sa_retail_sales[[#This Row],[Profit]] / sa_retail_sales[[#This Row],[Revenue]]</f>
        <v>0.5761937853668222</v>
      </c>
      <c r="J983">
        <f xml:space="preserve"> YEAR(sa_retail_sales[[#This Row],[Order Date]])</f>
        <v>2022</v>
      </c>
    </row>
    <row r="984" spans="1:10" x14ac:dyDescent="0.3">
      <c r="A984" s="1">
        <v>45297</v>
      </c>
      <c r="B984" t="s">
        <v>17</v>
      </c>
      <c r="C984" t="s">
        <v>13</v>
      </c>
      <c r="D984" t="s">
        <v>19</v>
      </c>
      <c r="E984">
        <v>7023</v>
      </c>
      <c r="F984">
        <v>3584</v>
      </c>
      <c r="G984">
        <v>20</v>
      </c>
      <c r="H984">
        <v>3439</v>
      </c>
      <c r="I984" s="2">
        <f>sa_retail_sales[[#This Row],[Profit]] / sa_retail_sales[[#This Row],[Revenue]]</f>
        <v>0.48967677630642176</v>
      </c>
      <c r="J984">
        <f xml:space="preserve"> YEAR(sa_retail_sales[[#This Row],[Order Date]])</f>
        <v>2024</v>
      </c>
    </row>
    <row r="985" spans="1:10" x14ac:dyDescent="0.3">
      <c r="A985" s="1">
        <v>45282</v>
      </c>
      <c r="B985" t="s">
        <v>11</v>
      </c>
      <c r="C985" t="s">
        <v>13</v>
      </c>
      <c r="D985" t="s">
        <v>10</v>
      </c>
      <c r="E985">
        <v>5503</v>
      </c>
      <c r="F985">
        <v>8040</v>
      </c>
      <c r="G985">
        <v>15</v>
      </c>
      <c r="H985">
        <v>-2537</v>
      </c>
      <c r="I985" s="2">
        <f>sa_retail_sales[[#This Row],[Profit]] / sa_retail_sales[[#This Row],[Revenue]]</f>
        <v>-0.46102126113029257</v>
      </c>
      <c r="J985">
        <f xml:space="preserve"> YEAR(sa_retail_sales[[#This Row],[Order Date]])</f>
        <v>2023</v>
      </c>
    </row>
    <row r="986" spans="1:10" x14ac:dyDescent="0.3">
      <c r="A986" s="1">
        <v>45087</v>
      </c>
      <c r="B986" t="s">
        <v>11</v>
      </c>
      <c r="C986" t="s">
        <v>16</v>
      </c>
      <c r="D986" t="s">
        <v>19</v>
      </c>
      <c r="E986">
        <v>8538</v>
      </c>
      <c r="F986">
        <v>4866</v>
      </c>
      <c r="G986">
        <v>10</v>
      </c>
      <c r="H986">
        <v>3672</v>
      </c>
      <c r="I986" s="2">
        <f>sa_retail_sales[[#This Row],[Profit]] / sa_retail_sales[[#This Row],[Revenue]]</f>
        <v>0.43007730147575546</v>
      </c>
      <c r="J986">
        <f xml:space="preserve"> YEAR(sa_retail_sales[[#This Row],[Order Date]])</f>
        <v>2023</v>
      </c>
    </row>
    <row r="987" spans="1:10" x14ac:dyDescent="0.3">
      <c r="A987" s="1">
        <v>45082</v>
      </c>
      <c r="B987" t="s">
        <v>18</v>
      </c>
      <c r="C987" t="s">
        <v>9</v>
      </c>
      <c r="D987" t="s">
        <v>12</v>
      </c>
      <c r="E987">
        <v>13373</v>
      </c>
      <c r="F987">
        <v>2496</v>
      </c>
      <c r="G987">
        <v>10</v>
      </c>
      <c r="H987">
        <v>10877</v>
      </c>
      <c r="I987" s="2">
        <f>sa_retail_sales[[#This Row],[Profit]] / sa_retail_sales[[#This Row],[Revenue]]</f>
        <v>0.8133552680774695</v>
      </c>
      <c r="J987">
        <f xml:space="preserve"> YEAR(sa_retail_sales[[#This Row],[Order Date]])</f>
        <v>2023</v>
      </c>
    </row>
    <row r="988" spans="1:10" x14ac:dyDescent="0.3">
      <c r="A988" s="1">
        <v>45113</v>
      </c>
      <c r="B988" t="s">
        <v>11</v>
      </c>
      <c r="C988" t="s">
        <v>9</v>
      </c>
      <c r="D988" t="s">
        <v>15</v>
      </c>
      <c r="E988">
        <v>7106</v>
      </c>
      <c r="F988">
        <v>1089</v>
      </c>
      <c r="G988">
        <v>15</v>
      </c>
      <c r="H988">
        <v>6017</v>
      </c>
      <c r="I988" s="2">
        <f>sa_retail_sales[[#This Row],[Profit]] / sa_retail_sales[[#This Row],[Revenue]]</f>
        <v>0.84674922600619196</v>
      </c>
      <c r="J988">
        <f xml:space="preserve"> YEAR(sa_retail_sales[[#This Row],[Order Date]])</f>
        <v>2023</v>
      </c>
    </row>
    <row r="989" spans="1:10" x14ac:dyDescent="0.3">
      <c r="A989" s="1">
        <v>44798</v>
      </c>
      <c r="B989" t="s">
        <v>18</v>
      </c>
      <c r="C989" t="s">
        <v>13</v>
      </c>
      <c r="D989" t="s">
        <v>10</v>
      </c>
      <c r="E989">
        <v>13777</v>
      </c>
      <c r="F989">
        <v>3775</v>
      </c>
      <c r="G989">
        <v>10</v>
      </c>
      <c r="H989">
        <v>10002</v>
      </c>
      <c r="I989" s="2">
        <f>sa_retail_sales[[#This Row],[Profit]] / sa_retail_sales[[#This Row],[Revenue]]</f>
        <v>0.72599259635624591</v>
      </c>
      <c r="J989">
        <f xml:space="preserve"> YEAR(sa_retail_sales[[#This Row],[Order Date]])</f>
        <v>2022</v>
      </c>
    </row>
    <row r="990" spans="1:10" x14ac:dyDescent="0.3">
      <c r="A990" s="1">
        <v>45055</v>
      </c>
      <c r="B990" t="s">
        <v>11</v>
      </c>
      <c r="C990" t="s">
        <v>9</v>
      </c>
      <c r="D990" t="s">
        <v>15</v>
      </c>
      <c r="E990">
        <v>13919</v>
      </c>
      <c r="F990">
        <v>11645</v>
      </c>
      <c r="G990">
        <v>5</v>
      </c>
      <c r="H990">
        <v>2274</v>
      </c>
      <c r="I990" s="2">
        <f>sa_retail_sales[[#This Row],[Profit]] / sa_retail_sales[[#This Row],[Revenue]]</f>
        <v>0.163373805589482</v>
      </c>
      <c r="J990">
        <f xml:space="preserve"> YEAR(sa_retail_sales[[#This Row],[Order Date]])</f>
        <v>2023</v>
      </c>
    </row>
    <row r="991" spans="1:10" x14ac:dyDescent="0.3">
      <c r="A991" s="1">
        <v>44565</v>
      </c>
      <c r="B991" t="s">
        <v>8</v>
      </c>
      <c r="C991" t="s">
        <v>13</v>
      </c>
      <c r="D991" t="s">
        <v>15</v>
      </c>
      <c r="E991">
        <v>14957</v>
      </c>
      <c r="F991">
        <v>10156</v>
      </c>
      <c r="G991">
        <v>5</v>
      </c>
      <c r="H991">
        <v>4801</v>
      </c>
      <c r="I991" s="2">
        <f>sa_retail_sales[[#This Row],[Profit]] / sa_retail_sales[[#This Row],[Revenue]]</f>
        <v>0.32098682890954067</v>
      </c>
      <c r="J991">
        <f xml:space="preserve"> YEAR(sa_retail_sales[[#This Row],[Order Date]])</f>
        <v>2022</v>
      </c>
    </row>
    <row r="992" spans="1:10" x14ac:dyDescent="0.3">
      <c r="A992" s="1">
        <v>45227</v>
      </c>
      <c r="B992" t="s">
        <v>18</v>
      </c>
      <c r="C992" t="s">
        <v>16</v>
      </c>
      <c r="D992" t="s">
        <v>10</v>
      </c>
      <c r="E992">
        <v>2564</v>
      </c>
      <c r="F992">
        <v>1609</v>
      </c>
      <c r="G992">
        <v>15</v>
      </c>
      <c r="H992">
        <v>955</v>
      </c>
      <c r="I992" s="2">
        <f>sa_retail_sales[[#This Row],[Profit]] / sa_retail_sales[[#This Row],[Revenue]]</f>
        <v>0.37246489859594384</v>
      </c>
      <c r="J992">
        <f xml:space="preserve"> YEAR(sa_retail_sales[[#This Row],[Order Date]])</f>
        <v>2023</v>
      </c>
    </row>
    <row r="993" spans="1:10" x14ac:dyDescent="0.3">
      <c r="A993" s="1">
        <v>45003</v>
      </c>
      <c r="B993" t="s">
        <v>18</v>
      </c>
      <c r="C993" t="s">
        <v>16</v>
      </c>
      <c r="D993" t="s">
        <v>15</v>
      </c>
      <c r="E993">
        <v>5815</v>
      </c>
      <c r="F993">
        <v>1164</v>
      </c>
      <c r="G993">
        <v>10</v>
      </c>
      <c r="H993">
        <v>4651</v>
      </c>
      <c r="I993" s="2">
        <f>sa_retail_sales[[#This Row],[Profit]] / sa_retail_sales[[#This Row],[Revenue]]</f>
        <v>0.79982803095442823</v>
      </c>
      <c r="J993">
        <f xml:space="preserve"> YEAR(sa_retail_sales[[#This Row],[Order Date]])</f>
        <v>2023</v>
      </c>
    </row>
    <row r="994" spans="1:10" x14ac:dyDescent="0.3">
      <c r="A994" s="1">
        <v>44590</v>
      </c>
      <c r="B994" t="s">
        <v>8</v>
      </c>
      <c r="C994" t="s">
        <v>13</v>
      </c>
      <c r="D994" t="s">
        <v>15</v>
      </c>
      <c r="E994">
        <v>11066</v>
      </c>
      <c r="F994">
        <v>5689</v>
      </c>
      <c r="G994">
        <v>10</v>
      </c>
      <c r="H994">
        <v>5377</v>
      </c>
      <c r="I994" s="2">
        <f>sa_retail_sales[[#This Row],[Profit]] / sa_retail_sales[[#This Row],[Revenue]]</f>
        <v>0.48590276522682091</v>
      </c>
      <c r="J994">
        <f xml:space="preserve"> YEAR(sa_retail_sales[[#This Row],[Order Date]])</f>
        <v>2022</v>
      </c>
    </row>
    <row r="995" spans="1:10" x14ac:dyDescent="0.3">
      <c r="A995" s="1">
        <v>45171</v>
      </c>
      <c r="B995" t="s">
        <v>18</v>
      </c>
      <c r="C995" t="s">
        <v>16</v>
      </c>
      <c r="D995" t="s">
        <v>19</v>
      </c>
      <c r="E995">
        <v>817</v>
      </c>
      <c r="F995">
        <v>3663</v>
      </c>
      <c r="G995">
        <v>20</v>
      </c>
      <c r="H995">
        <v>-2846</v>
      </c>
      <c r="I995" s="2">
        <f>sa_retail_sales[[#This Row],[Profit]] / sa_retail_sales[[#This Row],[Revenue]]</f>
        <v>-3.4834761321909427</v>
      </c>
      <c r="J995">
        <f xml:space="preserve"> YEAR(sa_retail_sales[[#This Row],[Order Date]])</f>
        <v>2023</v>
      </c>
    </row>
    <row r="996" spans="1:10" x14ac:dyDescent="0.3">
      <c r="A996" s="1">
        <v>45366</v>
      </c>
      <c r="B996" t="s">
        <v>11</v>
      </c>
      <c r="C996" t="s">
        <v>14</v>
      </c>
      <c r="D996" t="s">
        <v>15</v>
      </c>
      <c r="E996">
        <v>2002</v>
      </c>
      <c r="F996">
        <v>8515</v>
      </c>
      <c r="G996">
        <v>10</v>
      </c>
      <c r="H996">
        <v>-6513</v>
      </c>
      <c r="I996" s="2">
        <f>sa_retail_sales[[#This Row],[Profit]] / sa_retail_sales[[#This Row],[Revenue]]</f>
        <v>-3.2532467532467533</v>
      </c>
      <c r="J996">
        <f xml:space="preserve"> YEAR(sa_retail_sales[[#This Row],[Order Date]])</f>
        <v>2024</v>
      </c>
    </row>
    <row r="997" spans="1:10" x14ac:dyDescent="0.3">
      <c r="A997" s="1">
        <v>44636</v>
      </c>
      <c r="B997" t="s">
        <v>11</v>
      </c>
      <c r="C997" t="s">
        <v>14</v>
      </c>
      <c r="D997" t="s">
        <v>15</v>
      </c>
      <c r="E997">
        <v>6630</v>
      </c>
      <c r="F997">
        <v>3303</v>
      </c>
      <c r="G997">
        <v>5</v>
      </c>
      <c r="H997">
        <v>3327</v>
      </c>
      <c r="I997" s="2">
        <f>sa_retail_sales[[#This Row],[Profit]] / sa_retail_sales[[#This Row],[Revenue]]</f>
        <v>0.50180995475113122</v>
      </c>
      <c r="J997">
        <f xml:space="preserve"> YEAR(sa_retail_sales[[#This Row],[Order Date]])</f>
        <v>2022</v>
      </c>
    </row>
    <row r="998" spans="1:10" x14ac:dyDescent="0.3">
      <c r="A998" s="1">
        <v>45399</v>
      </c>
      <c r="B998" t="s">
        <v>18</v>
      </c>
      <c r="C998" t="s">
        <v>16</v>
      </c>
      <c r="D998" t="s">
        <v>15</v>
      </c>
      <c r="E998">
        <v>7919</v>
      </c>
      <c r="F998">
        <v>8802</v>
      </c>
      <c r="G998">
        <v>0</v>
      </c>
      <c r="H998">
        <v>-883</v>
      </c>
      <c r="I998" s="2">
        <f>sa_retail_sales[[#This Row],[Profit]] / sa_retail_sales[[#This Row],[Revenue]]</f>
        <v>-0.11150397777497159</v>
      </c>
      <c r="J998">
        <f xml:space="preserve"> YEAR(sa_retail_sales[[#This Row],[Order Date]])</f>
        <v>2024</v>
      </c>
    </row>
    <row r="999" spans="1:10" x14ac:dyDescent="0.3">
      <c r="A999" s="1">
        <v>44689</v>
      </c>
      <c r="B999" t="s">
        <v>11</v>
      </c>
      <c r="C999" t="s">
        <v>13</v>
      </c>
      <c r="D999" t="s">
        <v>15</v>
      </c>
      <c r="E999">
        <v>2542</v>
      </c>
      <c r="F999">
        <v>1531</v>
      </c>
      <c r="G999">
        <v>0</v>
      </c>
      <c r="H999">
        <v>1011</v>
      </c>
      <c r="I999" s="2">
        <f>sa_retail_sales[[#This Row],[Profit]] / sa_retail_sales[[#This Row],[Revenue]]</f>
        <v>0.39771833202202989</v>
      </c>
      <c r="J999">
        <f xml:space="preserve"> YEAR(sa_retail_sales[[#This Row],[Order Date]])</f>
        <v>2022</v>
      </c>
    </row>
    <row r="1000" spans="1:10" x14ac:dyDescent="0.3">
      <c r="A1000" s="1">
        <v>44603</v>
      </c>
      <c r="B1000" t="s">
        <v>17</v>
      </c>
      <c r="C1000" t="s">
        <v>13</v>
      </c>
      <c r="D1000" t="s">
        <v>10</v>
      </c>
      <c r="E1000">
        <v>5098</v>
      </c>
      <c r="F1000">
        <v>8259</v>
      </c>
      <c r="G1000">
        <v>0</v>
      </c>
      <c r="H1000">
        <v>-3161</v>
      </c>
      <c r="I1000" s="2">
        <f>sa_retail_sales[[#This Row],[Profit]] / sa_retail_sales[[#This Row],[Revenue]]</f>
        <v>-0.62004707728520991</v>
      </c>
      <c r="J1000">
        <f xml:space="preserve"> YEAR(sa_retail_sales[[#This Row],[Order Date]])</f>
        <v>2022</v>
      </c>
    </row>
    <row r="1001" spans="1:10" x14ac:dyDescent="0.3">
      <c r="A1001" s="1">
        <v>44602</v>
      </c>
      <c r="B1001" t="s">
        <v>18</v>
      </c>
      <c r="C1001" t="s">
        <v>16</v>
      </c>
      <c r="D1001" t="s">
        <v>12</v>
      </c>
      <c r="E1001">
        <v>10714</v>
      </c>
      <c r="F1001">
        <v>3011</v>
      </c>
      <c r="G1001">
        <v>0</v>
      </c>
      <c r="H1001">
        <v>7703</v>
      </c>
      <c r="I1001" s="2">
        <f>sa_retail_sales[[#This Row],[Profit]] / sa_retail_sales[[#This Row],[Revenue]]</f>
        <v>0.71896583908904232</v>
      </c>
      <c r="J1001">
        <f xml:space="preserve"> YEAR(sa_retail_sales[[#This Row],[Order Date]])</f>
        <v>2022</v>
      </c>
    </row>
    <row r="1002" spans="1:10" x14ac:dyDescent="0.3">
      <c r="A1002" s="1">
        <v>45495</v>
      </c>
      <c r="B1002" t="s">
        <v>8</v>
      </c>
      <c r="C1002" t="s">
        <v>9</v>
      </c>
      <c r="D1002" t="s">
        <v>19</v>
      </c>
      <c r="E1002">
        <v>618</v>
      </c>
      <c r="F1002">
        <v>6881</v>
      </c>
      <c r="G1002">
        <v>10</v>
      </c>
      <c r="H1002">
        <v>-6263</v>
      </c>
      <c r="I1002" s="2">
        <f>sa_retail_sales[[#This Row],[Profit]] / sa_retail_sales[[#This Row],[Revenue]]</f>
        <v>-10.13430420711974</v>
      </c>
      <c r="J1002">
        <f xml:space="preserve"> YEAR(sa_retail_sales[[#This Row],[Order Date]])</f>
        <v>2024</v>
      </c>
    </row>
    <row r="1003" spans="1:10" x14ac:dyDescent="0.3">
      <c r="A1003" s="1">
        <v>44595</v>
      </c>
      <c r="B1003" t="s">
        <v>17</v>
      </c>
      <c r="C1003" t="s">
        <v>14</v>
      </c>
      <c r="D1003" t="s">
        <v>15</v>
      </c>
      <c r="E1003">
        <v>1209</v>
      </c>
      <c r="F1003">
        <v>8005</v>
      </c>
      <c r="G1003">
        <v>10</v>
      </c>
      <c r="H1003">
        <v>-6796</v>
      </c>
      <c r="I1003" s="2">
        <f>sa_retail_sales[[#This Row],[Profit]] / sa_retail_sales[[#This Row],[Revenue]]</f>
        <v>-5.6211745244003311</v>
      </c>
      <c r="J1003">
        <f xml:space="preserve"> YEAR(sa_retail_sales[[#This Row],[Order Date]])</f>
        <v>2022</v>
      </c>
    </row>
    <row r="1004" spans="1:10" x14ac:dyDescent="0.3">
      <c r="A1004" s="1">
        <v>45602</v>
      </c>
      <c r="B1004" t="s">
        <v>18</v>
      </c>
      <c r="C1004" t="s">
        <v>9</v>
      </c>
      <c r="D1004" t="s">
        <v>15</v>
      </c>
      <c r="E1004">
        <v>4057</v>
      </c>
      <c r="F1004">
        <v>721</v>
      </c>
      <c r="G1004">
        <v>20</v>
      </c>
      <c r="H1004">
        <v>3336</v>
      </c>
      <c r="I1004" s="2">
        <f>sa_retail_sales[[#This Row],[Profit]] / sa_retail_sales[[#This Row],[Revenue]]</f>
        <v>0.82228247473502591</v>
      </c>
      <c r="J1004">
        <f xml:space="preserve"> YEAR(sa_retail_sales[[#This Row],[Order Date]])</f>
        <v>2024</v>
      </c>
    </row>
    <row r="1005" spans="1:10" x14ac:dyDescent="0.3">
      <c r="A1005" s="1">
        <v>45559</v>
      </c>
      <c r="B1005" t="s">
        <v>8</v>
      </c>
      <c r="C1005" t="s">
        <v>13</v>
      </c>
      <c r="D1005" t="s">
        <v>10</v>
      </c>
      <c r="E1005">
        <v>12832</v>
      </c>
      <c r="F1005">
        <v>10265</v>
      </c>
      <c r="G1005">
        <v>10</v>
      </c>
      <c r="H1005">
        <v>2567</v>
      </c>
      <c r="I1005" s="2">
        <f>sa_retail_sales[[#This Row],[Profit]] / sa_retail_sales[[#This Row],[Revenue]]</f>
        <v>0.20004675810473815</v>
      </c>
      <c r="J1005">
        <f xml:space="preserve"> YEAR(sa_retail_sales[[#This Row],[Order Date]])</f>
        <v>2024</v>
      </c>
    </row>
    <row r="1006" spans="1:10" x14ac:dyDescent="0.3">
      <c r="A1006" s="1">
        <v>45149</v>
      </c>
      <c r="B1006" t="s">
        <v>11</v>
      </c>
      <c r="C1006" t="s">
        <v>13</v>
      </c>
      <c r="D1006" t="s">
        <v>12</v>
      </c>
      <c r="E1006">
        <v>13101</v>
      </c>
      <c r="F1006">
        <v>1246</v>
      </c>
      <c r="G1006">
        <v>0</v>
      </c>
      <c r="H1006">
        <v>11855</v>
      </c>
      <c r="I1006" s="2">
        <f>sa_retail_sales[[#This Row],[Profit]] / sa_retail_sales[[#This Row],[Revenue]]</f>
        <v>0.90489275627814669</v>
      </c>
      <c r="J1006">
        <f xml:space="preserve"> YEAR(sa_retail_sales[[#This Row],[Order Date]])</f>
        <v>2023</v>
      </c>
    </row>
    <row r="1007" spans="1:10" x14ac:dyDescent="0.3">
      <c r="A1007" s="1">
        <v>44903</v>
      </c>
      <c r="B1007" t="s">
        <v>8</v>
      </c>
      <c r="C1007" t="s">
        <v>9</v>
      </c>
      <c r="D1007" t="s">
        <v>15</v>
      </c>
      <c r="E1007">
        <v>3750</v>
      </c>
      <c r="F1007">
        <v>9678</v>
      </c>
      <c r="G1007">
        <v>15</v>
      </c>
      <c r="H1007">
        <v>-5928</v>
      </c>
      <c r="I1007" s="2">
        <f>sa_retail_sales[[#This Row],[Profit]] / sa_retail_sales[[#This Row],[Revenue]]</f>
        <v>-1.5808</v>
      </c>
      <c r="J1007">
        <f xml:space="preserve"> YEAR(sa_retail_sales[[#This Row],[Order Date]])</f>
        <v>2022</v>
      </c>
    </row>
    <row r="1008" spans="1:10" x14ac:dyDescent="0.3">
      <c r="A1008" s="1">
        <v>44588</v>
      </c>
      <c r="B1008" t="s">
        <v>17</v>
      </c>
      <c r="C1008" t="s">
        <v>16</v>
      </c>
      <c r="D1008" t="s">
        <v>10</v>
      </c>
      <c r="E1008">
        <v>8561</v>
      </c>
      <c r="F1008">
        <v>2134</v>
      </c>
      <c r="G1008">
        <v>15</v>
      </c>
      <c r="H1008">
        <v>6427</v>
      </c>
      <c r="I1008" s="2">
        <f>sa_retail_sales[[#This Row],[Profit]] / sa_retail_sales[[#This Row],[Revenue]]</f>
        <v>0.75073005490012845</v>
      </c>
      <c r="J1008">
        <f xml:space="preserve"> YEAR(sa_retail_sales[[#This Row],[Order Date]])</f>
        <v>2022</v>
      </c>
    </row>
    <row r="1009" spans="1:10" x14ac:dyDescent="0.3">
      <c r="A1009" s="1">
        <v>45207</v>
      </c>
      <c r="B1009" t="s">
        <v>11</v>
      </c>
      <c r="C1009" t="s">
        <v>9</v>
      </c>
      <c r="D1009" t="s">
        <v>19</v>
      </c>
      <c r="E1009">
        <v>9109</v>
      </c>
      <c r="F1009">
        <v>1864</v>
      </c>
      <c r="G1009">
        <v>5</v>
      </c>
      <c r="H1009">
        <v>7245</v>
      </c>
      <c r="I1009" s="2">
        <f>sa_retail_sales[[#This Row],[Profit]] / sa_retail_sales[[#This Row],[Revenue]]</f>
        <v>0.79536721923372489</v>
      </c>
      <c r="J1009">
        <f xml:space="preserve"> YEAR(sa_retail_sales[[#This Row],[Order Date]])</f>
        <v>2023</v>
      </c>
    </row>
    <row r="1010" spans="1:10" x14ac:dyDescent="0.3">
      <c r="A1010" s="1">
        <v>45292</v>
      </c>
      <c r="B1010" t="s">
        <v>18</v>
      </c>
      <c r="C1010" t="s">
        <v>9</v>
      </c>
      <c r="D1010" t="s">
        <v>19</v>
      </c>
      <c r="E1010">
        <v>3103</v>
      </c>
      <c r="F1010">
        <v>7632</v>
      </c>
      <c r="G1010">
        <v>5</v>
      </c>
      <c r="H1010">
        <v>-4529</v>
      </c>
      <c r="I1010" s="2">
        <f>sa_retail_sales[[#This Row],[Profit]] / sa_retail_sales[[#This Row],[Revenue]]</f>
        <v>-1.4595552690944247</v>
      </c>
      <c r="J1010">
        <f xml:space="preserve"> YEAR(sa_retail_sales[[#This Row],[Order Date]])</f>
        <v>2024</v>
      </c>
    </row>
    <row r="1011" spans="1:10" x14ac:dyDescent="0.3">
      <c r="A1011" s="1">
        <v>44729</v>
      </c>
      <c r="B1011" t="s">
        <v>11</v>
      </c>
      <c r="C1011" t="s">
        <v>14</v>
      </c>
      <c r="D1011" t="s">
        <v>15</v>
      </c>
      <c r="E1011">
        <v>12546</v>
      </c>
      <c r="F1011">
        <v>5244</v>
      </c>
      <c r="G1011">
        <v>10</v>
      </c>
      <c r="H1011">
        <v>7302</v>
      </c>
      <c r="I1011" s="2">
        <f>sa_retail_sales[[#This Row],[Profit]] / sa_retail_sales[[#This Row],[Revenue]]</f>
        <v>0.58201817312290771</v>
      </c>
      <c r="J1011">
        <f xml:space="preserve"> YEAR(sa_retail_sales[[#This Row],[Order Date]])</f>
        <v>2022</v>
      </c>
    </row>
    <row r="1012" spans="1:10" x14ac:dyDescent="0.3">
      <c r="A1012" s="1">
        <v>45171</v>
      </c>
      <c r="B1012" t="s">
        <v>18</v>
      </c>
      <c r="C1012" t="s">
        <v>14</v>
      </c>
      <c r="D1012" t="s">
        <v>15</v>
      </c>
      <c r="E1012">
        <v>1601</v>
      </c>
      <c r="F1012">
        <v>10439</v>
      </c>
      <c r="G1012">
        <v>15</v>
      </c>
      <c r="H1012">
        <v>-8838</v>
      </c>
      <c r="I1012" s="2">
        <f>sa_retail_sales[[#This Row],[Profit]] / sa_retail_sales[[#This Row],[Revenue]]</f>
        <v>-5.5202998126171146</v>
      </c>
      <c r="J1012">
        <f xml:space="preserve"> YEAR(sa_retail_sales[[#This Row],[Order Date]])</f>
        <v>2023</v>
      </c>
    </row>
    <row r="1013" spans="1:10" x14ac:dyDescent="0.3">
      <c r="A1013" s="1">
        <v>44829</v>
      </c>
      <c r="B1013" t="s">
        <v>18</v>
      </c>
      <c r="C1013" t="s">
        <v>9</v>
      </c>
      <c r="D1013" t="s">
        <v>12</v>
      </c>
      <c r="E1013">
        <v>4921</v>
      </c>
      <c r="F1013">
        <v>1608</v>
      </c>
      <c r="G1013">
        <v>0</v>
      </c>
      <c r="H1013">
        <v>3313</v>
      </c>
      <c r="I1013" s="2">
        <f>sa_retail_sales[[#This Row],[Profit]] / sa_retail_sales[[#This Row],[Revenue]]</f>
        <v>0.6732371469213575</v>
      </c>
      <c r="J1013">
        <f xml:space="preserve"> YEAR(sa_retail_sales[[#This Row],[Order Date]])</f>
        <v>2022</v>
      </c>
    </row>
    <row r="1014" spans="1:10" x14ac:dyDescent="0.3">
      <c r="A1014" s="1">
        <v>45382</v>
      </c>
      <c r="B1014" t="s">
        <v>8</v>
      </c>
      <c r="C1014" t="s">
        <v>9</v>
      </c>
      <c r="D1014" t="s">
        <v>12</v>
      </c>
      <c r="E1014">
        <v>8357</v>
      </c>
      <c r="F1014">
        <v>3286</v>
      </c>
      <c r="G1014">
        <v>0</v>
      </c>
      <c r="H1014">
        <v>5071</v>
      </c>
      <c r="I1014" s="2">
        <f>sa_retail_sales[[#This Row],[Profit]] / sa_retail_sales[[#This Row],[Revenue]]</f>
        <v>0.60679669737944242</v>
      </c>
      <c r="J1014">
        <f xml:space="preserve"> YEAR(sa_retail_sales[[#This Row],[Order Date]])</f>
        <v>2024</v>
      </c>
    </row>
    <row r="1015" spans="1:10" x14ac:dyDescent="0.3">
      <c r="A1015" s="1">
        <v>45016</v>
      </c>
      <c r="B1015" t="s">
        <v>8</v>
      </c>
      <c r="C1015" t="s">
        <v>13</v>
      </c>
      <c r="D1015" t="s">
        <v>15</v>
      </c>
      <c r="E1015">
        <v>12120</v>
      </c>
      <c r="F1015">
        <v>686</v>
      </c>
      <c r="G1015">
        <v>0</v>
      </c>
      <c r="H1015">
        <v>11434</v>
      </c>
      <c r="I1015" s="2">
        <f>sa_retail_sales[[#This Row],[Profit]] / sa_retail_sales[[#This Row],[Revenue]]</f>
        <v>0.94339933993399339</v>
      </c>
      <c r="J1015">
        <f xml:space="preserve"> YEAR(sa_retail_sales[[#This Row],[Order Date]])</f>
        <v>2023</v>
      </c>
    </row>
    <row r="1016" spans="1:10" x14ac:dyDescent="0.3">
      <c r="A1016" s="1">
        <v>45467</v>
      </c>
      <c r="B1016" t="s">
        <v>8</v>
      </c>
      <c r="C1016" t="s">
        <v>14</v>
      </c>
      <c r="D1016" t="s">
        <v>10</v>
      </c>
      <c r="E1016">
        <v>8677</v>
      </c>
      <c r="F1016">
        <v>6431</v>
      </c>
      <c r="G1016">
        <v>10</v>
      </c>
      <c r="H1016">
        <v>2246</v>
      </c>
      <c r="I1016" s="2">
        <f>sa_retail_sales[[#This Row],[Profit]] / sa_retail_sales[[#This Row],[Revenue]]</f>
        <v>0.25884522300334217</v>
      </c>
      <c r="J1016">
        <f xml:space="preserve"> YEAR(sa_retail_sales[[#This Row],[Order Date]])</f>
        <v>2024</v>
      </c>
    </row>
    <row r="1017" spans="1:10" x14ac:dyDescent="0.3">
      <c r="A1017" s="1">
        <v>45483</v>
      </c>
      <c r="B1017" t="s">
        <v>17</v>
      </c>
      <c r="C1017" t="s">
        <v>14</v>
      </c>
      <c r="D1017" t="s">
        <v>12</v>
      </c>
      <c r="E1017">
        <v>14227</v>
      </c>
      <c r="F1017">
        <v>9653</v>
      </c>
      <c r="G1017">
        <v>10</v>
      </c>
      <c r="H1017">
        <v>4574</v>
      </c>
      <c r="I1017" s="2">
        <f>sa_retail_sales[[#This Row],[Profit]] / sa_retail_sales[[#This Row],[Revenue]]</f>
        <v>0.32150137063330286</v>
      </c>
      <c r="J1017">
        <f xml:space="preserve"> YEAR(sa_retail_sales[[#This Row],[Order Date]])</f>
        <v>2024</v>
      </c>
    </row>
    <row r="1018" spans="1:10" x14ac:dyDescent="0.3">
      <c r="A1018" s="1">
        <v>45542</v>
      </c>
      <c r="B1018" t="s">
        <v>17</v>
      </c>
      <c r="C1018" t="s">
        <v>13</v>
      </c>
      <c r="D1018" t="s">
        <v>15</v>
      </c>
      <c r="E1018">
        <v>6582</v>
      </c>
      <c r="F1018">
        <v>3558</v>
      </c>
      <c r="G1018">
        <v>20</v>
      </c>
      <c r="H1018">
        <v>3024</v>
      </c>
      <c r="I1018" s="2">
        <f>sa_retail_sales[[#This Row],[Profit]] / sa_retail_sales[[#This Row],[Revenue]]</f>
        <v>0.4594348222424795</v>
      </c>
      <c r="J1018">
        <f xml:space="preserve"> YEAR(sa_retail_sales[[#This Row],[Order Date]])</f>
        <v>2024</v>
      </c>
    </row>
    <row r="1019" spans="1:10" x14ac:dyDescent="0.3">
      <c r="A1019" s="1">
        <v>45263</v>
      </c>
      <c r="B1019" t="s">
        <v>8</v>
      </c>
      <c r="C1019" t="s">
        <v>16</v>
      </c>
      <c r="D1019" t="s">
        <v>12</v>
      </c>
      <c r="E1019">
        <v>7158</v>
      </c>
      <c r="F1019">
        <v>6421</v>
      </c>
      <c r="G1019">
        <v>0</v>
      </c>
      <c r="H1019">
        <v>737</v>
      </c>
      <c r="I1019" s="2">
        <f>sa_retail_sales[[#This Row],[Profit]] / sa_retail_sales[[#This Row],[Revenue]]</f>
        <v>0.10296172115115954</v>
      </c>
      <c r="J1019">
        <f xml:space="preserve"> YEAR(sa_retail_sales[[#This Row],[Order Date]])</f>
        <v>2023</v>
      </c>
    </row>
    <row r="1020" spans="1:10" x14ac:dyDescent="0.3">
      <c r="A1020" s="1">
        <v>45195</v>
      </c>
      <c r="B1020" t="s">
        <v>17</v>
      </c>
      <c r="C1020" t="s">
        <v>14</v>
      </c>
      <c r="D1020" t="s">
        <v>15</v>
      </c>
      <c r="E1020">
        <v>2761</v>
      </c>
      <c r="F1020">
        <v>5111</v>
      </c>
      <c r="G1020">
        <v>0</v>
      </c>
      <c r="H1020">
        <v>-2350</v>
      </c>
      <c r="I1020" s="2">
        <f>sa_retail_sales[[#This Row],[Profit]] / sa_retail_sales[[#This Row],[Revenue]]</f>
        <v>-0.85114089098152845</v>
      </c>
      <c r="J1020">
        <f xml:space="preserve"> YEAR(sa_retail_sales[[#This Row],[Order Date]])</f>
        <v>2023</v>
      </c>
    </row>
    <row r="1021" spans="1:10" x14ac:dyDescent="0.3">
      <c r="A1021" s="1">
        <v>44691</v>
      </c>
      <c r="B1021" t="s">
        <v>11</v>
      </c>
      <c r="C1021" t="s">
        <v>14</v>
      </c>
      <c r="D1021" t="s">
        <v>19</v>
      </c>
      <c r="E1021">
        <v>8521</v>
      </c>
      <c r="F1021">
        <v>6874</v>
      </c>
      <c r="G1021">
        <v>10</v>
      </c>
      <c r="H1021">
        <v>1647</v>
      </c>
      <c r="I1021" s="2">
        <f>sa_retail_sales[[#This Row],[Profit]] / sa_retail_sales[[#This Row],[Revenue]]</f>
        <v>0.1932871728670344</v>
      </c>
      <c r="J1021">
        <f xml:space="preserve"> YEAR(sa_retail_sales[[#This Row],[Order Date]])</f>
        <v>2022</v>
      </c>
    </row>
    <row r="1022" spans="1:10" x14ac:dyDescent="0.3">
      <c r="A1022" s="1">
        <v>45581</v>
      </c>
      <c r="B1022" t="s">
        <v>11</v>
      </c>
      <c r="C1022" t="s">
        <v>16</v>
      </c>
      <c r="D1022" t="s">
        <v>15</v>
      </c>
      <c r="E1022">
        <v>12861</v>
      </c>
      <c r="F1022">
        <v>6997</v>
      </c>
      <c r="G1022">
        <v>10</v>
      </c>
      <c r="H1022">
        <v>5864</v>
      </c>
      <c r="I1022" s="2">
        <f>sa_retail_sales[[#This Row],[Profit]] / sa_retail_sales[[#This Row],[Revenue]]</f>
        <v>0.45595210325791152</v>
      </c>
      <c r="J1022">
        <f xml:space="preserve"> YEAR(sa_retail_sales[[#This Row],[Order Date]])</f>
        <v>2024</v>
      </c>
    </row>
    <row r="1023" spans="1:10" x14ac:dyDescent="0.3">
      <c r="A1023" s="1">
        <v>45380</v>
      </c>
      <c r="B1023" t="s">
        <v>17</v>
      </c>
      <c r="C1023" t="s">
        <v>14</v>
      </c>
      <c r="D1023" t="s">
        <v>19</v>
      </c>
      <c r="E1023">
        <v>12326</v>
      </c>
      <c r="F1023">
        <v>4233</v>
      </c>
      <c r="G1023">
        <v>20</v>
      </c>
      <c r="H1023">
        <v>8093</v>
      </c>
      <c r="I1023" s="2">
        <f>sa_retail_sales[[#This Row],[Profit]] / sa_retail_sales[[#This Row],[Revenue]]</f>
        <v>0.6565795878630537</v>
      </c>
      <c r="J1023">
        <f xml:space="preserve"> YEAR(sa_retail_sales[[#This Row],[Order Date]])</f>
        <v>2024</v>
      </c>
    </row>
    <row r="1024" spans="1:10" x14ac:dyDescent="0.3">
      <c r="A1024" s="1">
        <v>45254</v>
      </c>
      <c r="B1024" t="s">
        <v>17</v>
      </c>
      <c r="C1024" t="s">
        <v>14</v>
      </c>
      <c r="D1024" t="s">
        <v>12</v>
      </c>
      <c r="E1024">
        <v>14390</v>
      </c>
      <c r="F1024">
        <v>11339</v>
      </c>
      <c r="G1024">
        <v>20</v>
      </c>
      <c r="H1024">
        <v>3051</v>
      </c>
      <c r="I1024" s="2">
        <f>sa_retail_sales[[#This Row],[Profit]] / sa_retail_sales[[#This Row],[Revenue]]</f>
        <v>0.21202223766504516</v>
      </c>
      <c r="J1024">
        <f xml:space="preserve"> YEAR(sa_retail_sales[[#This Row],[Order Date]])</f>
        <v>2023</v>
      </c>
    </row>
    <row r="1025" spans="1:10" x14ac:dyDescent="0.3">
      <c r="A1025" s="1">
        <v>45355</v>
      </c>
      <c r="B1025" t="s">
        <v>11</v>
      </c>
      <c r="C1025" t="s">
        <v>16</v>
      </c>
      <c r="D1025" t="s">
        <v>15</v>
      </c>
      <c r="E1025">
        <v>1008</v>
      </c>
      <c r="F1025">
        <v>1739</v>
      </c>
      <c r="G1025">
        <v>5</v>
      </c>
      <c r="H1025">
        <v>-731</v>
      </c>
      <c r="I1025" s="2">
        <f>sa_retail_sales[[#This Row],[Profit]] / sa_retail_sales[[#This Row],[Revenue]]</f>
        <v>-0.72519841269841268</v>
      </c>
      <c r="J1025">
        <f xml:space="preserve"> YEAR(sa_retail_sales[[#This Row],[Order Date]])</f>
        <v>2024</v>
      </c>
    </row>
    <row r="1026" spans="1:10" x14ac:dyDescent="0.3">
      <c r="A1026" s="1">
        <v>44590</v>
      </c>
      <c r="B1026" t="s">
        <v>18</v>
      </c>
      <c r="C1026" t="s">
        <v>16</v>
      </c>
      <c r="D1026" t="s">
        <v>12</v>
      </c>
      <c r="E1026">
        <v>2879</v>
      </c>
      <c r="F1026">
        <v>6469</v>
      </c>
      <c r="G1026">
        <v>15</v>
      </c>
      <c r="H1026">
        <v>-3590</v>
      </c>
      <c r="I1026" s="2">
        <f>sa_retail_sales[[#This Row],[Profit]] / sa_retail_sales[[#This Row],[Revenue]]</f>
        <v>-1.2469607502605071</v>
      </c>
      <c r="J1026">
        <f xml:space="preserve"> YEAR(sa_retail_sales[[#This Row],[Order Date]])</f>
        <v>2022</v>
      </c>
    </row>
    <row r="1027" spans="1:10" x14ac:dyDescent="0.3">
      <c r="A1027" s="1">
        <v>44710</v>
      </c>
      <c r="B1027" t="s">
        <v>11</v>
      </c>
      <c r="C1027" t="s">
        <v>9</v>
      </c>
      <c r="D1027" t="s">
        <v>19</v>
      </c>
      <c r="E1027">
        <v>11856</v>
      </c>
      <c r="F1027">
        <v>11934</v>
      </c>
      <c r="G1027">
        <v>0</v>
      </c>
      <c r="H1027">
        <v>-78</v>
      </c>
      <c r="I1027" s="2">
        <f>sa_retail_sales[[#This Row],[Profit]] / sa_retail_sales[[#This Row],[Revenue]]</f>
        <v>-6.5789473684210523E-3</v>
      </c>
      <c r="J1027">
        <f xml:space="preserve"> YEAR(sa_retail_sales[[#This Row],[Order Date]])</f>
        <v>2022</v>
      </c>
    </row>
    <row r="1028" spans="1:10" x14ac:dyDescent="0.3">
      <c r="A1028" s="1">
        <v>44572</v>
      </c>
      <c r="B1028" t="s">
        <v>11</v>
      </c>
      <c r="C1028" t="s">
        <v>13</v>
      </c>
      <c r="D1028" t="s">
        <v>15</v>
      </c>
      <c r="E1028">
        <v>9379</v>
      </c>
      <c r="F1028">
        <v>4780</v>
      </c>
      <c r="G1028">
        <v>0</v>
      </c>
      <c r="H1028">
        <v>4599</v>
      </c>
      <c r="I1028" s="2">
        <f>sa_retail_sales[[#This Row],[Profit]] / sa_retail_sales[[#This Row],[Revenue]]</f>
        <v>0.490350783665636</v>
      </c>
      <c r="J1028">
        <f xml:space="preserve"> YEAR(sa_retail_sales[[#This Row],[Order Date]])</f>
        <v>2022</v>
      </c>
    </row>
    <row r="1029" spans="1:10" x14ac:dyDescent="0.3">
      <c r="A1029" s="1">
        <v>45237</v>
      </c>
      <c r="B1029" t="s">
        <v>17</v>
      </c>
      <c r="C1029" t="s">
        <v>13</v>
      </c>
      <c r="D1029" t="s">
        <v>12</v>
      </c>
      <c r="E1029">
        <v>5252</v>
      </c>
      <c r="F1029">
        <v>355</v>
      </c>
      <c r="G1029">
        <v>20</v>
      </c>
      <c r="H1029">
        <v>4897</v>
      </c>
      <c r="I1029" s="2">
        <f>sa_retail_sales[[#This Row],[Profit]] / sa_retail_sales[[#This Row],[Revenue]]</f>
        <v>0.93240670220868238</v>
      </c>
      <c r="J1029">
        <f xml:space="preserve"> YEAR(sa_retail_sales[[#This Row],[Order Date]])</f>
        <v>2023</v>
      </c>
    </row>
    <row r="1030" spans="1:10" x14ac:dyDescent="0.3">
      <c r="A1030" s="1">
        <v>44748</v>
      </c>
      <c r="B1030" t="s">
        <v>11</v>
      </c>
      <c r="C1030" t="s">
        <v>16</v>
      </c>
      <c r="D1030" t="s">
        <v>19</v>
      </c>
      <c r="E1030">
        <v>14330</v>
      </c>
      <c r="F1030">
        <v>3624</v>
      </c>
      <c r="G1030">
        <v>20</v>
      </c>
      <c r="H1030">
        <v>10706</v>
      </c>
      <c r="I1030" s="2">
        <f>sa_retail_sales[[#This Row],[Profit]] / sa_retail_sales[[#This Row],[Revenue]]</f>
        <v>0.74710397766922543</v>
      </c>
      <c r="J1030">
        <f xml:space="preserve"> YEAR(sa_retail_sales[[#This Row],[Order Date]])</f>
        <v>2022</v>
      </c>
    </row>
    <row r="1031" spans="1:10" x14ac:dyDescent="0.3">
      <c r="A1031" s="1">
        <v>45368</v>
      </c>
      <c r="B1031" t="s">
        <v>17</v>
      </c>
      <c r="C1031" t="s">
        <v>16</v>
      </c>
      <c r="D1031" t="s">
        <v>12</v>
      </c>
      <c r="E1031">
        <v>9984</v>
      </c>
      <c r="F1031">
        <v>7077</v>
      </c>
      <c r="G1031">
        <v>5</v>
      </c>
      <c r="H1031">
        <v>2907</v>
      </c>
      <c r="I1031" s="2">
        <f>sa_retail_sales[[#This Row],[Profit]] / sa_retail_sales[[#This Row],[Revenue]]</f>
        <v>0.29116586538461536</v>
      </c>
      <c r="J1031">
        <f xml:space="preserve"> YEAR(sa_retail_sales[[#This Row],[Order Date]])</f>
        <v>2024</v>
      </c>
    </row>
    <row r="1032" spans="1:10" x14ac:dyDescent="0.3">
      <c r="A1032" s="1">
        <v>45305</v>
      </c>
      <c r="B1032" t="s">
        <v>17</v>
      </c>
      <c r="C1032" t="s">
        <v>14</v>
      </c>
      <c r="D1032" t="s">
        <v>10</v>
      </c>
      <c r="E1032">
        <v>5995</v>
      </c>
      <c r="F1032">
        <v>405</v>
      </c>
      <c r="G1032">
        <v>15</v>
      </c>
      <c r="H1032">
        <v>5590</v>
      </c>
      <c r="I1032" s="2">
        <f>sa_retail_sales[[#This Row],[Profit]] / sa_retail_sales[[#This Row],[Revenue]]</f>
        <v>0.93244370308590496</v>
      </c>
      <c r="J1032">
        <f xml:space="preserve"> YEAR(sa_retail_sales[[#This Row],[Order Date]])</f>
        <v>2024</v>
      </c>
    </row>
    <row r="1033" spans="1:10" x14ac:dyDescent="0.3">
      <c r="A1033" s="1">
        <v>44659</v>
      </c>
      <c r="B1033" t="s">
        <v>8</v>
      </c>
      <c r="C1033" t="s">
        <v>9</v>
      </c>
      <c r="D1033" t="s">
        <v>19</v>
      </c>
      <c r="E1033">
        <v>12597</v>
      </c>
      <c r="F1033">
        <v>3501</v>
      </c>
      <c r="G1033">
        <v>5</v>
      </c>
      <c r="H1033">
        <v>9096</v>
      </c>
      <c r="I1033" s="2">
        <f>sa_retail_sales[[#This Row],[Profit]] / sa_retail_sales[[#This Row],[Revenue]]</f>
        <v>0.72207668492498212</v>
      </c>
      <c r="J1033">
        <f xml:space="preserve"> YEAR(sa_retail_sales[[#This Row],[Order Date]])</f>
        <v>2022</v>
      </c>
    </row>
    <row r="1034" spans="1:10" x14ac:dyDescent="0.3">
      <c r="A1034" s="1">
        <v>44616</v>
      </c>
      <c r="B1034" t="s">
        <v>11</v>
      </c>
      <c r="C1034" t="s">
        <v>9</v>
      </c>
      <c r="D1034" t="s">
        <v>19</v>
      </c>
      <c r="E1034">
        <v>11767</v>
      </c>
      <c r="F1034">
        <v>969</v>
      </c>
      <c r="G1034">
        <v>15</v>
      </c>
      <c r="H1034">
        <v>10798</v>
      </c>
      <c r="I1034" s="2">
        <f>sa_retail_sales[[#This Row],[Profit]] / sa_retail_sales[[#This Row],[Revenue]]</f>
        <v>0.91765105804368152</v>
      </c>
      <c r="J1034">
        <f xml:space="preserve"> YEAR(sa_retail_sales[[#This Row],[Order Date]])</f>
        <v>2022</v>
      </c>
    </row>
    <row r="1035" spans="1:10" x14ac:dyDescent="0.3">
      <c r="A1035" s="1">
        <v>45184</v>
      </c>
      <c r="B1035" t="s">
        <v>18</v>
      </c>
      <c r="C1035" t="s">
        <v>16</v>
      </c>
      <c r="D1035" t="s">
        <v>19</v>
      </c>
      <c r="E1035">
        <v>3709</v>
      </c>
      <c r="F1035">
        <v>9234</v>
      </c>
      <c r="G1035">
        <v>0</v>
      </c>
      <c r="H1035">
        <v>-5525</v>
      </c>
      <c r="I1035" s="2">
        <f>sa_retail_sales[[#This Row],[Profit]] / sa_retail_sales[[#This Row],[Revenue]]</f>
        <v>-1.4896198436236183</v>
      </c>
      <c r="J1035">
        <f xml:space="preserve"> YEAR(sa_retail_sales[[#This Row],[Order Date]])</f>
        <v>2023</v>
      </c>
    </row>
    <row r="1036" spans="1:10" x14ac:dyDescent="0.3">
      <c r="A1036" s="1">
        <v>45225</v>
      </c>
      <c r="B1036" t="s">
        <v>8</v>
      </c>
      <c r="C1036" t="s">
        <v>14</v>
      </c>
      <c r="D1036" t="s">
        <v>15</v>
      </c>
      <c r="E1036">
        <v>7898</v>
      </c>
      <c r="F1036">
        <v>1266</v>
      </c>
      <c r="G1036">
        <v>5</v>
      </c>
      <c r="H1036">
        <v>6632</v>
      </c>
      <c r="I1036" s="2">
        <f>sa_retail_sales[[#This Row],[Profit]] / sa_retail_sales[[#This Row],[Revenue]]</f>
        <v>0.83970625474803751</v>
      </c>
      <c r="J1036">
        <f xml:space="preserve"> YEAR(sa_retail_sales[[#This Row],[Order Date]])</f>
        <v>2023</v>
      </c>
    </row>
    <row r="1037" spans="1:10" x14ac:dyDescent="0.3">
      <c r="A1037" s="1">
        <v>45319</v>
      </c>
      <c r="B1037" t="s">
        <v>17</v>
      </c>
      <c r="C1037" t="s">
        <v>14</v>
      </c>
      <c r="D1037" t="s">
        <v>15</v>
      </c>
      <c r="E1037">
        <v>7243</v>
      </c>
      <c r="F1037">
        <v>607</v>
      </c>
      <c r="G1037">
        <v>20</v>
      </c>
      <c r="H1037">
        <v>6636</v>
      </c>
      <c r="I1037" s="2">
        <f>sa_retail_sales[[#This Row],[Profit]] / sa_retail_sales[[#This Row],[Revenue]]</f>
        <v>0.91619494684522984</v>
      </c>
      <c r="J1037">
        <f xml:space="preserve"> YEAR(sa_retail_sales[[#This Row],[Order Date]])</f>
        <v>2024</v>
      </c>
    </row>
    <row r="1038" spans="1:10" x14ac:dyDescent="0.3">
      <c r="A1038" s="1">
        <v>44967</v>
      </c>
      <c r="B1038" t="s">
        <v>17</v>
      </c>
      <c r="C1038" t="s">
        <v>13</v>
      </c>
      <c r="D1038" t="s">
        <v>15</v>
      </c>
      <c r="E1038">
        <v>6148</v>
      </c>
      <c r="F1038">
        <v>2438</v>
      </c>
      <c r="G1038">
        <v>5</v>
      </c>
      <c r="H1038">
        <v>3710</v>
      </c>
      <c r="I1038" s="2">
        <f>sa_retail_sales[[#This Row],[Profit]] / sa_retail_sales[[#This Row],[Revenue]]</f>
        <v>0.60344827586206895</v>
      </c>
      <c r="J1038">
        <f xml:space="preserve"> YEAR(sa_retail_sales[[#This Row],[Order Date]])</f>
        <v>2023</v>
      </c>
    </row>
    <row r="1039" spans="1:10" x14ac:dyDescent="0.3">
      <c r="A1039" s="1">
        <v>44630</v>
      </c>
      <c r="B1039" t="s">
        <v>18</v>
      </c>
      <c r="C1039" t="s">
        <v>13</v>
      </c>
      <c r="D1039" t="s">
        <v>10</v>
      </c>
      <c r="E1039">
        <v>5671</v>
      </c>
      <c r="F1039">
        <v>11956</v>
      </c>
      <c r="G1039">
        <v>5</v>
      </c>
      <c r="H1039">
        <v>-6285</v>
      </c>
      <c r="I1039" s="2">
        <f>sa_retail_sales[[#This Row],[Profit]] / sa_retail_sales[[#This Row],[Revenue]]</f>
        <v>-1.1082701463586668</v>
      </c>
      <c r="J1039">
        <f xml:space="preserve"> YEAR(sa_retail_sales[[#This Row],[Order Date]])</f>
        <v>2022</v>
      </c>
    </row>
    <row r="1040" spans="1:10" x14ac:dyDescent="0.3">
      <c r="A1040" s="1">
        <v>45312</v>
      </c>
      <c r="B1040" t="s">
        <v>17</v>
      </c>
      <c r="C1040" t="s">
        <v>14</v>
      </c>
      <c r="D1040" t="s">
        <v>10</v>
      </c>
      <c r="E1040">
        <v>8390</v>
      </c>
      <c r="F1040">
        <v>409</v>
      </c>
      <c r="G1040">
        <v>0</v>
      </c>
      <c r="H1040">
        <v>7981</v>
      </c>
      <c r="I1040" s="2">
        <f>sa_retail_sales[[#This Row],[Profit]] / sa_retail_sales[[#This Row],[Revenue]]</f>
        <v>0.95125148986889152</v>
      </c>
      <c r="J1040">
        <f xml:space="preserve"> YEAR(sa_retail_sales[[#This Row],[Order Date]])</f>
        <v>2024</v>
      </c>
    </row>
    <row r="1041" spans="1:10" x14ac:dyDescent="0.3">
      <c r="A1041" s="1">
        <v>45519</v>
      </c>
      <c r="B1041" t="s">
        <v>11</v>
      </c>
      <c r="C1041" t="s">
        <v>13</v>
      </c>
      <c r="D1041" t="s">
        <v>19</v>
      </c>
      <c r="E1041">
        <v>824</v>
      </c>
      <c r="F1041">
        <v>3932</v>
      </c>
      <c r="G1041">
        <v>20</v>
      </c>
      <c r="H1041">
        <v>-3108</v>
      </c>
      <c r="I1041" s="2">
        <f>sa_retail_sales[[#This Row],[Profit]] / sa_retail_sales[[#This Row],[Revenue]]</f>
        <v>-3.7718446601941746</v>
      </c>
      <c r="J1041">
        <f xml:space="preserve"> YEAR(sa_retail_sales[[#This Row],[Order Date]])</f>
        <v>2024</v>
      </c>
    </row>
    <row r="1042" spans="1:10" x14ac:dyDescent="0.3">
      <c r="A1042" s="1">
        <v>44926</v>
      </c>
      <c r="B1042" t="s">
        <v>8</v>
      </c>
      <c r="C1042" t="s">
        <v>16</v>
      </c>
      <c r="D1042" t="s">
        <v>10</v>
      </c>
      <c r="E1042">
        <v>13779</v>
      </c>
      <c r="F1042">
        <v>7028</v>
      </c>
      <c r="G1042">
        <v>20</v>
      </c>
      <c r="H1042">
        <v>6751</v>
      </c>
      <c r="I1042" s="2">
        <f>sa_retail_sales[[#This Row],[Profit]] / sa_retail_sales[[#This Row],[Revenue]]</f>
        <v>0.48994847231293998</v>
      </c>
      <c r="J1042">
        <f xml:space="preserve"> YEAR(sa_retail_sales[[#This Row],[Order Date]])</f>
        <v>2022</v>
      </c>
    </row>
    <row r="1043" spans="1:10" x14ac:dyDescent="0.3">
      <c r="A1043" s="1">
        <v>45043</v>
      </c>
      <c r="B1043" t="s">
        <v>17</v>
      </c>
      <c r="C1043" t="s">
        <v>14</v>
      </c>
      <c r="D1043" t="s">
        <v>12</v>
      </c>
      <c r="E1043">
        <v>10685</v>
      </c>
      <c r="F1043">
        <v>5984</v>
      </c>
      <c r="G1043">
        <v>10</v>
      </c>
      <c r="H1043">
        <v>4701</v>
      </c>
      <c r="I1043" s="2">
        <f>sa_retail_sales[[#This Row],[Profit]] / sa_retail_sales[[#This Row],[Revenue]]</f>
        <v>0.43996256434253628</v>
      </c>
      <c r="J1043">
        <f xml:space="preserve"> YEAR(sa_retail_sales[[#This Row],[Order Date]])</f>
        <v>2023</v>
      </c>
    </row>
    <row r="1044" spans="1:10" x14ac:dyDescent="0.3">
      <c r="A1044" s="1">
        <v>44762</v>
      </c>
      <c r="B1044" t="s">
        <v>17</v>
      </c>
      <c r="C1044" t="s">
        <v>13</v>
      </c>
      <c r="D1044" t="s">
        <v>19</v>
      </c>
      <c r="E1044">
        <v>12668</v>
      </c>
      <c r="F1044">
        <v>6799</v>
      </c>
      <c r="G1044">
        <v>10</v>
      </c>
      <c r="H1044">
        <v>5869</v>
      </c>
      <c r="I1044" s="2">
        <f>sa_retail_sales[[#This Row],[Profit]] / sa_retail_sales[[#This Row],[Revenue]]</f>
        <v>0.46329333754341651</v>
      </c>
      <c r="J1044">
        <f xml:space="preserve"> YEAR(sa_retail_sales[[#This Row],[Order Date]])</f>
        <v>2022</v>
      </c>
    </row>
    <row r="1045" spans="1:10" x14ac:dyDescent="0.3">
      <c r="A1045" s="1">
        <v>44715</v>
      </c>
      <c r="B1045" t="s">
        <v>18</v>
      </c>
      <c r="C1045" t="s">
        <v>9</v>
      </c>
      <c r="D1045" t="s">
        <v>19</v>
      </c>
      <c r="E1045">
        <v>13504</v>
      </c>
      <c r="F1045">
        <v>2215</v>
      </c>
      <c r="G1045">
        <v>10</v>
      </c>
      <c r="H1045">
        <v>11289</v>
      </c>
      <c r="I1045" s="2">
        <f>sa_retail_sales[[#This Row],[Profit]] / sa_retail_sales[[#This Row],[Revenue]]</f>
        <v>0.8359745260663507</v>
      </c>
      <c r="J1045">
        <f xml:space="preserve"> YEAR(sa_retail_sales[[#This Row],[Order Date]])</f>
        <v>2022</v>
      </c>
    </row>
    <row r="1046" spans="1:10" x14ac:dyDescent="0.3">
      <c r="A1046" s="1">
        <v>44634</v>
      </c>
      <c r="B1046" t="s">
        <v>11</v>
      </c>
      <c r="C1046" t="s">
        <v>14</v>
      </c>
      <c r="D1046" t="s">
        <v>12</v>
      </c>
      <c r="E1046">
        <v>11462</v>
      </c>
      <c r="F1046">
        <v>856</v>
      </c>
      <c r="G1046">
        <v>0</v>
      </c>
      <c r="H1046">
        <v>10606</v>
      </c>
      <c r="I1046" s="2">
        <f>sa_retail_sales[[#This Row],[Profit]] / sa_retail_sales[[#This Row],[Revenue]]</f>
        <v>0.92531844355260862</v>
      </c>
      <c r="J1046">
        <f xml:space="preserve"> YEAR(sa_retail_sales[[#This Row],[Order Date]])</f>
        <v>2022</v>
      </c>
    </row>
    <row r="1047" spans="1:10" x14ac:dyDescent="0.3">
      <c r="A1047" s="1">
        <v>45274</v>
      </c>
      <c r="B1047" t="s">
        <v>17</v>
      </c>
      <c r="C1047" t="s">
        <v>14</v>
      </c>
      <c r="D1047" t="s">
        <v>19</v>
      </c>
      <c r="E1047">
        <v>13064</v>
      </c>
      <c r="F1047">
        <v>7919</v>
      </c>
      <c r="G1047">
        <v>5</v>
      </c>
      <c r="H1047">
        <v>5145</v>
      </c>
      <c r="I1047" s="2">
        <f>sa_retail_sales[[#This Row],[Profit]] / sa_retail_sales[[#This Row],[Revenue]]</f>
        <v>0.39383037354562156</v>
      </c>
      <c r="J1047">
        <f xml:space="preserve"> YEAR(sa_retail_sales[[#This Row],[Order Date]])</f>
        <v>2023</v>
      </c>
    </row>
    <row r="1048" spans="1:10" x14ac:dyDescent="0.3">
      <c r="A1048" s="1">
        <v>44857</v>
      </c>
      <c r="B1048" t="s">
        <v>18</v>
      </c>
      <c r="C1048" t="s">
        <v>9</v>
      </c>
      <c r="D1048" t="s">
        <v>10</v>
      </c>
      <c r="E1048">
        <v>11275</v>
      </c>
      <c r="F1048">
        <v>404</v>
      </c>
      <c r="G1048">
        <v>20</v>
      </c>
      <c r="H1048">
        <v>10871</v>
      </c>
      <c r="I1048" s="2">
        <f>sa_retail_sales[[#This Row],[Profit]] / sa_retail_sales[[#This Row],[Revenue]]</f>
        <v>0.9641685144124168</v>
      </c>
      <c r="J1048">
        <f xml:space="preserve"> YEAR(sa_retail_sales[[#This Row],[Order Date]])</f>
        <v>2022</v>
      </c>
    </row>
    <row r="1049" spans="1:10" x14ac:dyDescent="0.3">
      <c r="A1049" s="1">
        <v>45602</v>
      </c>
      <c r="B1049" t="s">
        <v>17</v>
      </c>
      <c r="C1049" t="s">
        <v>16</v>
      </c>
      <c r="D1049" t="s">
        <v>15</v>
      </c>
      <c r="E1049">
        <v>4057</v>
      </c>
      <c r="F1049">
        <v>2347</v>
      </c>
      <c r="G1049">
        <v>20</v>
      </c>
      <c r="H1049">
        <v>1710</v>
      </c>
      <c r="I1049" s="2">
        <f>sa_retail_sales[[#This Row],[Profit]] / sa_retail_sales[[#This Row],[Revenue]]</f>
        <v>0.42149371456741436</v>
      </c>
      <c r="J1049">
        <f xml:space="preserve"> YEAR(sa_retail_sales[[#This Row],[Order Date]])</f>
        <v>2024</v>
      </c>
    </row>
    <row r="1050" spans="1:10" x14ac:dyDescent="0.3">
      <c r="A1050" s="1">
        <v>44622</v>
      </c>
      <c r="B1050" t="s">
        <v>18</v>
      </c>
      <c r="C1050" t="s">
        <v>9</v>
      </c>
      <c r="D1050" t="s">
        <v>12</v>
      </c>
      <c r="E1050">
        <v>4087</v>
      </c>
      <c r="F1050">
        <v>445</v>
      </c>
      <c r="G1050">
        <v>5</v>
      </c>
      <c r="H1050">
        <v>3642</v>
      </c>
      <c r="I1050" s="2">
        <f>sa_retail_sales[[#This Row],[Profit]] / sa_retail_sales[[#This Row],[Revenue]]</f>
        <v>0.8911181795938341</v>
      </c>
      <c r="J1050">
        <f xml:space="preserve"> YEAR(sa_retail_sales[[#This Row],[Order Date]])</f>
        <v>2022</v>
      </c>
    </row>
    <row r="1051" spans="1:10" x14ac:dyDescent="0.3">
      <c r="A1051" s="1">
        <v>45500</v>
      </c>
      <c r="B1051" t="s">
        <v>18</v>
      </c>
      <c r="C1051" t="s">
        <v>14</v>
      </c>
      <c r="D1051" t="s">
        <v>10</v>
      </c>
      <c r="E1051">
        <v>651</v>
      </c>
      <c r="F1051">
        <v>11255</v>
      </c>
      <c r="G1051">
        <v>20</v>
      </c>
      <c r="H1051">
        <v>-10604</v>
      </c>
      <c r="I1051" s="2">
        <f>sa_retail_sales[[#This Row],[Profit]] / sa_retail_sales[[#This Row],[Revenue]]</f>
        <v>-16.288786482334871</v>
      </c>
      <c r="J1051">
        <f xml:space="preserve"> YEAR(sa_retail_sales[[#This Row],[Order Date]])</f>
        <v>2024</v>
      </c>
    </row>
    <row r="1052" spans="1:10" x14ac:dyDescent="0.3">
      <c r="A1052" s="1">
        <v>44603</v>
      </c>
      <c r="B1052" t="s">
        <v>11</v>
      </c>
      <c r="C1052" t="s">
        <v>16</v>
      </c>
      <c r="D1052" t="s">
        <v>12</v>
      </c>
      <c r="E1052">
        <v>1454</v>
      </c>
      <c r="F1052">
        <v>1173</v>
      </c>
      <c r="G1052">
        <v>5</v>
      </c>
      <c r="H1052">
        <v>281</v>
      </c>
      <c r="I1052" s="2">
        <f>sa_retail_sales[[#This Row],[Profit]] / sa_retail_sales[[#This Row],[Revenue]]</f>
        <v>0.19325997248968363</v>
      </c>
      <c r="J1052">
        <f xml:space="preserve"> YEAR(sa_retail_sales[[#This Row],[Order Date]])</f>
        <v>2022</v>
      </c>
    </row>
    <row r="1053" spans="1:10" x14ac:dyDescent="0.3">
      <c r="A1053" s="1">
        <v>44586</v>
      </c>
      <c r="B1053" t="s">
        <v>17</v>
      </c>
      <c r="C1053" t="s">
        <v>13</v>
      </c>
      <c r="D1053" t="s">
        <v>12</v>
      </c>
      <c r="E1053">
        <v>14294</v>
      </c>
      <c r="F1053">
        <v>598</v>
      </c>
      <c r="G1053">
        <v>0</v>
      </c>
      <c r="H1053">
        <v>13696</v>
      </c>
      <c r="I1053" s="2">
        <f>sa_retail_sales[[#This Row],[Profit]] / sa_retail_sales[[#This Row],[Revenue]]</f>
        <v>0.95816426472645866</v>
      </c>
      <c r="J1053">
        <f xml:space="preserve"> YEAR(sa_retail_sales[[#This Row],[Order Date]])</f>
        <v>2022</v>
      </c>
    </row>
    <row r="1054" spans="1:10" x14ac:dyDescent="0.3">
      <c r="A1054" s="1">
        <v>45624</v>
      </c>
      <c r="B1054" t="s">
        <v>11</v>
      </c>
      <c r="C1054" t="s">
        <v>13</v>
      </c>
      <c r="D1054" t="s">
        <v>19</v>
      </c>
      <c r="E1054">
        <v>4854</v>
      </c>
      <c r="F1054">
        <v>3538</v>
      </c>
      <c r="G1054">
        <v>0</v>
      </c>
      <c r="H1054">
        <v>1316</v>
      </c>
      <c r="I1054" s="2">
        <f>sa_retail_sales[[#This Row],[Profit]] / sa_retail_sales[[#This Row],[Revenue]]</f>
        <v>0.27111660486196953</v>
      </c>
      <c r="J1054">
        <f xml:space="preserve"> YEAR(sa_retail_sales[[#This Row],[Order Date]])</f>
        <v>2024</v>
      </c>
    </row>
    <row r="1055" spans="1:10" x14ac:dyDescent="0.3">
      <c r="A1055" s="1">
        <v>44692</v>
      </c>
      <c r="B1055" t="s">
        <v>18</v>
      </c>
      <c r="C1055" t="s">
        <v>13</v>
      </c>
      <c r="D1055" t="s">
        <v>19</v>
      </c>
      <c r="E1055">
        <v>11063</v>
      </c>
      <c r="F1055">
        <v>9137</v>
      </c>
      <c r="G1055">
        <v>0</v>
      </c>
      <c r="H1055">
        <v>1926</v>
      </c>
      <c r="I1055" s="2">
        <f>sa_retail_sales[[#This Row],[Profit]] / sa_retail_sales[[#This Row],[Revenue]]</f>
        <v>0.17409382626773931</v>
      </c>
      <c r="J1055">
        <f xml:space="preserve"> YEAR(sa_retail_sales[[#This Row],[Order Date]])</f>
        <v>2022</v>
      </c>
    </row>
    <row r="1056" spans="1:10" x14ac:dyDescent="0.3">
      <c r="A1056" s="1">
        <v>44669</v>
      </c>
      <c r="B1056" t="s">
        <v>8</v>
      </c>
      <c r="C1056" t="s">
        <v>14</v>
      </c>
      <c r="D1056" t="s">
        <v>10</v>
      </c>
      <c r="E1056">
        <v>7660</v>
      </c>
      <c r="F1056">
        <v>6682</v>
      </c>
      <c r="G1056">
        <v>5</v>
      </c>
      <c r="H1056">
        <v>978</v>
      </c>
      <c r="I1056" s="2">
        <f>sa_retail_sales[[#This Row],[Profit]] / sa_retail_sales[[#This Row],[Revenue]]</f>
        <v>0.12767624020887727</v>
      </c>
      <c r="J1056">
        <f xml:space="preserve"> YEAR(sa_retail_sales[[#This Row],[Order Date]])</f>
        <v>2022</v>
      </c>
    </row>
    <row r="1057" spans="1:10" x14ac:dyDescent="0.3">
      <c r="A1057" s="1">
        <v>44733</v>
      </c>
      <c r="B1057" t="s">
        <v>17</v>
      </c>
      <c r="C1057" t="s">
        <v>9</v>
      </c>
      <c r="D1057" t="s">
        <v>12</v>
      </c>
      <c r="E1057">
        <v>13656</v>
      </c>
      <c r="F1057">
        <v>11570</v>
      </c>
      <c r="G1057">
        <v>5</v>
      </c>
      <c r="H1057">
        <v>2086</v>
      </c>
      <c r="I1057" s="2">
        <f>sa_retail_sales[[#This Row],[Profit]] / sa_retail_sales[[#This Row],[Revenue]]</f>
        <v>0.15275336848271823</v>
      </c>
      <c r="J1057">
        <f xml:space="preserve"> YEAR(sa_retail_sales[[#This Row],[Order Date]])</f>
        <v>2022</v>
      </c>
    </row>
    <row r="1058" spans="1:10" x14ac:dyDescent="0.3">
      <c r="A1058" s="1">
        <v>44663</v>
      </c>
      <c r="B1058" t="s">
        <v>8</v>
      </c>
      <c r="C1058" t="s">
        <v>16</v>
      </c>
      <c r="D1058" t="s">
        <v>19</v>
      </c>
      <c r="E1058">
        <v>9883</v>
      </c>
      <c r="F1058">
        <v>2811</v>
      </c>
      <c r="G1058">
        <v>15</v>
      </c>
      <c r="H1058">
        <v>7072</v>
      </c>
      <c r="I1058" s="2">
        <f>sa_retail_sales[[#This Row],[Profit]] / sa_retail_sales[[#This Row],[Revenue]]</f>
        <v>0.71557219467772948</v>
      </c>
      <c r="J1058">
        <f xml:space="preserve"> YEAR(sa_retail_sales[[#This Row],[Order Date]])</f>
        <v>2022</v>
      </c>
    </row>
    <row r="1059" spans="1:10" x14ac:dyDescent="0.3">
      <c r="A1059" s="1">
        <v>45427</v>
      </c>
      <c r="B1059" t="s">
        <v>17</v>
      </c>
      <c r="C1059" t="s">
        <v>13</v>
      </c>
      <c r="D1059" t="s">
        <v>19</v>
      </c>
      <c r="E1059">
        <v>1187</v>
      </c>
      <c r="F1059">
        <v>6896</v>
      </c>
      <c r="G1059">
        <v>20</v>
      </c>
      <c r="H1059">
        <v>-5709</v>
      </c>
      <c r="I1059" s="2">
        <f>sa_retail_sales[[#This Row],[Profit]] / sa_retail_sales[[#This Row],[Revenue]]</f>
        <v>-4.8096040438079193</v>
      </c>
      <c r="J1059">
        <f xml:space="preserve"> YEAR(sa_retail_sales[[#This Row],[Order Date]])</f>
        <v>2024</v>
      </c>
    </row>
    <row r="1060" spans="1:10" x14ac:dyDescent="0.3">
      <c r="A1060" s="1">
        <v>45085</v>
      </c>
      <c r="B1060" t="s">
        <v>11</v>
      </c>
      <c r="C1060" t="s">
        <v>16</v>
      </c>
      <c r="D1060" t="s">
        <v>12</v>
      </c>
      <c r="E1060">
        <v>9001</v>
      </c>
      <c r="F1060">
        <v>1083</v>
      </c>
      <c r="G1060">
        <v>20</v>
      </c>
      <c r="H1060">
        <v>7918</v>
      </c>
      <c r="I1060" s="2">
        <f>sa_retail_sales[[#This Row],[Profit]] / sa_retail_sales[[#This Row],[Revenue]]</f>
        <v>0.87968003555160534</v>
      </c>
      <c r="J1060">
        <f xml:space="preserve"> YEAR(sa_retail_sales[[#This Row],[Order Date]])</f>
        <v>2023</v>
      </c>
    </row>
    <row r="1061" spans="1:10" x14ac:dyDescent="0.3">
      <c r="A1061" s="1">
        <v>44836</v>
      </c>
      <c r="B1061" t="s">
        <v>11</v>
      </c>
      <c r="C1061" t="s">
        <v>14</v>
      </c>
      <c r="D1061" t="s">
        <v>10</v>
      </c>
      <c r="E1061">
        <v>10194</v>
      </c>
      <c r="F1061">
        <v>5292</v>
      </c>
      <c r="G1061">
        <v>15</v>
      </c>
      <c r="H1061">
        <v>4902</v>
      </c>
      <c r="I1061" s="2">
        <f>sa_retail_sales[[#This Row],[Profit]] / sa_retail_sales[[#This Row],[Revenue]]</f>
        <v>0.48087110064743965</v>
      </c>
      <c r="J1061">
        <f xml:space="preserve"> YEAR(sa_retail_sales[[#This Row],[Order Date]])</f>
        <v>2022</v>
      </c>
    </row>
    <row r="1062" spans="1:10" x14ac:dyDescent="0.3">
      <c r="A1062" s="1">
        <v>45629</v>
      </c>
      <c r="B1062" t="s">
        <v>11</v>
      </c>
      <c r="C1062" t="s">
        <v>13</v>
      </c>
      <c r="D1062" t="s">
        <v>10</v>
      </c>
      <c r="E1062">
        <v>3627</v>
      </c>
      <c r="F1062">
        <v>670</v>
      </c>
      <c r="G1062">
        <v>15</v>
      </c>
      <c r="H1062">
        <v>2957</v>
      </c>
      <c r="I1062" s="2">
        <f>sa_retail_sales[[#This Row],[Profit]] / sa_retail_sales[[#This Row],[Revenue]]</f>
        <v>0.81527433140336369</v>
      </c>
      <c r="J1062">
        <f xml:space="preserve"> YEAR(sa_retail_sales[[#This Row],[Order Date]])</f>
        <v>2024</v>
      </c>
    </row>
    <row r="1063" spans="1:10" x14ac:dyDescent="0.3">
      <c r="A1063" s="1">
        <v>45378</v>
      </c>
      <c r="B1063" t="s">
        <v>11</v>
      </c>
      <c r="C1063" t="s">
        <v>14</v>
      </c>
      <c r="D1063" t="s">
        <v>12</v>
      </c>
      <c r="E1063">
        <v>7263</v>
      </c>
      <c r="F1063">
        <v>786</v>
      </c>
      <c r="G1063">
        <v>0</v>
      </c>
      <c r="H1063">
        <v>6477</v>
      </c>
      <c r="I1063" s="2">
        <f>sa_retail_sales[[#This Row],[Profit]] / sa_retail_sales[[#This Row],[Revenue]]</f>
        <v>0.89178025609252376</v>
      </c>
      <c r="J1063">
        <f xml:space="preserve"> YEAR(sa_retail_sales[[#This Row],[Order Date]])</f>
        <v>2024</v>
      </c>
    </row>
    <row r="1064" spans="1:10" x14ac:dyDescent="0.3">
      <c r="A1064" s="1">
        <v>45518</v>
      </c>
      <c r="B1064" t="s">
        <v>11</v>
      </c>
      <c r="C1064" t="s">
        <v>9</v>
      </c>
      <c r="D1064" t="s">
        <v>10</v>
      </c>
      <c r="E1064">
        <v>13260</v>
      </c>
      <c r="F1064">
        <v>7678</v>
      </c>
      <c r="G1064">
        <v>15</v>
      </c>
      <c r="H1064">
        <v>5582</v>
      </c>
      <c r="I1064" s="2">
        <f>sa_retail_sales[[#This Row],[Profit]] / sa_retail_sales[[#This Row],[Revenue]]</f>
        <v>0.42096530920060332</v>
      </c>
      <c r="J1064">
        <f xml:space="preserve"> YEAR(sa_retail_sales[[#This Row],[Order Date]])</f>
        <v>2024</v>
      </c>
    </row>
    <row r="1065" spans="1:10" x14ac:dyDescent="0.3">
      <c r="A1065" s="1">
        <v>45602</v>
      </c>
      <c r="B1065" t="s">
        <v>8</v>
      </c>
      <c r="C1065" t="s">
        <v>14</v>
      </c>
      <c r="D1065" t="s">
        <v>19</v>
      </c>
      <c r="E1065">
        <v>12059</v>
      </c>
      <c r="F1065">
        <v>10529</v>
      </c>
      <c r="G1065">
        <v>5</v>
      </c>
      <c r="H1065">
        <v>1530</v>
      </c>
      <c r="I1065" s="2">
        <f>sa_retail_sales[[#This Row],[Profit]] / sa_retail_sales[[#This Row],[Revenue]]</f>
        <v>0.12687619205572601</v>
      </c>
      <c r="J1065">
        <f xml:space="preserve"> YEAR(sa_retail_sales[[#This Row],[Order Date]])</f>
        <v>2024</v>
      </c>
    </row>
    <row r="1066" spans="1:10" x14ac:dyDescent="0.3">
      <c r="A1066" s="1">
        <v>44891</v>
      </c>
      <c r="B1066" t="s">
        <v>11</v>
      </c>
      <c r="C1066" t="s">
        <v>14</v>
      </c>
      <c r="D1066" t="s">
        <v>12</v>
      </c>
      <c r="E1066">
        <v>3895</v>
      </c>
      <c r="F1066">
        <v>3496</v>
      </c>
      <c r="G1066">
        <v>10</v>
      </c>
      <c r="H1066">
        <v>399</v>
      </c>
      <c r="I1066" s="2">
        <f>sa_retail_sales[[#This Row],[Profit]] / sa_retail_sales[[#This Row],[Revenue]]</f>
        <v>0.1024390243902439</v>
      </c>
      <c r="J1066">
        <f xml:space="preserve"> YEAR(sa_retail_sales[[#This Row],[Order Date]])</f>
        <v>2022</v>
      </c>
    </row>
    <row r="1067" spans="1:10" x14ac:dyDescent="0.3">
      <c r="A1067" s="1">
        <v>44573</v>
      </c>
      <c r="B1067" t="s">
        <v>18</v>
      </c>
      <c r="C1067" t="s">
        <v>9</v>
      </c>
      <c r="D1067" t="s">
        <v>19</v>
      </c>
      <c r="E1067">
        <v>9505</v>
      </c>
      <c r="F1067">
        <v>9852</v>
      </c>
      <c r="G1067">
        <v>5</v>
      </c>
      <c r="H1067">
        <v>-347</v>
      </c>
      <c r="I1067" s="2">
        <f>sa_retail_sales[[#This Row],[Profit]] / sa_retail_sales[[#This Row],[Revenue]]</f>
        <v>-3.650710152551289E-2</v>
      </c>
      <c r="J1067">
        <f xml:space="preserve"> YEAR(sa_retail_sales[[#This Row],[Order Date]])</f>
        <v>2022</v>
      </c>
    </row>
    <row r="1068" spans="1:10" x14ac:dyDescent="0.3">
      <c r="A1068" s="1">
        <v>44777</v>
      </c>
      <c r="B1068" t="s">
        <v>18</v>
      </c>
      <c r="C1068" t="s">
        <v>16</v>
      </c>
      <c r="D1068" t="s">
        <v>15</v>
      </c>
      <c r="E1068">
        <v>1345</v>
      </c>
      <c r="F1068">
        <v>4587</v>
      </c>
      <c r="G1068">
        <v>15</v>
      </c>
      <c r="H1068">
        <v>-3242</v>
      </c>
      <c r="I1068" s="2">
        <f>sa_retail_sales[[#This Row],[Profit]] / sa_retail_sales[[#This Row],[Revenue]]</f>
        <v>-2.4104089219330853</v>
      </c>
      <c r="J1068">
        <f xml:space="preserve"> YEAR(sa_retail_sales[[#This Row],[Order Date]])</f>
        <v>2022</v>
      </c>
    </row>
    <row r="1069" spans="1:10" x14ac:dyDescent="0.3">
      <c r="A1069" s="1">
        <v>44900</v>
      </c>
      <c r="B1069" t="s">
        <v>8</v>
      </c>
      <c r="C1069" t="s">
        <v>9</v>
      </c>
      <c r="D1069" t="s">
        <v>15</v>
      </c>
      <c r="E1069">
        <v>1664</v>
      </c>
      <c r="F1069">
        <v>2561</v>
      </c>
      <c r="G1069">
        <v>20</v>
      </c>
      <c r="H1069">
        <v>-897</v>
      </c>
      <c r="I1069" s="2">
        <f>sa_retail_sales[[#This Row],[Profit]] / sa_retail_sales[[#This Row],[Revenue]]</f>
        <v>-0.5390625</v>
      </c>
      <c r="J1069">
        <f xml:space="preserve"> YEAR(sa_retail_sales[[#This Row],[Order Date]])</f>
        <v>2022</v>
      </c>
    </row>
    <row r="1070" spans="1:10" x14ac:dyDescent="0.3">
      <c r="A1070" s="1">
        <v>45222</v>
      </c>
      <c r="B1070" t="s">
        <v>17</v>
      </c>
      <c r="C1070" t="s">
        <v>9</v>
      </c>
      <c r="D1070" t="s">
        <v>10</v>
      </c>
      <c r="E1070">
        <v>13454</v>
      </c>
      <c r="F1070">
        <v>11113</v>
      </c>
      <c r="G1070">
        <v>5</v>
      </c>
      <c r="H1070">
        <v>2341</v>
      </c>
      <c r="I1070" s="2">
        <f>sa_retail_sales[[#This Row],[Profit]] / sa_retail_sales[[#This Row],[Revenue]]</f>
        <v>0.17400029730935038</v>
      </c>
      <c r="J1070">
        <f xml:space="preserve"> YEAR(sa_retail_sales[[#This Row],[Order Date]])</f>
        <v>2023</v>
      </c>
    </row>
    <row r="1071" spans="1:10" x14ac:dyDescent="0.3">
      <c r="A1071" s="1">
        <v>44935</v>
      </c>
      <c r="B1071" t="s">
        <v>18</v>
      </c>
      <c r="C1071" t="s">
        <v>14</v>
      </c>
      <c r="D1071" t="s">
        <v>15</v>
      </c>
      <c r="E1071">
        <v>6404</v>
      </c>
      <c r="F1071">
        <v>9448</v>
      </c>
      <c r="G1071">
        <v>20</v>
      </c>
      <c r="H1071">
        <v>-3044</v>
      </c>
      <c r="I1071" s="2">
        <f>sa_retail_sales[[#This Row],[Profit]] / sa_retail_sales[[#This Row],[Revenue]]</f>
        <v>-0.47532792004996877</v>
      </c>
      <c r="J1071">
        <f xml:space="preserve"> YEAR(sa_retail_sales[[#This Row],[Order Date]])</f>
        <v>2023</v>
      </c>
    </row>
    <row r="1072" spans="1:10" x14ac:dyDescent="0.3">
      <c r="A1072" s="1">
        <v>45537</v>
      </c>
      <c r="B1072" t="s">
        <v>17</v>
      </c>
      <c r="C1072" t="s">
        <v>16</v>
      </c>
      <c r="D1072" t="s">
        <v>19</v>
      </c>
      <c r="E1072">
        <v>14231</v>
      </c>
      <c r="F1072">
        <v>8872</v>
      </c>
      <c r="G1072">
        <v>5</v>
      </c>
      <c r="H1072">
        <v>5359</v>
      </c>
      <c r="I1072" s="2">
        <f>sa_retail_sales[[#This Row],[Profit]] / sa_retail_sales[[#This Row],[Revenue]]</f>
        <v>0.37657227180099784</v>
      </c>
      <c r="J1072">
        <f xml:space="preserve"> YEAR(sa_retail_sales[[#This Row],[Order Date]])</f>
        <v>2024</v>
      </c>
    </row>
    <row r="1073" spans="1:10" x14ac:dyDescent="0.3">
      <c r="A1073" s="1">
        <v>45271</v>
      </c>
      <c r="B1073" t="s">
        <v>8</v>
      </c>
      <c r="C1073" t="s">
        <v>13</v>
      </c>
      <c r="D1073" t="s">
        <v>15</v>
      </c>
      <c r="E1073">
        <v>10459</v>
      </c>
      <c r="F1073">
        <v>538</v>
      </c>
      <c r="G1073">
        <v>20</v>
      </c>
      <c r="H1073">
        <v>9921</v>
      </c>
      <c r="I1073" s="2">
        <f>sa_retail_sales[[#This Row],[Profit]] / sa_retail_sales[[#This Row],[Revenue]]</f>
        <v>0.948561047901329</v>
      </c>
      <c r="J1073">
        <f xml:space="preserve"> YEAR(sa_retail_sales[[#This Row],[Order Date]])</f>
        <v>2023</v>
      </c>
    </row>
    <row r="1074" spans="1:10" x14ac:dyDescent="0.3">
      <c r="A1074" s="1">
        <v>45027</v>
      </c>
      <c r="B1074" t="s">
        <v>17</v>
      </c>
      <c r="C1074" t="s">
        <v>9</v>
      </c>
      <c r="D1074" t="s">
        <v>19</v>
      </c>
      <c r="E1074">
        <v>5860</v>
      </c>
      <c r="F1074">
        <v>7143</v>
      </c>
      <c r="G1074">
        <v>5</v>
      </c>
      <c r="H1074">
        <v>-1283</v>
      </c>
      <c r="I1074" s="2">
        <f>sa_retail_sales[[#This Row],[Profit]] / sa_retail_sales[[#This Row],[Revenue]]</f>
        <v>-0.2189419795221843</v>
      </c>
      <c r="J1074">
        <f xml:space="preserve"> YEAR(sa_retail_sales[[#This Row],[Order Date]])</f>
        <v>2023</v>
      </c>
    </row>
    <row r="1075" spans="1:10" x14ac:dyDescent="0.3">
      <c r="A1075" s="1">
        <v>45050</v>
      </c>
      <c r="B1075" t="s">
        <v>17</v>
      </c>
      <c r="C1075" t="s">
        <v>16</v>
      </c>
      <c r="D1075" t="s">
        <v>10</v>
      </c>
      <c r="E1075">
        <v>854</v>
      </c>
      <c r="F1075">
        <v>1405</v>
      </c>
      <c r="G1075">
        <v>20</v>
      </c>
      <c r="H1075">
        <v>-551</v>
      </c>
      <c r="I1075" s="2">
        <f>sa_retail_sales[[#This Row],[Profit]] / sa_retail_sales[[#This Row],[Revenue]]</f>
        <v>-0.64519906323185017</v>
      </c>
      <c r="J1075">
        <f xml:space="preserve"> YEAR(sa_retail_sales[[#This Row],[Order Date]])</f>
        <v>2023</v>
      </c>
    </row>
    <row r="1076" spans="1:10" x14ac:dyDescent="0.3">
      <c r="A1076" s="1">
        <v>44608</v>
      </c>
      <c r="B1076" t="s">
        <v>17</v>
      </c>
      <c r="C1076" t="s">
        <v>9</v>
      </c>
      <c r="D1076" t="s">
        <v>10</v>
      </c>
      <c r="E1076">
        <v>2372</v>
      </c>
      <c r="F1076">
        <v>1686</v>
      </c>
      <c r="G1076">
        <v>10</v>
      </c>
      <c r="H1076">
        <v>686</v>
      </c>
      <c r="I1076" s="2">
        <f>sa_retail_sales[[#This Row],[Profit]] / sa_retail_sales[[#This Row],[Revenue]]</f>
        <v>0.28920741989881954</v>
      </c>
      <c r="J1076">
        <f xml:space="preserve"> YEAR(sa_retail_sales[[#This Row],[Order Date]])</f>
        <v>2022</v>
      </c>
    </row>
    <row r="1077" spans="1:10" x14ac:dyDescent="0.3">
      <c r="A1077" s="1">
        <v>45339</v>
      </c>
      <c r="B1077" t="s">
        <v>17</v>
      </c>
      <c r="C1077" t="s">
        <v>9</v>
      </c>
      <c r="D1077" t="s">
        <v>19</v>
      </c>
      <c r="E1077">
        <v>2524</v>
      </c>
      <c r="F1077">
        <v>11044</v>
      </c>
      <c r="G1077">
        <v>0</v>
      </c>
      <c r="H1077">
        <v>-8520</v>
      </c>
      <c r="I1077" s="2">
        <f>sa_retail_sales[[#This Row],[Profit]] / sa_retail_sales[[#This Row],[Revenue]]</f>
        <v>-3.375594294770206</v>
      </c>
      <c r="J1077">
        <f xml:space="preserve"> YEAR(sa_retail_sales[[#This Row],[Order Date]])</f>
        <v>2024</v>
      </c>
    </row>
    <row r="1078" spans="1:10" x14ac:dyDescent="0.3">
      <c r="A1078" s="1">
        <v>45601</v>
      </c>
      <c r="B1078" t="s">
        <v>8</v>
      </c>
      <c r="C1078" t="s">
        <v>9</v>
      </c>
      <c r="D1078" t="s">
        <v>15</v>
      </c>
      <c r="E1078">
        <v>3317</v>
      </c>
      <c r="F1078">
        <v>10741</v>
      </c>
      <c r="G1078">
        <v>5</v>
      </c>
      <c r="H1078">
        <v>-7424</v>
      </c>
      <c r="I1078" s="2">
        <f>sa_retail_sales[[#This Row],[Profit]] / sa_retail_sales[[#This Row],[Revenue]]</f>
        <v>-2.2381670183901115</v>
      </c>
      <c r="J1078">
        <f xml:space="preserve"> YEAR(sa_retail_sales[[#This Row],[Order Date]])</f>
        <v>2024</v>
      </c>
    </row>
    <row r="1079" spans="1:10" x14ac:dyDescent="0.3">
      <c r="A1079" s="1">
        <v>45272</v>
      </c>
      <c r="B1079" t="s">
        <v>18</v>
      </c>
      <c r="C1079" t="s">
        <v>9</v>
      </c>
      <c r="D1079" t="s">
        <v>10</v>
      </c>
      <c r="E1079">
        <v>4332</v>
      </c>
      <c r="F1079">
        <v>10019</v>
      </c>
      <c r="G1079">
        <v>10</v>
      </c>
      <c r="H1079">
        <v>-5687</v>
      </c>
      <c r="I1079" s="2">
        <f>sa_retail_sales[[#This Row],[Profit]] / sa_retail_sales[[#This Row],[Revenue]]</f>
        <v>-1.3127885503231764</v>
      </c>
      <c r="J1079">
        <f xml:space="preserve"> YEAR(sa_retail_sales[[#This Row],[Order Date]])</f>
        <v>2023</v>
      </c>
    </row>
    <row r="1080" spans="1:10" x14ac:dyDescent="0.3">
      <c r="A1080" s="1">
        <v>44962</v>
      </c>
      <c r="B1080" t="s">
        <v>11</v>
      </c>
      <c r="C1080" t="s">
        <v>14</v>
      </c>
      <c r="D1080" t="s">
        <v>12</v>
      </c>
      <c r="E1080">
        <v>12967</v>
      </c>
      <c r="F1080">
        <v>1967</v>
      </c>
      <c r="G1080">
        <v>0</v>
      </c>
      <c r="H1080">
        <v>11000</v>
      </c>
      <c r="I1080" s="2">
        <f>sa_retail_sales[[#This Row],[Profit]] / sa_retail_sales[[#This Row],[Revenue]]</f>
        <v>0.84830724145908842</v>
      </c>
      <c r="J1080">
        <f xml:space="preserve"> YEAR(sa_retail_sales[[#This Row],[Order Date]])</f>
        <v>2023</v>
      </c>
    </row>
    <row r="1081" spans="1:10" x14ac:dyDescent="0.3">
      <c r="A1081" s="1">
        <v>45542</v>
      </c>
      <c r="B1081" t="s">
        <v>17</v>
      </c>
      <c r="C1081" t="s">
        <v>16</v>
      </c>
      <c r="D1081" t="s">
        <v>10</v>
      </c>
      <c r="E1081">
        <v>8757</v>
      </c>
      <c r="F1081">
        <v>2991</v>
      </c>
      <c r="G1081">
        <v>5</v>
      </c>
      <c r="H1081">
        <v>5766</v>
      </c>
      <c r="I1081" s="2">
        <f>sa_retail_sales[[#This Row],[Profit]] / sa_retail_sales[[#This Row],[Revenue]]</f>
        <v>0.65844467283316199</v>
      </c>
      <c r="J1081">
        <f xml:space="preserve"> YEAR(sa_retail_sales[[#This Row],[Order Date]])</f>
        <v>2024</v>
      </c>
    </row>
    <row r="1082" spans="1:10" x14ac:dyDescent="0.3">
      <c r="A1082" s="1">
        <v>44811</v>
      </c>
      <c r="B1082" t="s">
        <v>18</v>
      </c>
      <c r="C1082" t="s">
        <v>16</v>
      </c>
      <c r="D1082" t="s">
        <v>15</v>
      </c>
      <c r="E1082">
        <v>13607</v>
      </c>
      <c r="F1082">
        <v>8056</v>
      </c>
      <c r="G1082">
        <v>10</v>
      </c>
      <c r="H1082">
        <v>5551</v>
      </c>
      <c r="I1082" s="2">
        <f>sa_retail_sales[[#This Row],[Profit]] / sa_retail_sales[[#This Row],[Revenue]]</f>
        <v>0.40795178952009997</v>
      </c>
      <c r="J1082">
        <f xml:space="preserve"> YEAR(sa_retail_sales[[#This Row],[Order Date]])</f>
        <v>2022</v>
      </c>
    </row>
    <row r="1083" spans="1:10" x14ac:dyDescent="0.3">
      <c r="A1083" s="1">
        <v>44952</v>
      </c>
      <c r="B1083" t="s">
        <v>18</v>
      </c>
      <c r="C1083" t="s">
        <v>16</v>
      </c>
      <c r="D1083" t="s">
        <v>12</v>
      </c>
      <c r="E1083">
        <v>14159</v>
      </c>
      <c r="F1083">
        <v>2296</v>
      </c>
      <c r="G1083">
        <v>10</v>
      </c>
      <c r="H1083">
        <v>11863</v>
      </c>
      <c r="I1083" s="2">
        <f>sa_retail_sales[[#This Row],[Profit]] / sa_retail_sales[[#This Row],[Revenue]]</f>
        <v>0.83784165548414435</v>
      </c>
      <c r="J1083">
        <f xml:space="preserve"> YEAR(sa_retail_sales[[#This Row],[Order Date]])</f>
        <v>2023</v>
      </c>
    </row>
    <row r="1084" spans="1:10" x14ac:dyDescent="0.3">
      <c r="A1084" s="1">
        <v>44896</v>
      </c>
      <c r="B1084" t="s">
        <v>8</v>
      </c>
      <c r="C1084" t="s">
        <v>9</v>
      </c>
      <c r="D1084" t="s">
        <v>15</v>
      </c>
      <c r="E1084">
        <v>12958</v>
      </c>
      <c r="F1084">
        <v>1725</v>
      </c>
      <c r="G1084">
        <v>10</v>
      </c>
      <c r="H1084">
        <v>11233</v>
      </c>
      <c r="I1084" s="2">
        <f>sa_retail_sales[[#This Row],[Profit]] / sa_retail_sales[[#This Row],[Revenue]]</f>
        <v>0.8668776045686063</v>
      </c>
      <c r="J1084">
        <f xml:space="preserve"> YEAR(sa_retail_sales[[#This Row],[Order Date]])</f>
        <v>2022</v>
      </c>
    </row>
    <row r="1085" spans="1:10" x14ac:dyDescent="0.3">
      <c r="A1085" s="1">
        <v>45190</v>
      </c>
      <c r="B1085" t="s">
        <v>18</v>
      </c>
      <c r="C1085" t="s">
        <v>14</v>
      </c>
      <c r="D1085" t="s">
        <v>19</v>
      </c>
      <c r="E1085">
        <v>12782</v>
      </c>
      <c r="F1085">
        <v>11304</v>
      </c>
      <c r="G1085">
        <v>15</v>
      </c>
      <c r="H1085">
        <v>1478</v>
      </c>
      <c r="I1085" s="2">
        <f>sa_retail_sales[[#This Row],[Profit]] / sa_retail_sales[[#This Row],[Revenue]]</f>
        <v>0.11563135659521202</v>
      </c>
      <c r="J1085">
        <f xml:space="preserve"> YEAR(sa_retail_sales[[#This Row],[Order Date]])</f>
        <v>2023</v>
      </c>
    </row>
    <row r="1086" spans="1:10" x14ac:dyDescent="0.3">
      <c r="A1086" s="1">
        <v>44698</v>
      </c>
      <c r="B1086" t="s">
        <v>8</v>
      </c>
      <c r="C1086" t="s">
        <v>9</v>
      </c>
      <c r="D1086" t="s">
        <v>12</v>
      </c>
      <c r="E1086">
        <v>11213</v>
      </c>
      <c r="F1086">
        <v>8323</v>
      </c>
      <c r="G1086">
        <v>20</v>
      </c>
      <c r="H1086">
        <v>2890</v>
      </c>
      <c r="I1086" s="2">
        <f>sa_retail_sales[[#This Row],[Profit]] / sa_retail_sales[[#This Row],[Revenue]]</f>
        <v>0.2577365557834656</v>
      </c>
      <c r="J1086">
        <f xml:space="preserve"> YEAR(sa_retail_sales[[#This Row],[Order Date]])</f>
        <v>2022</v>
      </c>
    </row>
    <row r="1087" spans="1:10" x14ac:dyDescent="0.3">
      <c r="A1087" s="1">
        <v>45444</v>
      </c>
      <c r="B1087" t="s">
        <v>17</v>
      </c>
      <c r="C1087" t="s">
        <v>9</v>
      </c>
      <c r="D1087" t="s">
        <v>15</v>
      </c>
      <c r="E1087">
        <v>3081</v>
      </c>
      <c r="F1087">
        <v>7149</v>
      </c>
      <c r="G1087">
        <v>0</v>
      </c>
      <c r="H1087">
        <v>-4068</v>
      </c>
      <c r="I1087" s="2">
        <f>sa_retail_sales[[#This Row],[Profit]] / sa_retail_sales[[#This Row],[Revenue]]</f>
        <v>-1.320350535540409</v>
      </c>
      <c r="J1087">
        <f xml:space="preserve"> YEAR(sa_retail_sales[[#This Row],[Order Date]])</f>
        <v>2024</v>
      </c>
    </row>
    <row r="1088" spans="1:10" x14ac:dyDescent="0.3">
      <c r="A1088" s="1">
        <v>45249</v>
      </c>
      <c r="B1088" t="s">
        <v>17</v>
      </c>
      <c r="C1088" t="s">
        <v>16</v>
      </c>
      <c r="D1088" t="s">
        <v>12</v>
      </c>
      <c r="E1088">
        <v>10082</v>
      </c>
      <c r="F1088">
        <v>3547</v>
      </c>
      <c r="G1088">
        <v>20</v>
      </c>
      <c r="H1088">
        <v>6535</v>
      </c>
      <c r="I1088" s="2">
        <f>sa_retail_sales[[#This Row],[Profit]] / sa_retail_sales[[#This Row],[Revenue]]</f>
        <v>0.6481848839515969</v>
      </c>
      <c r="J1088">
        <f xml:space="preserve"> YEAR(sa_retail_sales[[#This Row],[Order Date]])</f>
        <v>2023</v>
      </c>
    </row>
    <row r="1089" spans="1:10" x14ac:dyDescent="0.3">
      <c r="A1089" s="1">
        <v>45388</v>
      </c>
      <c r="B1089" t="s">
        <v>11</v>
      </c>
      <c r="C1089" t="s">
        <v>9</v>
      </c>
      <c r="D1089" t="s">
        <v>15</v>
      </c>
      <c r="E1089">
        <v>9822</v>
      </c>
      <c r="F1089">
        <v>2892</v>
      </c>
      <c r="G1089">
        <v>20</v>
      </c>
      <c r="H1089">
        <v>6930</v>
      </c>
      <c r="I1089" s="2">
        <f>sa_retail_sales[[#This Row],[Profit]] / sa_retail_sales[[#This Row],[Revenue]]</f>
        <v>0.70555894929749541</v>
      </c>
      <c r="J1089">
        <f xml:space="preserve"> YEAR(sa_retail_sales[[#This Row],[Order Date]])</f>
        <v>2024</v>
      </c>
    </row>
    <row r="1090" spans="1:10" x14ac:dyDescent="0.3">
      <c r="A1090" s="1">
        <v>45288</v>
      </c>
      <c r="B1090" t="s">
        <v>11</v>
      </c>
      <c r="C1090" t="s">
        <v>13</v>
      </c>
      <c r="D1090" t="s">
        <v>12</v>
      </c>
      <c r="E1090">
        <v>2986</v>
      </c>
      <c r="F1090">
        <v>1790</v>
      </c>
      <c r="G1090">
        <v>20</v>
      </c>
      <c r="H1090">
        <v>1196</v>
      </c>
      <c r="I1090" s="2">
        <f>sa_retail_sales[[#This Row],[Profit]] / sa_retail_sales[[#This Row],[Revenue]]</f>
        <v>0.40053583389149366</v>
      </c>
      <c r="J1090">
        <f xml:space="preserve"> YEAR(sa_retail_sales[[#This Row],[Order Date]])</f>
        <v>2023</v>
      </c>
    </row>
    <row r="1091" spans="1:10" x14ac:dyDescent="0.3">
      <c r="A1091" s="1">
        <v>45155</v>
      </c>
      <c r="B1091" t="s">
        <v>11</v>
      </c>
      <c r="C1091" t="s">
        <v>9</v>
      </c>
      <c r="D1091" t="s">
        <v>15</v>
      </c>
      <c r="E1091">
        <v>9526</v>
      </c>
      <c r="F1091">
        <v>1524</v>
      </c>
      <c r="G1091">
        <v>10</v>
      </c>
      <c r="H1091">
        <v>8002</v>
      </c>
      <c r="I1091" s="2">
        <f>sa_retail_sales[[#This Row],[Profit]] / sa_retail_sales[[#This Row],[Revenue]]</f>
        <v>0.84001679613688851</v>
      </c>
      <c r="J1091">
        <f xml:space="preserve"> YEAR(sa_retail_sales[[#This Row],[Order Date]])</f>
        <v>2023</v>
      </c>
    </row>
    <row r="1092" spans="1:10" x14ac:dyDescent="0.3">
      <c r="A1092" s="1">
        <v>45551</v>
      </c>
      <c r="B1092" t="s">
        <v>18</v>
      </c>
      <c r="C1092" t="s">
        <v>13</v>
      </c>
      <c r="D1092" t="s">
        <v>19</v>
      </c>
      <c r="E1092">
        <v>8918</v>
      </c>
      <c r="F1092">
        <v>2887</v>
      </c>
      <c r="G1092">
        <v>20</v>
      </c>
      <c r="H1092">
        <v>6031</v>
      </c>
      <c r="I1092" s="2">
        <f>sa_retail_sales[[#This Row],[Profit]] / sa_retail_sales[[#This Row],[Revenue]]</f>
        <v>0.67627270688495178</v>
      </c>
      <c r="J1092">
        <f xml:space="preserve"> YEAR(sa_retail_sales[[#This Row],[Order Date]])</f>
        <v>2024</v>
      </c>
    </row>
    <row r="1093" spans="1:10" x14ac:dyDescent="0.3">
      <c r="A1093" s="1">
        <v>44933</v>
      </c>
      <c r="B1093" t="s">
        <v>17</v>
      </c>
      <c r="C1093" t="s">
        <v>9</v>
      </c>
      <c r="D1093" t="s">
        <v>12</v>
      </c>
      <c r="E1093">
        <v>12207</v>
      </c>
      <c r="F1093">
        <v>8014</v>
      </c>
      <c r="G1093">
        <v>15</v>
      </c>
      <c r="H1093">
        <v>4193</v>
      </c>
      <c r="I1093" s="2">
        <f>sa_retail_sales[[#This Row],[Profit]] / sa_retail_sales[[#This Row],[Revenue]]</f>
        <v>0.34349143933808468</v>
      </c>
      <c r="J1093">
        <f xml:space="preserve"> YEAR(sa_retail_sales[[#This Row],[Order Date]])</f>
        <v>2023</v>
      </c>
    </row>
    <row r="1094" spans="1:10" x14ac:dyDescent="0.3">
      <c r="A1094" s="1">
        <v>45496</v>
      </c>
      <c r="B1094" t="s">
        <v>8</v>
      </c>
      <c r="C1094" t="s">
        <v>14</v>
      </c>
      <c r="D1094" t="s">
        <v>12</v>
      </c>
      <c r="E1094">
        <v>13229</v>
      </c>
      <c r="F1094">
        <v>3364</v>
      </c>
      <c r="G1094">
        <v>5</v>
      </c>
      <c r="H1094">
        <v>9865</v>
      </c>
      <c r="I1094" s="2">
        <f>sa_retail_sales[[#This Row],[Profit]] / sa_retail_sales[[#This Row],[Revenue]]</f>
        <v>0.74571018217552343</v>
      </c>
      <c r="J1094">
        <f xml:space="preserve"> YEAR(sa_retail_sales[[#This Row],[Order Date]])</f>
        <v>2024</v>
      </c>
    </row>
    <row r="1095" spans="1:10" x14ac:dyDescent="0.3">
      <c r="A1095" s="1">
        <v>45556</v>
      </c>
      <c r="B1095" t="s">
        <v>11</v>
      </c>
      <c r="C1095" t="s">
        <v>14</v>
      </c>
      <c r="D1095" t="s">
        <v>12</v>
      </c>
      <c r="E1095">
        <v>2943</v>
      </c>
      <c r="F1095">
        <v>8104</v>
      </c>
      <c r="G1095">
        <v>10</v>
      </c>
      <c r="H1095">
        <v>-5161</v>
      </c>
      <c r="I1095" s="2">
        <f>sa_retail_sales[[#This Row],[Profit]] / sa_retail_sales[[#This Row],[Revenue]]</f>
        <v>-1.7536527353041114</v>
      </c>
      <c r="J1095">
        <f xml:space="preserve"> YEAR(sa_retail_sales[[#This Row],[Order Date]])</f>
        <v>2024</v>
      </c>
    </row>
    <row r="1096" spans="1:10" x14ac:dyDescent="0.3">
      <c r="A1096" s="1">
        <v>44963</v>
      </c>
      <c r="B1096" t="s">
        <v>8</v>
      </c>
      <c r="C1096" t="s">
        <v>16</v>
      </c>
      <c r="D1096" t="s">
        <v>12</v>
      </c>
      <c r="E1096">
        <v>9419</v>
      </c>
      <c r="F1096">
        <v>1132</v>
      </c>
      <c r="G1096">
        <v>0</v>
      </c>
      <c r="H1096">
        <v>8287</v>
      </c>
      <c r="I1096" s="2">
        <f>sa_retail_sales[[#This Row],[Profit]] / sa_retail_sales[[#This Row],[Revenue]]</f>
        <v>0.87981739038114448</v>
      </c>
      <c r="J1096">
        <f xml:space="preserve"> YEAR(sa_retail_sales[[#This Row],[Order Date]])</f>
        <v>2023</v>
      </c>
    </row>
    <row r="1097" spans="1:10" x14ac:dyDescent="0.3">
      <c r="A1097" s="1">
        <v>45176</v>
      </c>
      <c r="B1097" t="s">
        <v>8</v>
      </c>
      <c r="C1097" t="s">
        <v>9</v>
      </c>
      <c r="D1097" t="s">
        <v>19</v>
      </c>
      <c r="E1097">
        <v>14392</v>
      </c>
      <c r="F1097">
        <v>2740</v>
      </c>
      <c r="G1097">
        <v>5</v>
      </c>
      <c r="H1097">
        <v>11652</v>
      </c>
      <c r="I1097" s="2">
        <f>sa_retail_sales[[#This Row],[Profit]] / sa_retail_sales[[#This Row],[Revenue]]</f>
        <v>0.80961645358532519</v>
      </c>
      <c r="J1097">
        <f xml:space="preserve"> YEAR(sa_retail_sales[[#This Row],[Order Date]])</f>
        <v>2023</v>
      </c>
    </row>
    <row r="1098" spans="1:10" x14ac:dyDescent="0.3">
      <c r="A1098" s="1">
        <v>45556</v>
      </c>
      <c r="B1098" t="s">
        <v>11</v>
      </c>
      <c r="C1098" t="s">
        <v>13</v>
      </c>
      <c r="D1098" t="s">
        <v>12</v>
      </c>
      <c r="E1098">
        <v>14919</v>
      </c>
      <c r="F1098">
        <v>5095</v>
      </c>
      <c r="G1098">
        <v>5</v>
      </c>
      <c r="H1098">
        <v>9824</v>
      </c>
      <c r="I1098" s="2">
        <f>sa_retail_sales[[#This Row],[Profit]] / sa_retail_sales[[#This Row],[Revenue]]</f>
        <v>0.65848917487767278</v>
      </c>
      <c r="J1098">
        <f xml:space="preserve"> YEAR(sa_retail_sales[[#This Row],[Order Date]])</f>
        <v>2024</v>
      </c>
    </row>
    <row r="1099" spans="1:10" x14ac:dyDescent="0.3">
      <c r="A1099" s="1">
        <v>45181</v>
      </c>
      <c r="B1099" t="s">
        <v>17</v>
      </c>
      <c r="C1099" t="s">
        <v>13</v>
      </c>
      <c r="D1099" t="s">
        <v>10</v>
      </c>
      <c r="E1099">
        <v>12378</v>
      </c>
      <c r="F1099">
        <v>1946</v>
      </c>
      <c r="G1099">
        <v>5</v>
      </c>
      <c r="H1099">
        <v>10432</v>
      </c>
      <c r="I1099" s="2">
        <f>sa_retail_sales[[#This Row],[Profit]] / sa_retail_sales[[#This Row],[Revenue]]</f>
        <v>0.84278558733236386</v>
      </c>
      <c r="J1099">
        <f xml:space="preserve"> YEAR(sa_retail_sales[[#This Row],[Order Date]])</f>
        <v>2023</v>
      </c>
    </row>
    <row r="1100" spans="1:10" x14ac:dyDescent="0.3">
      <c r="A1100" s="1">
        <v>44749</v>
      </c>
      <c r="B1100" t="s">
        <v>11</v>
      </c>
      <c r="C1100" t="s">
        <v>9</v>
      </c>
      <c r="D1100" t="s">
        <v>19</v>
      </c>
      <c r="E1100">
        <v>12314</v>
      </c>
      <c r="F1100">
        <v>740</v>
      </c>
      <c r="G1100">
        <v>20</v>
      </c>
      <c r="H1100">
        <v>11574</v>
      </c>
      <c r="I1100" s="2">
        <f>sa_retail_sales[[#This Row],[Profit]] / sa_retail_sales[[#This Row],[Revenue]]</f>
        <v>0.93990579827838228</v>
      </c>
      <c r="J1100">
        <f xml:space="preserve"> YEAR(sa_retail_sales[[#This Row],[Order Date]])</f>
        <v>2022</v>
      </c>
    </row>
    <row r="1101" spans="1:10" x14ac:dyDescent="0.3">
      <c r="A1101" s="1">
        <v>44692</v>
      </c>
      <c r="B1101" t="s">
        <v>8</v>
      </c>
      <c r="C1101" t="s">
        <v>13</v>
      </c>
      <c r="D1101" t="s">
        <v>10</v>
      </c>
      <c r="E1101">
        <v>1536</v>
      </c>
      <c r="F1101">
        <v>6256</v>
      </c>
      <c r="G1101">
        <v>20</v>
      </c>
      <c r="H1101">
        <v>-4720</v>
      </c>
      <c r="I1101" s="2">
        <f>sa_retail_sales[[#This Row],[Profit]] / sa_retail_sales[[#This Row],[Revenue]]</f>
        <v>-3.0729166666666665</v>
      </c>
      <c r="J1101">
        <f xml:space="preserve"> YEAR(sa_retail_sales[[#This Row],[Order Date]])</f>
        <v>2022</v>
      </c>
    </row>
    <row r="1102" spans="1:10" x14ac:dyDescent="0.3">
      <c r="A1102" s="1">
        <v>45366</v>
      </c>
      <c r="B1102" t="s">
        <v>11</v>
      </c>
      <c r="C1102" t="s">
        <v>14</v>
      </c>
      <c r="D1102" t="s">
        <v>12</v>
      </c>
      <c r="E1102">
        <v>10524</v>
      </c>
      <c r="F1102">
        <v>10021</v>
      </c>
      <c r="G1102">
        <v>10</v>
      </c>
      <c r="H1102">
        <v>503</v>
      </c>
      <c r="I1102" s="2">
        <f>sa_retail_sales[[#This Row],[Profit]] / sa_retail_sales[[#This Row],[Revenue]]</f>
        <v>4.7795515013302925E-2</v>
      </c>
      <c r="J1102">
        <f xml:space="preserve"> YEAR(sa_retail_sales[[#This Row],[Order Date]])</f>
        <v>2024</v>
      </c>
    </row>
    <row r="1103" spans="1:10" x14ac:dyDescent="0.3">
      <c r="A1103" s="1">
        <v>45497</v>
      </c>
      <c r="B1103" t="s">
        <v>8</v>
      </c>
      <c r="C1103" t="s">
        <v>13</v>
      </c>
      <c r="D1103" t="s">
        <v>15</v>
      </c>
      <c r="E1103">
        <v>14636</v>
      </c>
      <c r="F1103">
        <v>11457</v>
      </c>
      <c r="G1103">
        <v>20</v>
      </c>
      <c r="H1103">
        <v>3179</v>
      </c>
      <c r="I1103" s="2">
        <f>sa_retail_sales[[#This Row],[Profit]] / sa_retail_sales[[#This Row],[Revenue]]</f>
        <v>0.21720415414047553</v>
      </c>
      <c r="J1103">
        <f xml:space="preserve"> YEAR(sa_retail_sales[[#This Row],[Order Date]])</f>
        <v>2024</v>
      </c>
    </row>
    <row r="1104" spans="1:10" x14ac:dyDescent="0.3">
      <c r="A1104" s="1">
        <v>45547</v>
      </c>
      <c r="B1104" t="s">
        <v>8</v>
      </c>
      <c r="C1104" t="s">
        <v>16</v>
      </c>
      <c r="D1104" t="s">
        <v>10</v>
      </c>
      <c r="E1104">
        <v>11432</v>
      </c>
      <c r="F1104">
        <v>2667</v>
      </c>
      <c r="G1104">
        <v>20</v>
      </c>
      <c r="H1104">
        <v>8765</v>
      </c>
      <c r="I1104" s="2">
        <f>sa_retail_sales[[#This Row],[Profit]] / sa_retail_sales[[#This Row],[Revenue]]</f>
        <v>0.76670748775367392</v>
      </c>
      <c r="J1104">
        <f xml:space="preserve"> YEAR(sa_retail_sales[[#This Row],[Order Date]])</f>
        <v>2024</v>
      </c>
    </row>
    <row r="1105" spans="1:10" x14ac:dyDescent="0.3">
      <c r="A1105" s="1">
        <v>44744</v>
      </c>
      <c r="B1105" t="s">
        <v>11</v>
      </c>
      <c r="C1105" t="s">
        <v>14</v>
      </c>
      <c r="D1105" t="s">
        <v>12</v>
      </c>
      <c r="E1105">
        <v>9184</v>
      </c>
      <c r="F1105">
        <v>6996</v>
      </c>
      <c r="G1105">
        <v>20</v>
      </c>
      <c r="H1105">
        <v>2188</v>
      </c>
      <c r="I1105" s="2">
        <f>sa_retail_sales[[#This Row],[Profit]] / sa_retail_sales[[#This Row],[Revenue]]</f>
        <v>0.23824041811846691</v>
      </c>
      <c r="J1105">
        <f xml:space="preserve"> YEAR(sa_retail_sales[[#This Row],[Order Date]])</f>
        <v>2022</v>
      </c>
    </row>
    <row r="1106" spans="1:10" x14ac:dyDescent="0.3">
      <c r="A1106" s="1">
        <v>45544</v>
      </c>
      <c r="B1106" t="s">
        <v>18</v>
      </c>
      <c r="C1106" t="s">
        <v>14</v>
      </c>
      <c r="D1106" t="s">
        <v>10</v>
      </c>
      <c r="E1106">
        <v>7935</v>
      </c>
      <c r="F1106">
        <v>11778</v>
      </c>
      <c r="G1106">
        <v>10</v>
      </c>
      <c r="H1106">
        <v>-3843</v>
      </c>
      <c r="I1106" s="2">
        <f>sa_retail_sales[[#This Row],[Profit]] / sa_retail_sales[[#This Row],[Revenue]]</f>
        <v>-0.48431001890359165</v>
      </c>
      <c r="J1106">
        <f xml:space="preserve"> YEAR(sa_retail_sales[[#This Row],[Order Date]])</f>
        <v>2024</v>
      </c>
    </row>
    <row r="1107" spans="1:10" x14ac:dyDescent="0.3">
      <c r="A1107" s="1">
        <v>44925</v>
      </c>
      <c r="B1107" t="s">
        <v>11</v>
      </c>
      <c r="C1107" t="s">
        <v>14</v>
      </c>
      <c r="D1107" t="s">
        <v>12</v>
      </c>
      <c r="E1107">
        <v>2048</v>
      </c>
      <c r="F1107">
        <v>5490</v>
      </c>
      <c r="G1107">
        <v>10</v>
      </c>
      <c r="H1107">
        <v>-3442</v>
      </c>
      <c r="I1107" s="2">
        <f>sa_retail_sales[[#This Row],[Profit]] / sa_retail_sales[[#This Row],[Revenue]]</f>
        <v>-1.6806640625</v>
      </c>
      <c r="J1107">
        <f xml:space="preserve"> YEAR(sa_retail_sales[[#This Row],[Order Date]])</f>
        <v>2022</v>
      </c>
    </row>
    <row r="1108" spans="1:10" x14ac:dyDescent="0.3">
      <c r="A1108" s="1">
        <v>44600</v>
      </c>
      <c r="B1108" t="s">
        <v>18</v>
      </c>
      <c r="C1108" t="s">
        <v>9</v>
      </c>
      <c r="D1108" t="s">
        <v>12</v>
      </c>
      <c r="E1108">
        <v>9835</v>
      </c>
      <c r="F1108">
        <v>4963</v>
      </c>
      <c r="G1108">
        <v>15</v>
      </c>
      <c r="H1108">
        <v>4872</v>
      </c>
      <c r="I1108" s="2">
        <f>sa_retail_sales[[#This Row],[Profit]] / sa_retail_sales[[#This Row],[Revenue]]</f>
        <v>0.49537366548042705</v>
      </c>
      <c r="J1108">
        <f xml:space="preserve"> YEAR(sa_retail_sales[[#This Row],[Order Date]])</f>
        <v>2022</v>
      </c>
    </row>
    <row r="1109" spans="1:10" x14ac:dyDescent="0.3">
      <c r="A1109" s="1">
        <v>45058</v>
      </c>
      <c r="B1109" t="s">
        <v>8</v>
      </c>
      <c r="C1109" t="s">
        <v>9</v>
      </c>
      <c r="D1109" t="s">
        <v>12</v>
      </c>
      <c r="E1109">
        <v>5565</v>
      </c>
      <c r="F1109">
        <v>7362</v>
      </c>
      <c r="G1109">
        <v>15</v>
      </c>
      <c r="H1109">
        <v>-1797</v>
      </c>
      <c r="I1109" s="2">
        <f>sa_retail_sales[[#This Row],[Profit]] / sa_retail_sales[[#This Row],[Revenue]]</f>
        <v>-0.32291105121293801</v>
      </c>
      <c r="J1109">
        <f xml:space="preserve"> YEAR(sa_retail_sales[[#This Row],[Order Date]])</f>
        <v>2023</v>
      </c>
    </row>
    <row r="1110" spans="1:10" x14ac:dyDescent="0.3">
      <c r="A1110" s="1">
        <v>45543</v>
      </c>
      <c r="B1110" t="s">
        <v>8</v>
      </c>
      <c r="C1110" t="s">
        <v>14</v>
      </c>
      <c r="D1110" t="s">
        <v>15</v>
      </c>
      <c r="E1110">
        <v>6996</v>
      </c>
      <c r="F1110">
        <v>4631</v>
      </c>
      <c r="G1110">
        <v>15</v>
      </c>
      <c r="H1110">
        <v>2365</v>
      </c>
      <c r="I1110" s="2">
        <f>sa_retail_sales[[#This Row],[Profit]] / sa_retail_sales[[#This Row],[Revenue]]</f>
        <v>0.33805031446540879</v>
      </c>
      <c r="J1110">
        <f xml:space="preserve"> YEAR(sa_retail_sales[[#This Row],[Order Date]])</f>
        <v>2024</v>
      </c>
    </row>
    <row r="1111" spans="1:10" x14ac:dyDescent="0.3">
      <c r="A1111" s="1">
        <v>45482</v>
      </c>
      <c r="B1111" t="s">
        <v>18</v>
      </c>
      <c r="C1111" t="s">
        <v>9</v>
      </c>
      <c r="D1111" t="s">
        <v>10</v>
      </c>
      <c r="E1111">
        <v>6683</v>
      </c>
      <c r="F1111">
        <v>9796</v>
      </c>
      <c r="G1111">
        <v>15</v>
      </c>
      <c r="H1111">
        <v>-3113</v>
      </c>
      <c r="I1111" s="2">
        <f>sa_retail_sales[[#This Row],[Profit]] / sa_retail_sales[[#This Row],[Revenue]]</f>
        <v>-0.46580876851713304</v>
      </c>
      <c r="J1111">
        <f xml:space="preserve"> YEAR(sa_retail_sales[[#This Row],[Order Date]])</f>
        <v>2024</v>
      </c>
    </row>
    <row r="1112" spans="1:10" x14ac:dyDescent="0.3">
      <c r="A1112" s="1">
        <v>45283</v>
      </c>
      <c r="B1112" t="s">
        <v>8</v>
      </c>
      <c r="C1112" t="s">
        <v>13</v>
      </c>
      <c r="D1112" t="s">
        <v>19</v>
      </c>
      <c r="E1112">
        <v>4457</v>
      </c>
      <c r="F1112">
        <v>3334</v>
      </c>
      <c r="G1112">
        <v>5</v>
      </c>
      <c r="H1112">
        <v>1123</v>
      </c>
      <c r="I1112" s="2">
        <f>sa_retail_sales[[#This Row],[Profit]] / sa_retail_sales[[#This Row],[Revenue]]</f>
        <v>0.25196320394884453</v>
      </c>
      <c r="J1112">
        <f xml:space="preserve"> YEAR(sa_retail_sales[[#This Row],[Order Date]])</f>
        <v>2023</v>
      </c>
    </row>
    <row r="1113" spans="1:10" x14ac:dyDescent="0.3">
      <c r="A1113" s="1">
        <v>44577</v>
      </c>
      <c r="B1113" t="s">
        <v>18</v>
      </c>
      <c r="C1113" t="s">
        <v>9</v>
      </c>
      <c r="D1113" t="s">
        <v>19</v>
      </c>
      <c r="E1113">
        <v>3907</v>
      </c>
      <c r="F1113">
        <v>9677</v>
      </c>
      <c r="G1113">
        <v>5</v>
      </c>
      <c r="H1113">
        <v>-5770</v>
      </c>
      <c r="I1113" s="2">
        <f>sa_retail_sales[[#This Row],[Profit]] / sa_retail_sales[[#This Row],[Revenue]]</f>
        <v>-1.4768364474020987</v>
      </c>
      <c r="J1113">
        <f xml:space="preserve"> YEAR(sa_retail_sales[[#This Row],[Order Date]])</f>
        <v>2022</v>
      </c>
    </row>
    <row r="1114" spans="1:10" x14ac:dyDescent="0.3">
      <c r="A1114" s="1">
        <v>45054</v>
      </c>
      <c r="B1114" t="s">
        <v>18</v>
      </c>
      <c r="C1114" t="s">
        <v>9</v>
      </c>
      <c r="D1114" t="s">
        <v>19</v>
      </c>
      <c r="E1114">
        <v>1139</v>
      </c>
      <c r="F1114">
        <v>3562</v>
      </c>
      <c r="G1114">
        <v>15</v>
      </c>
      <c r="H1114">
        <v>-2423</v>
      </c>
      <c r="I1114" s="2">
        <f>sa_retail_sales[[#This Row],[Profit]] / sa_retail_sales[[#This Row],[Revenue]]</f>
        <v>-2.1273046532045652</v>
      </c>
      <c r="J1114">
        <f xml:space="preserve"> YEAR(sa_retail_sales[[#This Row],[Order Date]])</f>
        <v>2023</v>
      </c>
    </row>
    <row r="1115" spans="1:10" x14ac:dyDescent="0.3">
      <c r="A1115" s="1">
        <v>45455</v>
      </c>
      <c r="B1115" t="s">
        <v>8</v>
      </c>
      <c r="C1115" t="s">
        <v>14</v>
      </c>
      <c r="D1115" t="s">
        <v>19</v>
      </c>
      <c r="E1115">
        <v>672</v>
      </c>
      <c r="F1115">
        <v>2407</v>
      </c>
      <c r="G1115">
        <v>15</v>
      </c>
      <c r="H1115">
        <v>-1735</v>
      </c>
      <c r="I1115" s="2">
        <f>sa_retail_sales[[#This Row],[Profit]] / sa_retail_sales[[#This Row],[Revenue]]</f>
        <v>-2.5818452380952381</v>
      </c>
      <c r="J1115">
        <f xml:space="preserve"> YEAR(sa_retail_sales[[#This Row],[Order Date]])</f>
        <v>2024</v>
      </c>
    </row>
    <row r="1116" spans="1:10" x14ac:dyDescent="0.3">
      <c r="A1116" s="1">
        <v>44872</v>
      </c>
      <c r="B1116" t="s">
        <v>17</v>
      </c>
      <c r="C1116" t="s">
        <v>16</v>
      </c>
      <c r="D1116" t="s">
        <v>12</v>
      </c>
      <c r="E1116">
        <v>6166</v>
      </c>
      <c r="F1116">
        <v>7336</v>
      </c>
      <c r="G1116">
        <v>0</v>
      </c>
      <c r="H1116">
        <v>-1170</v>
      </c>
      <c r="I1116" s="2">
        <f>sa_retail_sales[[#This Row],[Profit]] / sa_retail_sales[[#This Row],[Revenue]]</f>
        <v>-0.18975024326954265</v>
      </c>
      <c r="J1116">
        <f xml:space="preserve"> YEAR(sa_retail_sales[[#This Row],[Order Date]])</f>
        <v>2022</v>
      </c>
    </row>
    <row r="1117" spans="1:10" x14ac:dyDescent="0.3">
      <c r="A1117" s="1">
        <v>45300</v>
      </c>
      <c r="B1117" t="s">
        <v>18</v>
      </c>
      <c r="C1117" t="s">
        <v>16</v>
      </c>
      <c r="D1117" t="s">
        <v>10</v>
      </c>
      <c r="E1117">
        <v>4854</v>
      </c>
      <c r="F1117">
        <v>10332</v>
      </c>
      <c r="G1117">
        <v>5</v>
      </c>
      <c r="H1117">
        <v>-5478</v>
      </c>
      <c r="I1117" s="2">
        <f>sa_retail_sales[[#This Row],[Profit]] / sa_retail_sales[[#This Row],[Revenue]]</f>
        <v>-1.1285537700865267</v>
      </c>
      <c r="J1117">
        <f xml:space="preserve"> YEAR(sa_retail_sales[[#This Row],[Order Date]])</f>
        <v>2024</v>
      </c>
    </row>
    <row r="1118" spans="1:10" x14ac:dyDescent="0.3">
      <c r="A1118" s="1">
        <v>45107</v>
      </c>
      <c r="B1118" t="s">
        <v>11</v>
      </c>
      <c r="C1118" t="s">
        <v>16</v>
      </c>
      <c r="D1118" t="s">
        <v>10</v>
      </c>
      <c r="E1118">
        <v>4459</v>
      </c>
      <c r="F1118">
        <v>4620</v>
      </c>
      <c r="G1118">
        <v>0</v>
      </c>
      <c r="H1118">
        <v>-161</v>
      </c>
      <c r="I1118" s="2">
        <f>sa_retail_sales[[#This Row],[Profit]] / sa_retail_sales[[#This Row],[Revenue]]</f>
        <v>-3.6106750392464679E-2</v>
      </c>
      <c r="J1118">
        <f xml:space="preserve"> YEAR(sa_retail_sales[[#This Row],[Order Date]])</f>
        <v>2023</v>
      </c>
    </row>
    <row r="1119" spans="1:10" x14ac:dyDescent="0.3">
      <c r="A1119" s="1">
        <v>44975</v>
      </c>
      <c r="B1119" t="s">
        <v>11</v>
      </c>
      <c r="C1119" t="s">
        <v>13</v>
      </c>
      <c r="D1119" t="s">
        <v>15</v>
      </c>
      <c r="E1119">
        <v>9208</v>
      </c>
      <c r="F1119">
        <v>6238</v>
      </c>
      <c r="G1119">
        <v>0</v>
      </c>
      <c r="H1119">
        <v>2970</v>
      </c>
      <c r="I1119" s="2">
        <f>sa_retail_sales[[#This Row],[Profit]] / sa_retail_sales[[#This Row],[Revenue]]</f>
        <v>0.32254561251086011</v>
      </c>
      <c r="J1119">
        <f xml:space="preserve"> YEAR(sa_retail_sales[[#This Row],[Order Date]])</f>
        <v>2023</v>
      </c>
    </row>
    <row r="1120" spans="1:10" x14ac:dyDescent="0.3">
      <c r="A1120" s="1">
        <v>44812</v>
      </c>
      <c r="B1120" t="s">
        <v>8</v>
      </c>
      <c r="C1120" t="s">
        <v>9</v>
      </c>
      <c r="D1120" t="s">
        <v>10</v>
      </c>
      <c r="E1120">
        <v>9214</v>
      </c>
      <c r="F1120">
        <v>3047</v>
      </c>
      <c r="G1120">
        <v>20</v>
      </c>
      <c r="H1120">
        <v>6167</v>
      </c>
      <c r="I1120" s="2">
        <f>sa_retail_sales[[#This Row],[Profit]] / sa_retail_sales[[#This Row],[Revenue]]</f>
        <v>0.66930757542869546</v>
      </c>
      <c r="J1120">
        <f xml:space="preserve"> YEAR(sa_retail_sales[[#This Row],[Order Date]])</f>
        <v>2022</v>
      </c>
    </row>
    <row r="1121" spans="1:10" x14ac:dyDescent="0.3">
      <c r="A1121" s="1">
        <v>45320</v>
      </c>
      <c r="B1121" t="s">
        <v>17</v>
      </c>
      <c r="C1121" t="s">
        <v>16</v>
      </c>
      <c r="D1121" t="s">
        <v>10</v>
      </c>
      <c r="E1121">
        <v>10609</v>
      </c>
      <c r="F1121">
        <v>4977</v>
      </c>
      <c r="G1121">
        <v>10</v>
      </c>
      <c r="H1121">
        <v>5632</v>
      </c>
      <c r="I1121" s="2">
        <f>sa_retail_sales[[#This Row],[Profit]] / sa_retail_sales[[#This Row],[Revenue]]</f>
        <v>0.53087001602413042</v>
      </c>
      <c r="J1121">
        <f xml:space="preserve"> YEAR(sa_retail_sales[[#This Row],[Order Date]])</f>
        <v>2024</v>
      </c>
    </row>
    <row r="1122" spans="1:10" x14ac:dyDescent="0.3">
      <c r="A1122" s="1">
        <v>45624</v>
      </c>
      <c r="B1122" t="s">
        <v>8</v>
      </c>
      <c r="C1122" t="s">
        <v>14</v>
      </c>
      <c r="D1122" t="s">
        <v>10</v>
      </c>
      <c r="E1122">
        <v>3386</v>
      </c>
      <c r="F1122">
        <v>8272</v>
      </c>
      <c r="G1122">
        <v>5</v>
      </c>
      <c r="H1122">
        <v>-4886</v>
      </c>
      <c r="I1122" s="2">
        <f>sa_retail_sales[[#This Row],[Profit]] / sa_retail_sales[[#This Row],[Revenue]]</f>
        <v>-1.4430005906674541</v>
      </c>
      <c r="J1122">
        <f xml:space="preserve"> YEAR(sa_retail_sales[[#This Row],[Order Date]])</f>
        <v>2024</v>
      </c>
    </row>
    <row r="1123" spans="1:10" x14ac:dyDescent="0.3">
      <c r="A1123" s="1">
        <v>45375</v>
      </c>
      <c r="B1123" t="s">
        <v>17</v>
      </c>
      <c r="C1123" t="s">
        <v>16</v>
      </c>
      <c r="D1123" t="s">
        <v>15</v>
      </c>
      <c r="E1123">
        <v>2664</v>
      </c>
      <c r="F1123">
        <v>4564</v>
      </c>
      <c r="G1123">
        <v>15</v>
      </c>
      <c r="H1123">
        <v>-1900</v>
      </c>
      <c r="I1123" s="2">
        <f>sa_retail_sales[[#This Row],[Profit]] / sa_retail_sales[[#This Row],[Revenue]]</f>
        <v>-0.71321321321321318</v>
      </c>
      <c r="J1123">
        <f xml:space="preserve"> YEAR(sa_retail_sales[[#This Row],[Order Date]])</f>
        <v>2024</v>
      </c>
    </row>
    <row r="1124" spans="1:10" x14ac:dyDescent="0.3">
      <c r="A1124" s="1">
        <v>44590</v>
      </c>
      <c r="B1124" t="s">
        <v>18</v>
      </c>
      <c r="C1124" t="s">
        <v>16</v>
      </c>
      <c r="D1124" t="s">
        <v>19</v>
      </c>
      <c r="E1124">
        <v>10621</v>
      </c>
      <c r="F1124">
        <v>3433</v>
      </c>
      <c r="G1124">
        <v>15</v>
      </c>
      <c r="H1124">
        <v>7188</v>
      </c>
      <c r="I1124" s="2">
        <f>sa_retail_sales[[#This Row],[Profit]] / sa_retail_sales[[#This Row],[Revenue]]</f>
        <v>0.67677243197439041</v>
      </c>
      <c r="J1124">
        <f xml:space="preserve"> YEAR(sa_retail_sales[[#This Row],[Order Date]])</f>
        <v>2022</v>
      </c>
    </row>
    <row r="1125" spans="1:10" x14ac:dyDescent="0.3">
      <c r="A1125" s="1">
        <v>45519</v>
      </c>
      <c r="B1125" t="s">
        <v>18</v>
      </c>
      <c r="C1125" t="s">
        <v>9</v>
      </c>
      <c r="D1125" t="s">
        <v>10</v>
      </c>
      <c r="E1125">
        <v>4445</v>
      </c>
      <c r="F1125">
        <v>11912</v>
      </c>
      <c r="G1125">
        <v>10</v>
      </c>
      <c r="H1125">
        <v>-7467</v>
      </c>
      <c r="I1125" s="2">
        <f>sa_retail_sales[[#This Row],[Profit]] / sa_retail_sales[[#This Row],[Revenue]]</f>
        <v>-1.6798650168728908</v>
      </c>
      <c r="J1125">
        <f xml:space="preserve"> YEAR(sa_retail_sales[[#This Row],[Order Date]])</f>
        <v>2024</v>
      </c>
    </row>
    <row r="1126" spans="1:10" x14ac:dyDescent="0.3">
      <c r="A1126" s="1">
        <v>45038</v>
      </c>
      <c r="B1126" t="s">
        <v>18</v>
      </c>
      <c r="C1126" t="s">
        <v>9</v>
      </c>
      <c r="D1126" t="s">
        <v>15</v>
      </c>
      <c r="E1126">
        <v>5735</v>
      </c>
      <c r="F1126">
        <v>1765</v>
      </c>
      <c r="G1126">
        <v>5</v>
      </c>
      <c r="H1126">
        <v>3970</v>
      </c>
      <c r="I1126" s="2">
        <f>sa_retail_sales[[#This Row],[Profit]] / sa_retail_sales[[#This Row],[Revenue]]</f>
        <v>0.69224062772449868</v>
      </c>
      <c r="J1126">
        <f xml:space="preserve"> YEAR(sa_retail_sales[[#This Row],[Order Date]])</f>
        <v>2023</v>
      </c>
    </row>
    <row r="1127" spans="1:10" x14ac:dyDescent="0.3">
      <c r="A1127" s="1">
        <v>44879</v>
      </c>
      <c r="B1127" t="s">
        <v>18</v>
      </c>
      <c r="C1127" t="s">
        <v>9</v>
      </c>
      <c r="D1127" t="s">
        <v>15</v>
      </c>
      <c r="E1127">
        <v>10901</v>
      </c>
      <c r="F1127">
        <v>4409</v>
      </c>
      <c r="G1127">
        <v>15</v>
      </c>
      <c r="H1127">
        <v>6492</v>
      </c>
      <c r="I1127" s="2">
        <f>sa_retail_sales[[#This Row],[Profit]] / sa_retail_sales[[#This Row],[Revenue]]</f>
        <v>0.59554169342262175</v>
      </c>
      <c r="J1127">
        <f xml:space="preserve"> YEAR(sa_retail_sales[[#This Row],[Order Date]])</f>
        <v>2022</v>
      </c>
    </row>
    <row r="1128" spans="1:10" x14ac:dyDescent="0.3">
      <c r="A1128" s="1">
        <v>44806</v>
      </c>
      <c r="B1128" t="s">
        <v>11</v>
      </c>
      <c r="C1128" t="s">
        <v>13</v>
      </c>
      <c r="D1128" t="s">
        <v>12</v>
      </c>
      <c r="E1128">
        <v>8246</v>
      </c>
      <c r="F1128">
        <v>2511</v>
      </c>
      <c r="G1128">
        <v>15</v>
      </c>
      <c r="H1128">
        <v>5735</v>
      </c>
      <c r="I1128" s="2">
        <f>sa_retail_sales[[#This Row],[Profit]] / sa_retail_sales[[#This Row],[Revenue]]</f>
        <v>0.69548872180451127</v>
      </c>
      <c r="J1128">
        <f xml:space="preserve"> YEAR(sa_retail_sales[[#This Row],[Order Date]])</f>
        <v>2022</v>
      </c>
    </row>
    <row r="1129" spans="1:10" x14ac:dyDescent="0.3">
      <c r="A1129" s="1">
        <v>45309</v>
      </c>
      <c r="B1129" t="s">
        <v>11</v>
      </c>
      <c r="C1129" t="s">
        <v>13</v>
      </c>
      <c r="D1129" t="s">
        <v>15</v>
      </c>
      <c r="E1129">
        <v>12475</v>
      </c>
      <c r="F1129">
        <v>5839</v>
      </c>
      <c r="G1129">
        <v>20</v>
      </c>
      <c r="H1129">
        <v>6636</v>
      </c>
      <c r="I1129" s="2">
        <f>sa_retail_sales[[#This Row],[Profit]] / sa_retail_sales[[#This Row],[Revenue]]</f>
        <v>0.53194388777555113</v>
      </c>
      <c r="J1129">
        <f xml:space="preserve"> YEAR(sa_retail_sales[[#This Row],[Order Date]])</f>
        <v>2024</v>
      </c>
    </row>
    <row r="1130" spans="1:10" x14ac:dyDescent="0.3">
      <c r="A1130" s="1">
        <v>45258</v>
      </c>
      <c r="B1130" t="s">
        <v>8</v>
      </c>
      <c r="C1130" t="s">
        <v>16</v>
      </c>
      <c r="D1130" t="s">
        <v>19</v>
      </c>
      <c r="E1130">
        <v>3090</v>
      </c>
      <c r="F1130">
        <v>11296</v>
      </c>
      <c r="G1130">
        <v>0</v>
      </c>
      <c r="H1130">
        <v>-8206</v>
      </c>
      <c r="I1130" s="2">
        <f>sa_retail_sales[[#This Row],[Profit]] / sa_retail_sales[[#This Row],[Revenue]]</f>
        <v>-2.6556634304207121</v>
      </c>
      <c r="J1130">
        <f xml:space="preserve"> YEAR(sa_retail_sales[[#This Row],[Order Date]])</f>
        <v>2023</v>
      </c>
    </row>
    <row r="1131" spans="1:10" x14ac:dyDescent="0.3">
      <c r="A1131" s="1">
        <v>44833</v>
      </c>
      <c r="B1131" t="s">
        <v>17</v>
      </c>
      <c r="C1131" t="s">
        <v>9</v>
      </c>
      <c r="D1131" t="s">
        <v>10</v>
      </c>
      <c r="E1131">
        <v>8254</v>
      </c>
      <c r="F1131">
        <v>10035</v>
      </c>
      <c r="G1131">
        <v>15</v>
      </c>
      <c r="H1131">
        <v>-1781</v>
      </c>
      <c r="I1131" s="2">
        <f>sa_retail_sales[[#This Row],[Profit]] / sa_retail_sales[[#This Row],[Revenue]]</f>
        <v>-0.21577417009934577</v>
      </c>
      <c r="J1131">
        <f xml:space="preserve"> YEAR(sa_retail_sales[[#This Row],[Order Date]])</f>
        <v>2022</v>
      </c>
    </row>
    <row r="1132" spans="1:10" x14ac:dyDescent="0.3">
      <c r="A1132" s="1">
        <v>44938</v>
      </c>
      <c r="B1132" t="s">
        <v>18</v>
      </c>
      <c r="C1132" t="s">
        <v>16</v>
      </c>
      <c r="D1132" t="s">
        <v>15</v>
      </c>
      <c r="E1132">
        <v>5434</v>
      </c>
      <c r="F1132">
        <v>1989</v>
      </c>
      <c r="G1132">
        <v>5</v>
      </c>
      <c r="H1132">
        <v>3445</v>
      </c>
      <c r="I1132" s="2">
        <f>sa_retail_sales[[#This Row],[Profit]] / sa_retail_sales[[#This Row],[Revenue]]</f>
        <v>0.63397129186602874</v>
      </c>
      <c r="J1132">
        <f xml:space="preserve"> YEAR(sa_retail_sales[[#This Row],[Order Date]])</f>
        <v>2023</v>
      </c>
    </row>
    <row r="1133" spans="1:10" x14ac:dyDescent="0.3">
      <c r="A1133" s="1">
        <v>44827</v>
      </c>
      <c r="B1133" t="s">
        <v>18</v>
      </c>
      <c r="C1133" t="s">
        <v>14</v>
      </c>
      <c r="D1133" t="s">
        <v>19</v>
      </c>
      <c r="E1133">
        <v>4576</v>
      </c>
      <c r="F1133">
        <v>10063</v>
      </c>
      <c r="G1133">
        <v>10</v>
      </c>
      <c r="H1133">
        <v>-5487</v>
      </c>
      <c r="I1133" s="2">
        <f>sa_retail_sales[[#This Row],[Profit]] / sa_retail_sales[[#This Row],[Revenue]]</f>
        <v>-1.1990821678321679</v>
      </c>
      <c r="J1133">
        <f xml:space="preserve"> YEAR(sa_retail_sales[[#This Row],[Order Date]])</f>
        <v>2022</v>
      </c>
    </row>
    <row r="1134" spans="1:10" x14ac:dyDescent="0.3">
      <c r="A1134" s="1">
        <v>45487</v>
      </c>
      <c r="B1134" t="s">
        <v>17</v>
      </c>
      <c r="C1134" t="s">
        <v>14</v>
      </c>
      <c r="D1134" t="s">
        <v>15</v>
      </c>
      <c r="E1134">
        <v>5685</v>
      </c>
      <c r="F1134">
        <v>8027</v>
      </c>
      <c r="G1134">
        <v>20</v>
      </c>
      <c r="H1134">
        <v>-2342</v>
      </c>
      <c r="I1134" s="2">
        <f>sa_retail_sales[[#This Row],[Profit]] / sa_retail_sales[[#This Row],[Revenue]]</f>
        <v>-0.41196130167106421</v>
      </c>
      <c r="J1134">
        <f xml:space="preserve"> YEAR(sa_retail_sales[[#This Row],[Order Date]])</f>
        <v>2024</v>
      </c>
    </row>
    <row r="1135" spans="1:10" x14ac:dyDescent="0.3">
      <c r="A1135" s="1">
        <v>45482</v>
      </c>
      <c r="B1135" t="s">
        <v>17</v>
      </c>
      <c r="C1135" t="s">
        <v>9</v>
      </c>
      <c r="D1135" t="s">
        <v>15</v>
      </c>
      <c r="E1135">
        <v>1593</v>
      </c>
      <c r="F1135">
        <v>8064</v>
      </c>
      <c r="G1135">
        <v>5</v>
      </c>
      <c r="H1135">
        <v>-6471</v>
      </c>
      <c r="I1135" s="2">
        <f>sa_retail_sales[[#This Row],[Profit]] / sa_retail_sales[[#This Row],[Revenue]]</f>
        <v>-4.0621468926553677</v>
      </c>
      <c r="J1135">
        <f xml:space="preserve"> YEAR(sa_retail_sales[[#This Row],[Order Date]])</f>
        <v>2024</v>
      </c>
    </row>
    <row r="1136" spans="1:10" x14ac:dyDescent="0.3">
      <c r="A1136" s="1">
        <v>44901</v>
      </c>
      <c r="B1136" t="s">
        <v>8</v>
      </c>
      <c r="C1136" t="s">
        <v>9</v>
      </c>
      <c r="D1136" t="s">
        <v>15</v>
      </c>
      <c r="E1136">
        <v>4380</v>
      </c>
      <c r="F1136">
        <v>4841</v>
      </c>
      <c r="G1136">
        <v>20</v>
      </c>
      <c r="H1136">
        <v>-461</v>
      </c>
      <c r="I1136" s="2">
        <f>sa_retail_sales[[#This Row],[Profit]] / sa_retail_sales[[#This Row],[Revenue]]</f>
        <v>-0.10525114155251142</v>
      </c>
      <c r="J1136">
        <f xml:space="preserve"> YEAR(sa_retail_sales[[#This Row],[Order Date]])</f>
        <v>2022</v>
      </c>
    </row>
    <row r="1137" spans="1:10" x14ac:dyDescent="0.3">
      <c r="A1137" s="1">
        <v>44950</v>
      </c>
      <c r="B1137" t="s">
        <v>17</v>
      </c>
      <c r="C1137" t="s">
        <v>14</v>
      </c>
      <c r="D1137" t="s">
        <v>15</v>
      </c>
      <c r="E1137">
        <v>11186</v>
      </c>
      <c r="F1137">
        <v>11771</v>
      </c>
      <c r="G1137">
        <v>0</v>
      </c>
      <c r="H1137">
        <v>-585</v>
      </c>
      <c r="I1137" s="2">
        <f>sa_retail_sales[[#This Row],[Profit]] / sa_retail_sales[[#This Row],[Revenue]]</f>
        <v>-5.2297514750581087E-2</v>
      </c>
      <c r="J1137">
        <f xml:space="preserve"> YEAR(sa_retail_sales[[#This Row],[Order Date]])</f>
        <v>2023</v>
      </c>
    </row>
    <row r="1138" spans="1:10" x14ac:dyDescent="0.3">
      <c r="A1138" s="1">
        <v>45138</v>
      </c>
      <c r="B1138" t="s">
        <v>18</v>
      </c>
      <c r="C1138" t="s">
        <v>9</v>
      </c>
      <c r="D1138" t="s">
        <v>15</v>
      </c>
      <c r="E1138">
        <v>7059</v>
      </c>
      <c r="F1138">
        <v>3841</v>
      </c>
      <c r="G1138">
        <v>15</v>
      </c>
      <c r="H1138">
        <v>3218</v>
      </c>
      <c r="I1138" s="2">
        <f>sa_retail_sales[[#This Row],[Profit]] / sa_retail_sales[[#This Row],[Revenue]]</f>
        <v>0.45587193653491997</v>
      </c>
      <c r="J1138">
        <f xml:space="preserve"> YEAR(sa_retail_sales[[#This Row],[Order Date]])</f>
        <v>2023</v>
      </c>
    </row>
    <row r="1139" spans="1:10" x14ac:dyDescent="0.3">
      <c r="A1139" s="1">
        <v>44564</v>
      </c>
      <c r="B1139" t="s">
        <v>18</v>
      </c>
      <c r="C1139" t="s">
        <v>13</v>
      </c>
      <c r="D1139" t="s">
        <v>19</v>
      </c>
      <c r="E1139">
        <v>11271</v>
      </c>
      <c r="F1139">
        <v>11515</v>
      </c>
      <c r="G1139">
        <v>5</v>
      </c>
      <c r="H1139">
        <v>-244</v>
      </c>
      <c r="I1139" s="2">
        <f>sa_retail_sales[[#This Row],[Profit]] / sa_retail_sales[[#This Row],[Revenue]]</f>
        <v>-2.1648478395883242E-2</v>
      </c>
      <c r="J1139">
        <f xml:space="preserve"> YEAR(sa_retail_sales[[#This Row],[Order Date]])</f>
        <v>2022</v>
      </c>
    </row>
    <row r="1140" spans="1:10" x14ac:dyDescent="0.3">
      <c r="A1140" s="1">
        <v>44937</v>
      </c>
      <c r="B1140" t="s">
        <v>18</v>
      </c>
      <c r="C1140" t="s">
        <v>13</v>
      </c>
      <c r="D1140" t="s">
        <v>10</v>
      </c>
      <c r="E1140">
        <v>11180</v>
      </c>
      <c r="F1140">
        <v>1118</v>
      </c>
      <c r="G1140">
        <v>10</v>
      </c>
      <c r="H1140">
        <v>10062</v>
      </c>
      <c r="I1140" s="2">
        <f>sa_retail_sales[[#This Row],[Profit]] / sa_retail_sales[[#This Row],[Revenue]]</f>
        <v>0.9</v>
      </c>
      <c r="J1140">
        <f xml:space="preserve"> YEAR(sa_retail_sales[[#This Row],[Order Date]])</f>
        <v>2023</v>
      </c>
    </row>
    <row r="1141" spans="1:10" x14ac:dyDescent="0.3">
      <c r="A1141" s="1">
        <v>44885</v>
      </c>
      <c r="B1141" t="s">
        <v>18</v>
      </c>
      <c r="C1141" t="s">
        <v>9</v>
      </c>
      <c r="D1141" t="s">
        <v>10</v>
      </c>
      <c r="E1141">
        <v>3285</v>
      </c>
      <c r="F1141">
        <v>4821</v>
      </c>
      <c r="G1141">
        <v>0</v>
      </c>
      <c r="H1141">
        <v>-1536</v>
      </c>
      <c r="I1141" s="2">
        <f>sa_retail_sales[[#This Row],[Profit]] / sa_retail_sales[[#This Row],[Revenue]]</f>
        <v>-0.46757990867579907</v>
      </c>
      <c r="J1141">
        <f xml:space="preserve"> YEAR(sa_retail_sales[[#This Row],[Order Date]])</f>
        <v>2022</v>
      </c>
    </row>
    <row r="1142" spans="1:10" x14ac:dyDescent="0.3">
      <c r="A1142" s="1">
        <v>44707</v>
      </c>
      <c r="B1142" t="s">
        <v>18</v>
      </c>
      <c r="C1142" t="s">
        <v>14</v>
      </c>
      <c r="D1142" t="s">
        <v>10</v>
      </c>
      <c r="E1142">
        <v>6565</v>
      </c>
      <c r="F1142">
        <v>1424</v>
      </c>
      <c r="G1142">
        <v>0</v>
      </c>
      <c r="H1142">
        <v>5141</v>
      </c>
      <c r="I1142" s="2">
        <f>sa_retail_sales[[#This Row],[Profit]] / sa_retail_sales[[#This Row],[Revenue]]</f>
        <v>0.78309215536938315</v>
      </c>
      <c r="J1142">
        <f xml:space="preserve"> YEAR(sa_retail_sales[[#This Row],[Order Date]])</f>
        <v>2022</v>
      </c>
    </row>
    <row r="1143" spans="1:10" x14ac:dyDescent="0.3">
      <c r="A1143" s="1">
        <v>44854</v>
      </c>
      <c r="B1143" t="s">
        <v>8</v>
      </c>
      <c r="C1143" t="s">
        <v>16</v>
      </c>
      <c r="D1143" t="s">
        <v>10</v>
      </c>
      <c r="E1143">
        <v>7039</v>
      </c>
      <c r="F1143">
        <v>5960</v>
      </c>
      <c r="G1143">
        <v>20</v>
      </c>
      <c r="H1143">
        <v>1079</v>
      </c>
      <c r="I1143" s="2">
        <f>sa_retail_sales[[#This Row],[Profit]] / sa_retail_sales[[#This Row],[Revenue]]</f>
        <v>0.15328881943457878</v>
      </c>
      <c r="J1143">
        <f xml:space="preserve"> YEAR(sa_retail_sales[[#This Row],[Order Date]])</f>
        <v>2022</v>
      </c>
    </row>
    <row r="1144" spans="1:10" x14ac:dyDescent="0.3">
      <c r="A1144" s="1">
        <v>44993</v>
      </c>
      <c r="B1144" t="s">
        <v>18</v>
      </c>
      <c r="C1144" t="s">
        <v>9</v>
      </c>
      <c r="D1144" t="s">
        <v>19</v>
      </c>
      <c r="E1144">
        <v>11450</v>
      </c>
      <c r="F1144">
        <v>5941</v>
      </c>
      <c r="G1144">
        <v>0</v>
      </c>
      <c r="H1144">
        <v>5509</v>
      </c>
      <c r="I1144" s="2">
        <f>sa_retail_sales[[#This Row],[Profit]] / sa_retail_sales[[#This Row],[Revenue]]</f>
        <v>0.48113537117903932</v>
      </c>
      <c r="J1144">
        <f xml:space="preserve"> YEAR(sa_retail_sales[[#This Row],[Order Date]])</f>
        <v>2023</v>
      </c>
    </row>
    <row r="1145" spans="1:10" x14ac:dyDescent="0.3">
      <c r="A1145" s="1">
        <v>45266</v>
      </c>
      <c r="B1145" t="s">
        <v>8</v>
      </c>
      <c r="C1145" t="s">
        <v>9</v>
      </c>
      <c r="D1145" t="s">
        <v>12</v>
      </c>
      <c r="E1145">
        <v>2074</v>
      </c>
      <c r="F1145">
        <v>1429</v>
      </c>
      <c r="G1145">
        <v>5</v>
      </c>
      <c r="H1145">
        <v>645</v>
      </c>
      <c r="I1145" s="2">
        <f>sa_retail_sales[[#This Row],[Profit]] / sa_retail_sales[[#This Row],[Revenue]]</f>
        <v>0.31099324975891995</v>
      </c>
      <c r="J1145">
        <f xml:space="preserve"> YEAR(sa_retail_sales[[#This Row],[Order Date]])</f>
        <v>2023</v>
      </c>
    </row>
    <row r="1146" spans="1:10" x14ac:dyDescent="0.3">
      <c r="A1146" s="1">
        <v>45510</v>
      </c>
      <c r="B1146" t="s">
        <v>18</v>
      </c>
      <c r="C1146" t="s">
        <v>16</v>
      </c>
      <c r="D1146" t="s">
        <v>12</v>
      </c>
      <c r="E1146">
        <v>6176</v>
      </c>
      <c r="F1146">
        <v>2002</v>
      </c>
      <c r="G1146">
        <v>20</v>
      </c>
      <c r="H1146">
        <v>4174</v>
      </c>
      <c r="I1146" s="2">
        <f>sa_retail_sales[[#This Row],[Profit]] / sa_retail_sales[[#This Row],[Revenue]]</f>
        <v>0.67584196891191706</v>
      </c>
      <c r="J1146">
        <f xml:space="preserve"> YEAR(sa_retail_sales[[#This Row],[Order Date]])</f>
        <v>2024</v>
      </c>
    </row>
    <row r="1147" spans="1:10" x14ac:dyDescent="0.3">
      <c r="A1147" s="1">
        <v>45146</v>
      </c>
      <c r="B1147" t="s">
        <v>11</v>
      </c>
      <c r="C1147" t="s">
        <v>9</v>
      </c>
      <c r="D1147" t="s">
        <v>19</v>
      </c>
      <c r="E1147">
        <v>11065</v>
      </c>
      <c r="F1147">
        <v>2301</v>
      </c>
      <c r="G1147">
        <v>0</v>
      </c>
      <c r="H1147">
        <v>8764</v>
      </c>
      <c r="I1147" s="2">
        <f>sa_retail_sales[[#This Row],[Profit]] / sa_retail_sales[[#This Row],[Revenue]]</f>
        <v>0.79204699502937193</v>
      </c>
      <c r="J1147">
        <f xml:space="preserve"> YEAR(sa_retail_sales[[#This Row],[Order Date]])</f>
        <v>2023</v>
      </c>
    </row>
    <row r="1148" spans="1:10" x14ac:dyDescent="0.3">
      <c r="A1148" s="1">
        <v>44960</v>
      </c>
      <c r="B1148" t="s">
        <v>11</v>
      </c>
      <c r="C1148" t="s">
        <v>16</v>
      </c>
      <c r="D1148" t="s">
        <v>19</v>
      </c>
      <c r="E1148">
        <v>8560</v>
      </c>
      <c r="F1148">
        <v>7212</v>
      </c>
      <c r="G1148">
        <v>10</v>
      </c>
      <c r="H1148">
        <v>1348</v>
      </c>
      <c r="I1148" s="2">
        <f>sa_retail_sales[[#This Row],[Profit]] / sa_retail_sales[[#This Row],[Revenue]]</f>
        <v>0.15747663551401869</v>
      </c>
      <c r="J1148">
        <f xml:space="preserve"> YEAR(sa_retail_sales[[#This Row],[Order Date]])</f>
        <v>2023</v>
      </c>
    </row>
    <row r="1149" spans="1:10" x14ac:dyDescent="0.3">
      <c r="A1149" s="1">
        <v>45378</v>
      </c>
      <c r="B1149" t="s">
        <v>11</v>
      </c>
      <c r="C1149" t="s">
        <v>14</v>
      </c>
      <c r="D1149" t="s">
        <v>15</v>
      </c>
      <c r="E1149">
        <v>4490</v>
      </c>
      <c r="F1149">
        <v>4178</v>
      </c>
      <c r="G1149">
        <v>5</v>
      </c>
      <c r="H1149">
        <v>312</v>
      </c>
      <c r="I1149" s="2">
        <f>sa_retail_sales[[#This Row],[Profit]] / sa_retail_sales[[#This Row],[Revenue]]</f>
        <v>6.9487750556792877E-2</v>
      </c>
      <c r="J1149">
        <f xml:space="preserve"> YEAR(sa_retail_sales[[#This Row],[Order Date]])</f>
        <v>2024</v>
      </c>
    </row>
    <row r="1150" spans="1:10" x14ac:dyDescent="0.3">
      <c r="A1150" s="1">
        <v>45525</v>
      </c>
      <c r="B1150" t="s">
        <v>11</v>
      </c>
      <c r="C1150" t="s">
        <v>13</v>
      </c>
      <c r="D1150" t="s">
        <v>15</v>
      </c>
      <c r="E1150">
        <v>5710</v>
      </c>
      <c r="F1150">
        <v>7532</v>
      </c>
      <c r="G1150">
        <v>10</v>
      </c>
      <c r="H1150">
        <v>-1822</v>
      </c>
      <c r="I1150" s="2">
        <f>sa_retail_sales[[#This Row],[Profit]] / sa_retail_sales[[#This Row],[Revenue]]</f>
        <v>-0.31908931698774079</v>
      </c>
      <c r="J1150">
        <f xml:space="preserve"> YEAR(sa_retail_sales[[#This Row],[Order Date]])</f>
        <v>2024</v>
      </c>
    </row>
    <row r="1151" spans="1:10" x14ac:dyDescent="0.3">
      <c r="A1151" s="1">
        <v>44748</v>
      </c>
      <c r="B1151" t="s">
        <v>8</v>
      </c>
      <c r="C1151" t="s">
        <v>14</v>
      </c>
      <c r="D1151" t="s">
        <v>15</v>
      </c>
      <c r="E1151">
        <v>5345</v>
      </c>
      <c r="F1151">
        <v>10298</v>
      </c>
      <c r="G1151">
        <v>10</v>
      </c>
      <c r="H1151">
        <v>-4953</v>
      </c>
      <c r="I1151" s="2">
        <f>sa_retail_sales[[#This Row],[Profit]] / sa_retail_sales[[#This Row],[Revenue]]</f>
        <v>-0.92666043030869971</v>
      </c>
      <c r="J1151">
        <f xml:space="preserve"> YEAR(sa_retail_sales[[#This Row],[Order Date]])</f>
        <v>2022</v>
      </c>
    </row>
    <row r="1152" spans="1:10" x14ac:dyDescent="0.3">
      <c r="A1152" s="1">
        <v>44622</v>
      </c>
      <c r="B1152" t="s">
        <v>8</v>
      </c>
      <c r="C1152" t="s">
        <v>13</v>
      </c>
      <c r="D1152" t="s">
        <v>10</v>
      </c>
      <c r="E1152">
        <v>9785</v>
      </c>
      <c r="F1152">
        <v>11439</v>
      </c>
      <c r="G1152">
        <v>20</v>
      </c>
      <c r="H1152">
        <v>-1654</v>
      </c>
      <c r="I1152" s="2">
        <f>sa_retail_sales[[#This Row],[Profit]] / sa_retail_sales[[#This Row],[Revenue]]</f>
        <v>-0.16903423607562595</v>
      </c>
      <c r="J1152">
        <f xml:space="preserve"> YEAR(sa_retail_sales[[#This Row],[Order Date]])</f>
        <v>2022</v>
      </c>
    </row>
    <row r="1153" spans="1:10" x14ac:dyDescent="0.3">
      <c r="A1153" s="1">
        <v>45500</v>
      </c>
      <c r="B1153" t="s">
        <v>17</v>
      </c>
      <c r="C1153" t="s">
        <v>16</v>
      </c>
      <c r="D1153" t="s">
        <v>15</v>
      </c>
      <c r="E1153">
        <v>1689</v>
      </c>
      <c r="F1153">
        <v>6631</v>
      </c>
      <c r="G1153">
        <v>15</v>
      </c>
      <c r="H1153">
        <v>-4942</v>
      </c>
      <c r="I1153" s="2">
        <f>sa_retail_sales[[#This Row],[Profit]] / sa_retail_sales[[#This Row],[Revenue]]</f>
        <v>-2.92599171107164</v>
      </c>
      <c r="J1153">
        <f xml:space="preserve"> YEAR(sa_retail_sales[[#This Row],[Order Date]])</f>
        <v>2024</v>
      </c>
    </row>
    <row r="1154" spans="1:10" x14ac:dyDescent="0.3">
      <c r="A1154" s="1">
        <v>45271</v>
      </c>
      <c r="B1154" t="s">
        <v>18</v>
      </c>
      <c r="C1154" t="s">
        <v>13</v>
      </c>
      <c r="D1154" t="s">
        <v>12</v>
      </c>
      <c r="E1154">
        <v>3189</v>
      </c>
      <c r="F1154">
        <v>6335</v>
      </c>
      <c r="G1154">
        <v>20</v>
      </c>
      <c r="H1154">
        <v>-3146</v>
      </c>
      <c r="I1154" s="2">
        <f>sa_retail_sales[[#This Row],[Profit]] / sa_retail_sales[[#This Row],[Revenue]]</f>
        <v>-0.98651614926309183</v>
      </c>
      <c r="J1154">
        <f xml:space="preserve"> YEAR(sa_retail_sales[[#This Row],[Order Date]])</f>
        <v>2023</v>
      </c>
    </row>
    <row r="1155" spans="1:10" x14ac:dyDescent="0.3">
      <c r="A1155" s="1">
        <v>45368</v>
      </c>
      <c r="B1155" t="s">
        <v>11</v>
      </c>
      <c r="C1155" t="s">
        <v>14</v>
      </c>
      <c r="D1155" t="s">
        <v>10</v>
      </c>
      <c r="E1155">
        <v>4595</v>
      </c>
      <c r="F1155">
        <v>11701</v>
      </c>
      <c r="G1155">
        <v>5</v>
      </c>
      <c r="H1155">
        <v>-7106</v>
      </c>
      <c r="I1155" s="2">
        <f>sa_retail_sales[[#This Row],[Profit]] / sa_retail_sales[[#This Row],[Revenue]]</f>
        <v>-1.5464635473340587</v>
      </c>
      <c r="J1155">
        <f xml:space="preserve"> YEAR(sa_retail_sales[[#This Row],[Order Date]])</f>
        <v>2024</v>
      </c>
    </row>
    <row r="1156" spans="1:10" x14ac:dyDescent="0.3">
      <c r="A1156" s="1">
        <v>44572</v>
      </c>
      <c r="B1156" t="s">
        <v>8</v>
      </c>
      <c r="C1156" t="s">
        <v>13</v>
      </c>
      <c r="D1156" t="s">
        <v>15</v>
      </c>
      <c r="E1156">
        <v>2375</v>
      </c>
      <c r="F1156">
        <v>10644</v>
      </c>
      <c r="G1156">
        <v>5</v>
      </c>
      <c r="H1156">
        <v>-8269</v>
      </c>
      <c r="I1156" s="2">
        <f>sa_retail_sales[[#This Row],[Profit]] / sa_retail_sales[[#This Row],[Revenue]]</f>
        <v>-3.4816842105263159</v>
      </c>
      <c r="J1156">
        <f xml:space="preserve"> YEAR(sa_retail_sales[[#This Row],[Order Date]])</f>
        <v>2022</v>
      </c>
    </row>
    <row r="1157" spans="1:10" x14ac:dyDescent="0.3">
      <c r="A1157" s="1">
        <v>45647</v>
      </c>
      <c r="B1157" t="s">
        <v>18</v>
      </c>
      <c r="C1157" t="s">
        <v>16</v>
      </c>
      <c r="D1157" t="s">
        <v>10</v>
      </c>
      <c r="E1157">
        <v>8268</v>
      </c>
      <c r="F1157">
        <v>6823</v>
      </c>
      <c r="G1157">
        <v>20</v>
      </c>
      <c r="H1157">
        <v>1445</v>
      </c>
      <c r="I1157" s="2">
        <f>sa_retail_sales[[#This Row],[Profit]] / sa_retail_sales[[#This Row],[Revenue]]</f>
        <v>0.17477019835510402</v>
      </c>
      <c r="J1157">
        <f xml:space="preserve"> YEAR(sa_retail_sales[[#This Row],[Order Date]])</f>
        <v>2024</v>
      </c>
    </row>
    <row r="1158" spans="1:10" x14ac:dyDescent="0.3">
      <c r="A1158" s="1">
        <v>44787</v>
      </c>
      <c r="B1158" t="s">
        <v>18</v>
      </c>
      <c r="C1158" t="s">
        <v>13</v>
      </c>
      <c r="D1158" t="s">
        <v>12</v>
      </c>
      <c r="E1158">
        <v>3906</v>
      </c>
      <c r="F1158">
        <v>8411</v>
      </c>
      <c r="G1158">
        <v>15</v>
      </c>
      <c r="H1158">
        <v>-4505</v>
      </c>
      <c r="I1158" s="2">
        <f>sa_retail_sales[[#This Row],[Profit]] / sa_retail_sales[[#This Row],[Revenue]]</f>
        <v>-1.1533538146441373</v>
      </c>
      <c r="J1158">
        <f xml:space="preserve"> YEAR(sa_retail_sales[[#This Row],[Order Date]])</f>
        <v>2022</v>
      </c>
    </row>
    <row r="1159" spans="1:10" x14ac:dyDescent="0.3">
      <c r="A1159" s="1">
        <v>45125</v>
      </c>
      <c r="B1159" t="s">
        <v>8</v>
      </c>
      <c r="C1159" t="s">
        <v>9</v>
      </c>
      <c r="D1159" t="s">
        <v>15</v>
      </c>
      <c r="E1159">
        <v>10479</v>
      </c>
      <c r="F1159">
        <v>9036</v>
      </c>
      <c r="G1159">
        <v>20</v>
      </c>
      <c r="H1159">
        <v>1443</v>
      </c>
      <c r="I1159" s="2">
        <f>sa_retail_sales[[#This Row],[Profit]] / sa_retail_sales[[#This Row],[Revenue]]</f>
        <v>0.13770397938734613</v>
      </c>
      <c r="J1159">
        <f xml:space="preserve"> YEAR(sa_retail_sales[[#This Row],[Order Date]])</f>
        <v>2023</v>
      </c>
    </row>
    <row r="1160" spans="1:10" x14ac:dyDescent="0.3">
      <c r="A1160" s="1">
        <v>45333</v>
      </c>
      <c r="B1160" t="s">
        <v>11</v>
      </c>
      <c r="C1160" t="s">
        <v>14</v>
      </c>
      <c r="D1160" t="s">
        <v>12</v>
      </c>
      <c r="E1160">
        <v>4432</v>
      </c>
      <c r="F1160">
        <v>2701</v>
      </c>
      <c r="G1160">
        <v>5</v>
      </c>
      <c r="H1160">
        <v>1731</v>
      </c>
      <c r="I1160" s="2">
        <f>sa_retail_sales[[#This Row],[Profit]] / sa_retail_sales[[#This Row],[Revenue]]</f>
        <v>0.39056859205776173</v>
      </c>
      <c r="J1160">
        <f xml:space="preserve"> YEAR(sa_retail_sales[[#This Row],[Order Date]])</f>
        <v>2024</v>
      </c>
    </row>
    <row r="1161" spans="1:10" x14ac:dyDescent="0.3">
      <c r="A1161" s="1">
        <v>45446</v>
      </c>
      <c r="B1161" t="s">
        <v>17</v>
      </c>
      <c r="C1161" t="s">
        <v>9</v>
      </c>
      <c r="D1161" t="s">
        <v>12</v>
      </c>
      <c r="E1161">
        <v>10299</v>
      </c>
      <c r="F1161">
        <v>10856</v>
      </c>
      <c r="G1161">
        <v>15</v>
      </c>
      <c r="H1161">
        <v>-557</v>
      </c>
      <c r="I1161" s="2">
        <f>sa_retail_sales[[#This Row],[Profit]] / sa_retail_sales[[#This Row],[Revenue]]</f>
        <v>-5.4082920671909895E-2</v>
      </c>
      <c r="J1161">
        <f xml:space="preserve"> YEAR(sa_retail_sales[[#This Row],[Order Date]])</f>
        <v>2024</v>
      </c>
    </row>
    <row r="1162" spans="1:10" x14ac:dyDescent="0.3">
      <c r="A1162" s="1">
        <v>44787</v>
      </c>
      <c r="B1162" t="s">
        <v>18</v>
      </c>
      <c r="C1162" t="s">
        <v>16</v>
      </c>
      <c r="D1162" t="s">
        <v>12</v>
      </c>
      <c r="E1162">
        <v>12440</v>
      </c>
      <c r="F1162">
        <v>9781</v>
      </c>
      <c r="G1162">
        <v>5</v>
      </c>
      <c r="H1162">
        <v>2659</v>
      </c>
      <c r="I1162" s="2">
        <f>sa_retail_sales[[#This Row],[Profit]] / sa_retail_sales[[#This Row],[Revenue]]</f>
        <v>0.21374598070739551</v>
      </c>
      <c r="J1162">
        <f xml:space="preserve"> YEAR(sa_retail_sales[[#This Row],[Order Date]])</f>
        <v>2022</v>
      </c>
    </row>
    <row r="1163" spans="1:10" x14ac:dyDescent="0.3">
      <c r="A1163" s="1">
        <v>45386</v>
      </c>
      <c r="B1163" t="s">
        <v>17</v>
      </c>
      <c r="C1163" t="s">
        <v>13</v>
      </c>
      <c r="D1163" t="s">
        <v>15</v>
      </c>
      <c r="E1163">
        <v>8740</v>
      </c>
      <c r="F1163">
        <v>10367</v>
      </c>
      <c r="G1163">
        <v>15</v>
      </c>
      <c r="H1163">
        <v>-1627</v>
      </c>
      <c r="I1163" s="2">
        <f>sa_retail_sales[[#This Row],[Profit]] / sa_retail_sales[[#This Row],[Revenue]]</f>
        <v>-0.18615560640732265</v>
      </c>
      <c r="J1163">
        <f xml:space="preserve"> YEAR(sa_retail_sales[[#This Row],[Order Date]])</f>
        <v>2024</v>
      </c>
    </row>
    <row r="1164" spans="1:10" x14ac:dyDescent="0.3">
      <c r="A1164" s="1">
        <v>44779</v>
      </c>
      <c r="B1164" t="s">
        <v>11</v>
      </c>
      <c r="C1164" t="s">
        <v>9</v>
      </c>
      <c r="D1164" t="s">
        <v>19</v>
      </c>
      <c r="E1164">
        <v>13863</v>
      </c>
      <c r="F1164">
        <v>9274</v>
      </c>
      <c r="G1164">
        <v>15</v>
      </c>
      <c r="H1164">
        <v>4589</v>
      </c>
      <c r="I1164" s="2">
        <f>sa_retail_sales[[#This Row],[Profit]] / sa_retail_sales[[#This Row],[Revenue]]</f>
        <v>0.33102503065714489</v>
      </c>
      <c r="J1164">
        <f xml:space="preserve"> YEAR(sa_retail_sales[[#This Row],[Order Date]])</f>
        <v>2022</v>
      </c>
    </row>
    <row r="1165" spans="1:10" x14ac:dyDescent="0.3">
      <c r="A1165" s="1">
        <v>45498</v>
      </c>
      <c r="B1165" t="s">
        <v>11</v>
      </c>
      <c r="C1165" t="s">
        <v>9</v>
      </c>
      <c r="D1165" t="s">
        <v>15</v>
      </c>
      <c r="E1165">
        <v>5908</v>
      </c>
      <c r="F1165">
        <v>839</v>
      </c>
      <c r="G1165">
        <v>20</v>
      </c>
      <c r="H1165">
        <v>5069</v>
      </c>
      <c r="I1165" s="2">
        <f>sa_retail_sales[[#This Row],[Profit]] / sa_retail_sales[[#This Row],[Revenue]]</f>
        <v>0.85798916723087337</v>
      </c>
      <c r="J1165">
        <f xml:space="preserve"> YEAR(sa_retail_sales[[#This Row],[Order Date]])</f>
        <v>2024</v>
      </c>
    </row>
    <row r="1166" spans="1:10" x14ac:dyDescent="0.3">
      <c r="A1166" s="1">
        <v>45314</v>
      </c>
      <c r="B1166" t="s">
        <v>17</v>
      </c>
      <c r="C1166" t="s">
        <v>13</v>
      </c>
      <c r="D1166" t="s">
        <v>12</v>
      </c>
      <c r="E1166">
        <v>4361</v>
      </c>
      <c r="F1166">
        <v>11274</v>
      </c>
      <c r="G1166">
        <v>20</v>
      </c>
      <c r="H1166">
        <v>-6913</v>
      </c>
      <c r="I1166" s="2">
        <f>sa_retail_sales[[#This Row],[Profit]] / sa_retail_sales[[#This Row],[Revenue]]</f>
        <v>-1.5851868837422609</v>
      </c>
      <c r="J1166">
        <f xml:space="preserve"> YEAR(sa_retail_sales[[#This Row],[Order Date]])</f>
        <v>2024</v>
      </c>
    </row>
    <row r="1167" spans="1:10" x14ac:dyDescent="0.3">
      <c r="A1167" s="1">
        <v>45067</v>
      </c>
      <c r="B1167" t="s">
        <v>11</v>
      </c>
      <c r="C1167" t="s">
        <v>13</v>
      </c>
      <c r="D1167" t="s">
        <v>15</v>
      </c>
      <c r="E1167">
        <v>14437</v>
      </c>
      <c r="F1167">
        <v>5915</v>
      </c>
      <c r="G1167">
        <v>20</v>
      </c>
      <c r="H1167">
        <v>8522</v>
      </c>
      <c r="I1167" s="2">
        <f>sa_retail_sales[[#This Row],[Profit]] / sa_retail_sales[[#This Row],[Revenue]]</f>
        <v>0.59028884117198865</v>
      </c>
      <c r="J1167">
        <f xml:space="preserve"> YEAR(sa_retail_sales[[#This Row],[Order Date]])</f>
        <v>2023</v>
      </c>
    </row>
    <row r="1168" spans="1:10" x14ac:dyDescent="0.3">
      <c r="A1168" s="1">
        <v>44820</v>
      </c>
      <c r="B1168" t="s">
        <v>18</v>
      </c>
      <c r="C1168" t="s">
        <v>14</v>
      </c>
      <c r="D1168" t="s">
        <v>12</v>
      </c>
      <c r="E1168">
        <v>7906</v>
      </c>
      <c r="F1168">
        <v>11160</v>
      </c>
      <c r="G1168">
        <v>15</v>
      </c>
      <c r="H1168">
        <v>-3254</v>
      </c>
      <c r="I1168" s="2">
        <f>sa_retail_sales[[#This Row],[Profit]] / sa_retail_sales[[#This Row],[Revenue]]</f>
        <v>-0.41158613711105491</v>
      </c>
      <c r="J1168">
        <f xml:space="preserve"> YEAR(sa_retail_sales[[#This Row],[Order Date]])</f>
        <v>2022</v>
      </c>
    </row>
    <row r="1169" spans="1:10" x14ac:dyDescent="0.3">
      <c r="A1169" s="1">
        <v>44615</v>
      </c>
      <c r="B1169" t="s">
        <v>17</v>
      </c>
      <c r="C1169" t="s">
        <v>9</v>
      </c>
      <c r="D1169" t="s">
        <v>19</v>
      </c>
      <c r="E1169">
        <v>10872</v>
      </c>
      <c r="F1169">
        <v>3256</v>
      </c>
      <c r="G1169">
        <v>15</v>
      </c>
      <c r="H1169">
        <v>7616</v>
      </c>
      <c r="I1169" s="2">
        <f>sa_retail_sales[[#This Row],[Profit]] / sa_retail_sales[[#This Row],[Revenue]]</f>
        <v>0.70051508462104484</v>
      </c>
      <c r="J1169">
        <f xml:space="preserve"> YEAR(sa_retail_sales[[#This Row],[Order Date]])</f>
        <v>2022</v>
      </c>
    </row>
    <row r="1170" spans="1:10" x14ac:dyDescent="0.3">
      <c r="A1170" s="1">
        <v>45632</v>
      </c>
      <c r="B1170" t="s">
        <v>11</v>
      </c>
      <c r="C1170" t="s">
        <v>9</v>
      </c>
      <c r="D1170" t="s">
        <v>10</v>
      </c>
      <c r="E1170">
        <v>11738</v>
      </c>
      <c r="F1170">
        <v>8377</v>
      </c>
      <c r="G1170">
        <v>5</v>
      </c>
      <c r="H1170">
        <v>3361</v>
      </c>
      <c r="I1170" s="2">
        <f>sa_retail_sales[[#This Row],[Profit]] / sa_retail_sales[[#This Row],[Revenue]]</f>
        <v>0.28633498040552052</v>
      </c>
      <c r="J1170">
        <f xml:space="preserve"> YEAR(sa_retail_sales[[#This Row],[Order Date]])</f>
        <v>2024</v>
      </c>
    </row>
    <row r="1171" spans="1:10" x14ac:dyDescent="0.3">
      <c r="A1171" s="1">
        <v>45288</v>
      </c>
      <c r="B1171" t="s">
        <v>17</v>
      </c>
      <c r="C1171" t="s">
        <v>16</v>
      </c>
      <c r="D1171" t="s">
        <v>19</v>
      </c>
      <c r="E1171">
        <v>3333</v>
      </c>
      <c r="F1171">
        <v>4022</v>
      </c>
      <c r="G1171">
        <v>10</v>
      </c>
      <c r="H1171">
        <v>-689</v>
      </c>
      <c r="I1171" s="2">
        <f>sa_retail_sales[[#This Row],[Profit]] / sa_retail_sales[[#This Row],[Revenue]]</f>
        <v>-0.20672067206720673</v>
      </c>
      <c r="J1171">
        <f xml:space="preserve"> YEAR(sa_retail_sales[[#This Row],[Order Date]])</f>
        <v>2023</v>
      </c>
    </row>
    <row r="1172" spans="1:10" x14ac:dyDescent="0.3">
      <c r="A1172" s="1">
        <v>45250</v>
      </c>
      <c r="B1172" t="s">
        <v>18</v>
      </c>
      <c r="C1172" t="s">
        <v>14</v>
      </c>
      <c r="D1172" t="s">
        <v>19</v>
      </c>
      <c r="E1172">
        <v>5785</v>
      </c>
      <c r="F1172">
        <v>10325</v>
      </c>
      <c r="G1172">
        <v>20</v>
      </c>
      <c r="H1172">
        <v>-4540</v>
      </c>
      <c r="I1172" s="2">
        <f>sa_retail_sales[[#This Row],[Profit]] / sa_retail_sales[[#This Row],[Revenue]]</f>
        <v>-0.78478824546240278</v>
      </c>
      <c r="J1172">
        <f xml:space="preserve"> YEAR(sa_retail_sales[[#This Row],[Order Date]])</f>
        <v>2023</v>
      </c>
    </row>
    <row r="1173" spans="1:10" x14ac:dyDescent="0.3">
      <c r="A1173" s="1">
        <v>45605</v>
      </c>
      <c r="B1173" t="s">
        <v>11</v>
      </c>
      <c r="C1173" t="s">
        <v>16</v>
      </c>
      <c r="D1173" t="s">
        <v>10</v>
      </c>
      <c r="E1173">
        <v>10089</v>
      </c>
      <c r="F1173">
        <v>5387</v>
      </c>
      <c r="G1173">
        <v>5</v>
      </c>
      <c r="H1173">
        <v>4702</v>
      </c>
      <c r="I1173" s="2">
        <f>sa_retail_sales[[#This Row],[Profit]] / sa_retail_sales[[#This Row],[Revenue]]</f>
        <v>0.46605213598969175</v>
      </c>
      <c r="J1173">
        <f xml:space="preserve"> YEAR(sa_retail_sales[[#This Row],[Order Date]])</f>
        <v>2024</v>
      </c>
    </row>
    <row r="1174" spans="1:10" x14ac:dyDescent="0.3">
      <c r="A1174" s="1">
        <v>44980</v>
      </c>
      <c r="B1174" t="s">
        <v>18</v>
      </c>
      <c r="C1174" t="s">
        <v>9</v>
      </c>
      <c r="D1174" t="s">
        <v>15</v>
      </c>
      <c r="E1174">
        <v>14616</v>
      </c>
      <c r="F1174">
        <v>10638</v>
      </c>
      <c r="G1174">
        <v>5</v>
      </c>
      <c r="H1174">
        <v>3978</v>
      </c>
      <c r="I1174" s="2">
        <f>sa_retail_sales[[#This Row],[Profit]] / sa_retail_sales[[#This Row],[Revenue]]</f>
        <v>0.27216748768472904</v>
      </c>
      <c r="J1174">
        <f xml:space="preserve"> YEAR(sa_retail_sales[[#This Row],[Order Date]])</f>
        <v>2023</v>
      </c>
    </row>
    <row r="1175" spans="1:10" x14ac:dyDescent="0.3">
      <c r="A1175" s="1">
        <v>45251</v>
      </c>
      <c r="B1175" t="s">
        <v>11</v>
      </c>
      <c r="C1175" t="s">
        <v>16</v>
      </c>
      <c r="D1175" t="s">
        <v>10</v>
      </c>
      <c r="E1175">
        <v>8145</v>
      </c>
      <c r="F1175">
        <v>6760</v>
      </c>
      <c r="G1175">
        <v>0</v>
      </c>
      <c r="H1175">
        <v>1385</v>
      </c>
      <c r="I1175" s="2">
        <f>sa_retail_sales[[#This Row],[Profit]] / sa_retail_sales[[#This Row],[Revenue]]</f>
        <v>0.17004297114794353</v>
      </c>
      <c r="J1175">
        <f xml:space="preserve"> YEAR(sa_retail_sales[[#This Row],[Order Date]])</f>
        <v>2023</v>
      </c>
    </row>
    <row r="1176" spans="1:10" x14ac:dyDescent="0.3">
      <c r="A1176" s="1">
        <v>45411</v>
      </c>
      <c r="B1176" t="s">
        <v>8</v>
      </c>
      <c r="C1176" t="s">
        <v>9</v>
      </c>
      <c r="D1176" t="s">
        <v>15</v>
      </c>
      <c r="E1176">
        <v>12518</v>
      </c>
      <c r="F1176">
        <v>2470</v>
      </c>
      <c r="G1176">
        <v>20</v>
      </c>
      <c r="H1176">
        <v>10048</v>
      </c>
      <c r="I1176" s="2">
        <f>sa_retail_sales[[#This Row],[Profit]] / sa_retail_sales[[#This Row],[Revenue]]</f>
        <v>0.80268413484582202</v>
      </c>
      <c r="J1176">
        <f xml:space="preserve"> YEAR(sa_retail_sales[[#This Row],[Order Date]])</f>
        <v>2024</v>
      </c>
    </row>
    <row r="1177" spans="1:10" x14ac:dyDescent="0.3">
      <c r="A1177" s="1">
        <v>44623</v>
      </c>
      <c r="B1177" t="s">
        <v>11</v>
      </c>
      <c r="C1177" t="s">
        <v>9</v>
      </c>
      <c r="D1177" t="s">
        <v>15</v>
      </c>
      <c r="E1177">
        <v>13266</v>
      </c>
      <c r="F1177">
        <v>3691</v>
      </c>
      <c r="G1177">
        <v>5</v>
      </c>
      <c r="H1177">
        <v>9575</v>
      </c>
      <c r="I1177" s="2">
        <f>sa_retail_sales[[#This Row],[Profit]] / sa_retail_sales[[#This Row],[Revenue]]</f>
        <v>0.72176993818784863</v>
      </c>
      <c r="J1177">
        <f xml:space="preserve"> YEAR(sa_retail_sales[[#This Row],[Order Date]])</f>
        <v>2022</v>
      </c>
    </row>
    <row r="1178" spans="1:10" x14ac:dyDescent="0.3">
      <c r="A1178" s="1">
        <v>44777</v>
      </c>
      <c r="B1178" t="s">
        <v>17</v>
      </c>
      <c r="C1178" t="s">
        <v>16</v>
      </c>
      <c r="D1178" t="s">
        <v>12</v>
      </c>
      <c r="E1178">
        <v>9523</v>
      </c>
      <c r="F1178">
        <v>7242</v>
      </c>
      <c r="G1178">
        <v>0</v>
      </c>
      <c r="H1178">
        <v>2281</v>
      </c>
      <c r="I1178" s="2">
        <f>sa_retail_sales[[#This Row],[Profit]] / sa_retail_sales[[#This Row],[Revenue]]</f>
        <v>0.23952535965557073</v>
      </c>
      <c r="J1178">
        <f xml:space="preserve"> YEAR(sa_retail_sales[[#This Row],[Order Date]])</f>
        <v>2022</v>
      </c>
    </row>
    <row r="1179" spans="1:10" x14ac:dyDescent="0.3">
      <c r="A1179" s="1">
        <v>44564</v>
      </c>
      <c r="B1179" t="s">
        <v>11</v>
      </c>
      <c r="C1179" t="s">
        <v>16</v>
      </c>
      <c r="D1179" t="s">
        <v>12</v>
      </c>
      <c r="E1179">
        <v>11389</v>
      </c>
      <c r="F1179">
        <v>1916</v>
      </c>
      <c r="G1179">
        <v>20</v>
      </c>
      <c r="H1179">
        <v>9473</v>
      </c>
      <c r="I1179" s="2">
        <f>sa_retail_sales[[#This Row],[Profit]] / sa_retail_sales[[#This Row],[Revenue]]</f>
        <v>0.83176749495126878</v>
      </c>
      <c r="J1179">
        <f xml:space="preserve"> YEAR(sa_retail_sales[[#This Row],[Order Date]])</f>
        <v>2022</v>
      </c>
    </row>
    <row r="1180" spans="1:10" x14ac:dyDescent="0.3">
      <c r="A1180" s="1">
        <v>44721</v>
      </c>
      <c r="B1180" t="s">
        <v>18</v>
      </c>
      <c r="C1180" t="s">
        <v>13</v>
      </c>
      <c r="D1180" t="s">
        <v>10</v>
      </c>
      <c r="E1180">
        <v>14402</v>
      </c>
      <c r="F1180">
        <v>9408</v>
      </c>
      <c r="G1180">
        <v>15</v>
      </c>
      <c r="H1180">
        <v>4994</v>
      </c>
      <c r="I1180" s="2">
        <f>sa_retail_sales[[#This Row],[Profit]] / sa_retail_sales[[#This Row],[Revenue]]</f>
        <v>0.34675739480627693</v>
      </c>
      <c r="J1180">
        <f xml:space="preserve"> YEAR(sa_retail_sales[[#This Row],[Order Date]])</f>
        <v>2022</v>
      </c>
    </row>
    <row r="1181" spans="1:10" x14ac:dyDescent="0.3">
      <c r="A1181" s="1">
        <v>45342</v>
      </c>
      <c r="B1181" t="s">
        <v>18</v>
      </c>
      <c r="C1181" t="s">
        <v>13</v>
      </c>
      <c r="D1181" t="s">
        <v>19</v>
      </c>
      <c r="E1181">
        <v>5277</v>
      </c>
      <c r="F1181">
        <v>6758</v>
      </c>
      <c r="G1181">
        <v>0</v>
      </c>
      <c r="H1181">
        <v>-1481</v>
      </c>
      <c r="I1181" s="2">
        <f>sa_retail_sales[[#This Row],[Profit]] / sa_retail_sales[[#This Row],[Revenue]]</f>
        <v>-0.2806518855410271</v>
      </c>
      <c r="J1181">
        <f xml:space="preserve"> YEAR(sa_retail_sales[[#This Row],[Order Date]])</f>
        <v>2024</v>
      </c>
    </row>
    <row r="1182" spans="1:10" x14ac:dyDescent="0.3">
      <c r="A1182" s="1">
        <v>45454</v>
      </c>
      <c r="B1182" t="s">
        <v>11</v>
      </c>
      <c r="C1182" t="s">
        <v>13</v>
      </c>
      <c r="D1182" t="s">
        <v>10</v>
      </c>
      <c r="E1182">
        <v>3235</v>
      </c>
      <c r="F1182">
        <v>3056</v>
      </c>
      <c r="G1182">
        <v>15</v>
      </c>
      <c r="H1182">
        <v>179</v>
      </c>
      <c r="I1182" s="2">
        <f>sa_retail_sales[[#This Row],[Profit]] / sa_retail_sales[[#This Row],[Revenue]]</f>
        <v>5.5332302936630599E-2</v>
      </c>
      <c r="J1182">
        <f xml:space="preserve"> YEAR(sa_retail_sales[[#This Row],[Order Date]])</f>
        <v>2024</v>
      </c>
    </row>
    <row r="1183" spans="1:10" x14ac:dyDescent="0.3">
      <c r="A1183" s="1">
        <v>44890</v>
      </c>
      <c r="B1183" t="s">
        <v>17</v>
      </c>
      <c r="C1183" t="s">
        <v>9</v>
      </c>
      <c r="D1183" t="s">
        <v>15</v>
      </c>
      <c r="E1183">
        <v>14111</v>
      </c>
      <c r="F1183">
        <v>7153</v>
      </c>
      <c r="G1183">
        <v>10</v>
      </c>
      <c r="H1183">
        <v>6958</v>
      </c>
      <c r="I1183" s="2">
        <f>sa_retail_sales[[#This Row],[Profit]] / sa_retail_sales[[#This Row],[Revenue]]</f>
        <v>0.49309049677556516</v>
      </c>
      <c r="J1183">
        <f xml:space="preserve"> YEAR(sa_retail_sales[[#This Row],[Order Date]])</f>
        <v>2022</v>
      </c>
    </row>
    <row r="1184" spans="1:10" x14ac:dyDescent="0.3">
      <c r="A1184" s="1">
        <v>45141</v>
      </c>
      <c r="B1184" t="s">
        <v>8</v>
      </c>
      <c r="C1184" t="s">
        <v>16</v>
      </c>
      <c r="D1184" t="s">
        <v>12</v>
      </c>
      <c r="E1184">
        <v>8773</v>
      </c>
      <c r="F1184">
        <v>8009</v>
      </c>
      <c r="G1184">
        <v>10</v>
      </c>
      <c r="H1184">
        <v>764</v>
      </c>
      <c r="I1184" s="2">
        <f>sa_retail_sales[[#This Row],[Profit]] / sa_retail_sales[[#This Row],[Revenue]]</f>
        <v>8.7085375584178726E-2</v>
      </c>
      <c r="J1184">
        <f xml:space="preserve"> YEAR(sa_retail_sales[[#This Row],[Order Date]])</f>
        <v>2023</v>
      </c>
    </row>
    <row r="1185" spans="1:10" x14ac:dyDescent="0.3">
      <c r="A1185" s="1">
        <v>45513</v>
      </c>
      <c r="B1185" t="s">
        <v>17</v>
      </c>
      <c r="C1185" t="s">
        <v>14</v>
      </c>
      <c r="D1185" t="s">
        <v>10</v>
      </c>
      <c r="E1185">
        <v>8778</v>
      </c>
      <c r="F1185">
        <v>2236</v>
      </c>
      <c r="G1185">
        <v>10</v>
      </c>
      <c r="H1185">
        <v>6542</v>
      </c>
      <c r="I1185" s="2">
        <f>sa_retail_sales[[#This Row],[Profit]] / sa_retail_sales[[#This Row],[Revenue]]</f>
        <v>0.74527227158806109</v>
      </c>
      <c r="J1185">
        <f xml:space="preserve"> YEAR(sa_retail_sales[[#This Row],[Order Date]])</f>
        <v>2024</v>
      </c>
    </row>
    <row r="1186" spans="1:10" x14ac:dyDescent="0.3">
      <c r="A1186" s="1">
        <v>45196</v>
      </c>
      <c r="B1186" t="s">
        <v>8</v>
      </c>
      <c r="C1186" t="s">
        <v>9</v>
      </c>
      <c r="D1186" t="s">
        <v>10</v>
      </c>
      <c r="E1186">
        <v>6868</v>
      </c>
      <c r="F1186">
        <v>3391</v>
      </c>
      <c r="G1186">
        <v>10</v>
      </c>
      <c r="H1186">
        <v>3477</v>
      </c>
      <c r="I1186" s="2">
        <f>sa_retail_sales[[#This Row],[Profit]] / sa_retail_sales[[#This Row],[Revenue]]</f>
        <v>0.50626092020966806</v>
      </c>
      <c r="J1186">
        <f xml:space="preserve"> YEAR(sa_retail_sales[[#This Row],[Order Date]])</f>
        <v>2023</v>
      </c>
    </row>
    <row r="1187" spans="1:10" x14ac:dyDescent="0.3">
      <c r="A1187" s="1">
        <v>45549</v>
      </c>
      <c r="B1187" t="s">
        <v>18</v>
      </c>
      <c r="C1187" t="s">
        <v>14</v>
      </c>
      <c r="D1187" t="s">
        <v>12</v>
      </c>
      <c r="E1187">
        <v>10755</v>
      </c>
      <c r="F1187">
        <v>1268</v>
      </c>
      <c r="G1187">
        <v>5</v>
      </c>
      <c r="H1187">
        <v>9487</v>
      </c>
      <c r="I1187" s="2">
        <f>sa_retail_sales[[#This Row],[Profit]] / sa_retail_sales[[#This Row],[Revenue]]</f>
        <v>0.88210134821013486</v>
      </c>
      <c r="J1187">
        <f xml:space="preserve"> YEAR(sa_retail_sales[[#This Row],[Order Date]])</f>
        <v>2024</v>
      </c>
    </row>
    <row r="1188" spans="1:10" x14ac:dyDescent="0.3">
      <c r="A1188" s="1">
        <v>45482</v>
      </c>
      <c r="B1188" t="s">
        <v>17</v>
      </c>
      <c r="C1188" t="s">
        <v>16</v>
      </c>
      <c r="D1188" t="s">
        <v>12</v>
      </c>
      <c r="E1188">
        <v>1321</v>
      </c>
      <c r="F1188">
        <v>7597</v>
      </c>
      <c r="G1188">
        <v>10</v>
      </c>
      <c r="H1188">
        <v>-6276</v>
      </c>
      <c r="I1188" s="2">
        <f>sa_retail_sales[[#This Row],[Profit]] / sa_retail_sales[[#This Row],[Revenue]]</f>
        <v>-4.7509462528387587</v>
      </c>
      <c r="J1188">
        <f xml:space="preserve"> YEAR(sa_retail_sales[[#This Row],[Order Date]])</f>
        <v>2024</v>
      </c>
    </row>
    <row r="1189" spans="1:10" x14ac:dyDescent="0.3">
      <c r="A1189" s="1">
        <v>45299</v>
      </c>
      <c r="B1189" t="s">
        <v>8</v>
      </c>
      <c r="C1189" t="s">
        <v>9</v>
      </c>
      <c r="D1189" t="s">
        <v>12</v>
      </c>
      <c r="E1189">
        <v>8025</v>
      </c>
      <c r="F1189">
        <v>11856</v>
      </c>
      <c r="G1189">
        <v>5</v>
      </c>
      <c r="H1189">
        <v>-3831</v>
      </c>
      <c r="I1189" s="2">
        <f>sa_retail_sales[[#This Row],[Profit]] / sa_retail_sales[[#This Row],[Revenue]]</f>
        <v>-0.47738317757009346</v>
      </c>
      <c r="J1189">
        <f xml:space="preserve"> YEAR(sa_retail_sales[[#This Row],[Order Date]])</f>
        <v>2024</v>
      </c>
    </row>
    <row r="1190" spans="1:10" x14ac:dyDescent="0.3">
      <c r="A1190" s="1">
        <v>44731</v>
      </c>
      <c r="B1190" t="s">
        <v>11</v>
      </c>
      <c r="C1190" t="s">
        <v>14</v>
      </c>
      <c r="D1190" t="s">
        <v>15</v>
      </c>
      <c r="E1190">
        <v>662</v>
      </c>
      <c r="F1190">
        <v>3503</v>
      </c>
      <c r="G1190">
        <v>5</v>
      </c>
      <c r="H1190">
        <v>-2841</v>
      </c>
      <c r="I1190" s="2">
        <f>sa_retail_sales[[#This Row],[Profit]] / sa_retail_sales[[#This Row],[Revenue]]</f>
        <v>-4.2915407854984897</v>
      </c>
      <c r="J1190">
        <f xml:space="preserve"> YEAR(sa_retail_sales[[#This Row],[Order Date]])</f>
        <v>2022</v>
      </c>
    </row>
    <row r="1191" spans="1:10" x14ac:dyDescent="0.3">
      <c r="A1191" s="1">
        <v>45082</v>
      </c>
      <c r="B1191" t="s">
        <v>18</v>
      </c>
      <c r="C1191" t="s">
        <v>14</v>
      </c>
      <c r="D1191" t="s">
        <v>12</v>
      </c>
      <c r="E1191">
        <v>8277</v>
      </c>
      <c r="F1191">
        <v>6799</v>
      </c>
      <c r="G1191">
        <v>20</v>
      </c>
      <c r="H1191">
        <v>1478</v>
      </c>
      <c r="I1191" s="2">
        <f>sa_retail_sales[[#This Row],[Profit]] / sa_retail_sales[[#This Row],[Revenue]]</f>
        <v>0.17856711368853451</v>
      </c>
      <c r="J1191">
        <f xml:space="preserve"> YEAR(sa_retail_sales[[#This Row],[Order Date]])</f>
        <v>2023</v>
      </c>
    </row>
    <row r="1192" spans="1:10" x14ac:dyDescent="0.3">
      <c r="A1192" s="1">
        <v>44601</v>
      </c>
      <c r="B1192" t="s">
        <v>11</v>
      </c>
      <c r="C1192" t="s">
        <v>13</v>
      </c>
      <c r="D1192" t="s">
        <v>19</v>
      </c>
      <c r="E1192">
        <v>12431</v>
      </c>
      <c r="F1192">
        <v>5473</v>
      </c>
      <c r="G1192">
        <v>5</v>
      </c>
      <c r="H1192">
        <v>6958</v>
      </c>
      <c r="I1192" s="2">
        <f>sa_retail_sales[[#This Row],[Profit]] / sa_retail_sales[[#This Row],[Revenue]]</f>
        <v>0.55972970798809429</v>
      </c>
      <c r="J1192">
        <f xml:space="preserve"> YEAR(sa_retail_sales[[#This Row],[Order Date]])</f>
        <v>2022</v>
      </c>
    </row>
    <row r="1193" spans="1:10" x14ac:dyDescent="0.3">
      <c r="A1193" s="1">
        <v>45516</v>
      </c>
      <c r="B1193" t="s">
        <v>18</v>
      </c>
      <c r="C1193" t="s">
        <v>13</v>
      </c>
      <c r="D1193" t="s">
        <v>10</v>
      </c>
      <c r="E1193">
        <v>11089</v>
      </c>
      <c r="F1193">
        <v>1189</v>
      </c>
      <c r="G1193">
        <v>5</v>
      </c>
      <c r="H1193">
        <v>9900</v>
      </c>
      <c r="I1193" s="2">
        <f>sa_retail_sales[[#This Row],[Profit]] / sa_retail_sales[[#This Row],[Revenue]]</f>
        <v>0.89277662548471459</v>
      </c>
      <c r="J1193">
        <f xml:space="preserve"> YEAR(sa_retail_sales[[#This Row],[Order Date]])</f>
        <v>2024</v>
      </c>
    </row>
    <row r="1194" spans="1:10" x14ac:dyDescent="0.3">
      <c r="A1194" s="1">
        <v>45545</v>
      </c>
      <c r="B1194" t="s">
        <v>17</v>
      </c>
      <c r="C1194" t="s">
        <v>13</v>
      </c>
      <c r="D1194" t="s">
        <v>12</v>
      </c>
      <c r="E1194">
        <v>2432</v>
      </c>
      <c r="F1194">
        <v>9284</v>
      </c>
      <c r="G1194">
        <v>10</v>
      </c>
      <c r="H1194">
        <v>-6852</v>
      </c>
      <c r="I1194" s="2">
        <f>sa_retail_sales[[#This Row],[Profit]] / sa_retail_sales[[#This Row],[Revenue]]</f>
        <v>-2.8174342105263159</v>
      </c>
      <c r="J1194">
        <f xml:space="preserve"> YEAR(sa_retail_sales[[#This Row],[Order Date]])</f>
        <v>2024</v>
      </c>
    </row>
    <row r="1195" spans="1:10" x14ac:dyDescent="0.3">
      <c r="A1195" s="1">
        <v>45536</v>
      </c>
      <c r="B1195" t="s">
        <v>17</v>
      </c>
      <c r="C1195" t="s">
        <v>9</v>
      </c>
      <c r="D1195" t="s">
        <v>12</v>
      </c>
      <c r="E1195">
        <v>11420</v>
      </c>
      <c r="F1195">
        <v>11950</v>
      </c>
      <c r="G1195">
        <v>5</v>
      </c>
      <c r="H1195">
        <v>-530</v>
      </c>
      <c r="I1195" s="2">
        <f>sa_retail_sales[[#This Row],[Profit]] / sa_retail_sales[[#This Row],[Revenue]]</f>
        <v>-4.6409807355516634E-2</v>
      </c>
      <c r="J1195">
        <f xml:space="preserve"> YEAR(sa_retail_sales[[#This Row],[Order Date]])</f>
        <v>2024</v>
      </c>
    </row>
    <row r="1196" spans="1:10" x14ac:dyDescent="0.3">
      <c r="A1196" s="1">
        <v>44599</v>
      </c>
      <c r="B1196" t="s">
        <v>18</v>
      </c>
      <c r="C1196" t="s">
        <v>16</v>
      </c>
      <c r="D1196" t="s">
        <v>15</v>
      </c>
      <c r="E1196">
        <v>4035</v>
      </c>
      <c r="F1196">
        <v>9473</v>
      </c>
      <c r="G1196">
        <v>15</v>
      </c>
      <c r="H1196">
        <v>-5438</v>
      </c>
      <c r="I1196" s="2">
        <f>sa_retail_sales[[#This Row],[Profit]] / sa_retail_sales[[#This Row],[Revenue]]</f>
        <v>-1.3477075588599752</v>
      </c>
      <c r="J1196">
        <f xml:space="preserve"> YEAR(sa_retail_sales[[#This Row],[Order Date]])</f>
        <v>2022</v>
      </c>
    </row>
    <row r="1197" spans="1:10" x14ac:dyDescent="0.3">
      <c r="A1197" s="1">
        <v>44889</v>
      </c>
      <c r="B1197" t="s">
        <v>18</v>
      </c>
      <c r="C1197" t="s">
        <v>16</v>
      </c>
      <c r="D1197" t="s">
        <v>15</v>
      </c>
      <c r="E1197">
        <v>14638</v>
      </c>
      <c r="F1197">
        <v>7682</v>
      </c>
      <c r="G1197">
        <v>10</v>
      </c>
      <c r="H1197">
        <v>6956</v>
      </c>
      <c r="I1197" s="2">
        <f>sa_retail_sales[[#This Row],[Profit]] / sa_retail_sales[[#This Row],[Revenue]]</f>
        <v>0.47520153026369721</v>
      </c>
      <c r="J1197">
        <f xml:space="preserve"> YEAR(sa_retail_sales[[#This Row],[Order Date]])</f>
        <v>2022</v>
      </c>
    </row>
    <row r="1198" spans="1:10" x14ac:dyDescent="0.3">
      <c r="A1198" s="1">
        <v>45475</v>
      </c>
      <c r="B1198" t="s">
        <v>18</v>
      </c>
      <c r="C1198" t="s">
        <v>13</v>
      </c>
      <c r="D1198" t="s">
        <v>10</v>
      </c>
      <c r="E1198">
        <v>6456</v>
      </c>
      <c r="F1198">
        <v>3831</v>
      </c>
      <c r="G1198">
        <v>0</v>
      </c>
      <c r="H1198">
        <v>2625</v>
      </c>
      <c r="I1198" s="2">
        <f>sa_retail_sales[[#This Row],[Profit]] / sa_retail_sales[[#This Row],[Revenue]]</f>
        <v>0.40659851301115241</v>
      </c>
      <c r="J1198">
        <f xml:space="preserve"> YEAR(sa_retail_sales[[#This Row],[Order Date]])</f>
        <v>2024</v>
      </c>
    </row>
    <row r="1199" spans="1:10" x14ac:dyDescent="0.3">
      <c r="A1199" s="1">
        <v>45015</v>
      </c>
      <c r="B1199" t="s">
        <v>17</v>
      </c>
      <c r="C1199" t="s">
        <v>13</v>
      </c>
      <c r="D1199" t="s">
        <v>19</v>
      </c>
      <c r="E1199">
        <v>3946</v>
      </c>
      <c r="F1199">
        <v>1101</v>
      </c>
      <c r="G1199">
        <v>10</v>
      </c>
      <c r="H1199">
        <v>2845</v>
      </c>
      <c r="I1199" s="2">
        <f>sa_retail_sales[[#This Row],[Profit]] / sa_retail_sales[[#This Row],[Revenue]]</f>
        <v>0.72098327420172326</v>
      </c>
      <c r="J1199">
        <f xml:space="preserve"> YEAR(sa_retail_sales[[#This Row],[Order Date]])</f>
        <v>2023</v>
      </c>
    </row>
    <row r="1200" spans="1:10" x14ac:dyDescent="0.3">
      <c r="A1200" s="1">
        <v>44598</v>
      </c>
      <c r="B1200" t="s">
        <v>8</v>
      </c>
      <c r="C1200" t="s">
        <v>13</v>
      </c>
      <c r="D1200" t="s">
        <v>10</v>
      </c>
      <c r="E1200">
        <v>13903</v>
      </c>
      <c r="F1200">
        <v>8534</v>
      </c>
      <c r="G1200">
        <v>5</v>
      </c>
      <c r="H1200">
        <v>5369</v>
      </c>
      <c r="I1200" s="2">
        <f>sa_retail_sales[[#This Row],[Profit]] / sa_retail_sales[[#This Row],[Revenue]]</f>
        <v>0.38617564554412714</v>
      </c>
      <c r="J1200">
        <f xml:space="preserve"> YEAR(sa_retail_sales[[#This Row],[Order Date]])</f>
        <v>2022</v>
      </c>
    </row>
    <row r="1201" spans="1:10" x14ac:dyDescent="0.3">
      <c r="A1201" s="1">
        <v>45534</v>
      </c>
      <c r="B1201" t="s">
        <v>11</v>
      </c>
      <c r="C1201" t="s">
        <v>14</v>
      </c>
      <c r="D1201" t="s">
        <v>12</v>
      </c>
      <c r="E1201">
        <v>3290</v>
      </c>
      <c r="F1201">
        <v>3649</v>
      </c>
      <c r="G1201">
        <v>15</v>
      </c>
      <c r="H1201">
        <v>-359</v>
      </c>
      <c r="I1201" s="2">
        <f>sa_retail_sales[[#This Row],[Profit]] / sa_retail_sales[[#This Row],[Revenue]]</f>
        <v>-0.10911854103343466</v>
      </c>
      <c r="J1201">
        <f xml:space="preserve"> YEAR(sa_retail_sales[[#This Row],[Order Date]])</f>
        <v>2024</v>
      </c>
    </row>
    <row r="1202" spans="1:10" x14ac:dyDescent="0.3">
      <c r="A1202" s="1">
        <v>45357</v>
      </c>
      <c r="B1202" t="s">
        <v>11</v>
      </c>
      <c r="C1202" t="s">
        <v>13</v>
      </c>
      <c r="D1202" t="s">
        <v>19</v>
      </c>
      <c r="E1202">
        <v>3207</v>
      </c>
      <c r="F1202">
        <v>8305</v>
      </c>
      <c r="G1202">
        <v>10</v>
      </c>
      <c r="H1202">
        <v>-5098</v>
      </c>
      <c r="I1202" s="2">
        <f>sa_retail_sales[[#This Row],[Profit]] / sa_retail_sales[[#This Row],[Revenue]]</f>
        <v>-1.5896476457748674</v>
      </c>
      <c r="J1202">
        <f xml:space="preserve"> YEAR(sa_retail_sales[[#This Row],[Order Date]])</f>
        <v>2024</v>
      </c>
    </row>
    <row r="1203" spans="1:10" x14ac:dyDescent="0.3">
      <c r="A1203" s="1">
        <v>45534</v>
      </c>
      <c r="B1203" t="s">
        <v>17</v>
      </c>
      <c r="C1203" t="s">
        <v>14</v>
      </c>
      <c r="D1203" t="s">
        <v>19</v>
      </c>
      <c r="E1203">
        <v>8459</v>
      </c>
      <c r="F1203">
        <v>10269</v>
      </c>
      <c r="G1203">
        <v>15</v>
      </c>
      <c r="H1203">
        <v>-1810</v>
      </c>
      <c r="I1203" s="2">
        <f>sa_retail_sales[[#This Row],[Profit]] / sa_retail_sales[[#This Row],[Revenue]]</f>
        <v>-0.21397328289395909</v>
      </c>
      <c r="J1203">
        <f xml:space="preserve"> YEAR(sa_retail_sales[[#This Row],[Order Date]])</f>
        <v>2024</v>
      </c>
    </row>
    <row r="1204" spans="1:10" x14ac:dyDescent="0.3">
      <c r="A1204" s="1">
        <v>45154</v>
      </c>
      <c r="B1204" t="s">
        <v>11</v>
      </c>
      <c r="C1204" t="s">
        <v>16</v>
      </c>
      <c r="D1204" t="s">
        <v>19</v>
      </c>
      <c r="E1204">
        <v>14670</v>
      </c>
      <c r="F1204">
        <v>3501</v>
      </c>
      <c r="G1204">
        <v>0</v>
      </c>
      <c r="H1204">
        <v>11169</v>
      </c>
      <c r="I1204" s="2">
        <f>sa_retail_sales[[#This Row],[Profit]] / sa_retail_sales[[#This Row],[Revenue]]</f>
        <v>0.76134969325153379</v>
      </c>
      <c r="J1204">
        <f xml:space="preserve"> YEAR(sa_retail_sales[[#This Row],[Order Date]])</f>
        <v>2023</v>
      </c>
    </row>
    <row r="1205" spans="1:10" x14ac:dyDescent="0.3">
      <c r="A1205" s="1">
        <v>45625</v>
      </c>
      <c r="B1205" t="s">
        <v>18</v>
      </c>
      <c r="C1205" t="s">
        <v>9</v>
      </c>
      <c r="D1205" t="s">
        <v>19</v>
      </c>
      <c r="E1205">
        <v>4433</v>
      </c>
      <c r="F1205">
        <v>649</v>
      </c>
      <c r="G1205">
        <v>0</v>
      </c>
      <c r="H1205">
        <v>3784</v>
      </c>
      <c r="I1205" s="2">
        <f>sa_retail_sales[[#This Row],[Profit]] / sa_retail_sales[[#This Row],[Revenue]]</f>
        <v>0.85359801488833742</v>
      </c>
      <c r="J1205">
        <f xml:space="preserve"> YEAR(sa_retail_sales[[#This Row],[Order Date]])</f>
        <v>2024</v>
      </c>
    </row>
    <row r="1206" spans="1:10" x14ac:dyDescent="0.3">
      <c r="A1206" s="1">
        <v>44785</v>
      </c>
      <c r="B1206" t="s">
        <v>8</v>
      </c>
      <c r="C1206" t="s">
        <v>9</v>
      </c>
      <c r="D1206" t="s">
        <v>10</v>
      </c>
      <c r="E1206">
        <v>3885</v>
      </c>
      <c r="F1206">
        <v>10059</v>
      </c>
      <c r="G1206">
        <v>20</v>
      </c>
      <c r="H1206">
        <v>-6174</v>
      </c>
      <c r="I1206" s="2">
        <f>sa_retail_sales[[#This Row],[Profit]] / sa_retail_sales[[#This Row],[Revenue]]</f>
        <v>-1.5891891891891892</v>
      </c>
      <c r="J1206">
        <f xml:space="preserve"> YEAR(sa_retail_sales[[#This Row],[Order Date]])</f>
        <v>2022</v>
      </c>
    </row>
    <row r="1207" spans="1:10" x14ac:dyDescent="0.3">
      <c r="A1207" s="1">
        <v>44879</v>
      </c>
      <c r="B1207" t="s">
        <v>11</v>
      </c>
      <c r="C1207" t="s">
        <v>9</v>
      </c>
      <c r="D1207" t="s">
        <v>15</v>
      </c>
      <c r="E1207">
        <v>7136</v>
      </c>
      <c r="F1207">
        <v>9621</v>
      </c>
      <c r="G1207">
        <v>20</v>
      </c>
      <c r="H1207">
        <v>-2485</v>
      </c>
      <c r="I1207" s="2">
        <f>sa_retail_sales[[#This Row],[Profit]] / sa_retail_sales[[#This Row],[Revenue]]</f>
        <v>-0.34823430493273544</v>
      </c>
      <c r="J1207">
        <f xml:space="preserve"> YEAR(sa_retail_sales[[#This Row],[Order Date]])</f>
        <v>2022</v>
      </c>
    </row>
    <row r="1208" spans="1:10" x14ac:dyDescent="0.3">
      <c r="A1208" s="1">
        <v>44910</v>
      </c>
      <c r="B1208" t="s">
        <v>8</v>
      </c>
      <c r="C1208" t="s">
        <v>9</v>
      </c>
      <c r="D1208" t="s">
        <v>15</v>
      </c>
      <c r="E1208">
        <v>1422</v>
      </c>
      <c r="F1208">
        <v>11451</v>
      </c>
      <c r="G1208">
        <v>10</v>
      </c>
      <c r="H1208">
        <v>-10029</v>
      </c>
      <c r="I1208" s="2">
        <f>sa_retail_sales[[#This Row],[Profit]] / sa_retail_sales[[#This Row],[Revenue]]</f>
        <v>-7.052742616033755</v>
      </c>
      <c r="J1208">
        <f xml:space="preserve"> YEAR(sa_retail_sales[[#This Row],[Order Date]])</f>
        <v>2022</v>
      </c>
    </row>
    <row r="1209" spans="1:10" x14ac:dyDescent="0.3">
      <c r="A1209" s="1">
        <v>44676</v>
      </c>
      <c r="B1209" t="s">
        <v>18</v>
      </c>
      <c r="C1209" t="s">
        <v>14</v>
      </c>
      <c r="D1209" t="s">
        <v>12</v>
      </c>
      <c r="E1209">
        <v>8589</v>
      </c>
      <c r="F1209">
        <v>10272</v>
      </c>
      <c r="G1209">
        <v>20</v>
      </c>
      <c r="H1209">
        <v>-1683</v>
      </c>
      <c r="I1209" s="2">
        <f>sa_retail_sales[[#This Row],[Profit]] / sa_retail_sales[[#This Row],[Revenue]]</f>
        <v>-0.19594830597275584</v>
      </c>
      <c r="J1209">
        <f xml:space="preserve"> YEAR(sa_retail_sales[[#This Row],[Order Date]])</f>
        <v>2022</v>
      </c>
    </row>
    <row r="1210" spans="1:10" x14ac:dyDescent="0.3">
      <c r="A1210" s="1">
        <v>45259</v>
      </c>
      <c r="B1210" t="s">
        <v>11</v>
      </c>
      <c r="C1210" t="s">
        <v>14</v>
      </c>
      <c r="D1210" t="s">
        <v>15</v>
      </c>
      <c r="E1210">
        <v>10867</v>
      </c>
      <c r="F1210">
        <v>883</v>
      </c>
      <c r="G1210">
        <v>15</v>
      </c>
      <c r="H1210">
        <v>9984</v>
      </c>
      <c r="I1210" s="2">
        <f>sa_retail_sales[[#This Row],[Profit]] / sa_retail_sales[[#This Row],[Revenue]]</f>
        <v>0.91874482377841171</v>
      </c>
      <c r="J1210">
        <f xml:space="preserve"> YEAR(sa_retail_sales[[#This Row],[Order Date]])</f>
        <v>2023</v>
      </c>
    </row>
    <row r="1211" spans="1:10" x14ac:dyDescent="0.3">
      <c r="A1211" s="1">
        <v>45625</v>
      </c>
      <c r="B1211" t="s">
        <v>17</v>
      </c>
      <c r="C1211" t="s">
        <v>13</v>
      </c>
      <c r="D1211" t="s">
        <v>15</v>
      </c>
      <c r="E1211">
        <v>14237</v>
      </c>
      <c r="F1211">
        <v>3677</v>
      </c>
      <c r="G1211">
        <v>20</v>
      </c>
      <c r="H1211">
        <v>10560</v>
      </c>
      <c r="I1211" s="2">
        <f>sa_retail_sales[[#This Row],[Profit]] / sa_retail_sales[[#This Row],[Revenue]]</f>
        <v>0.74172929690243727</v>
      </c>
      <c r="J1211">
        <f xml:space="preserve"> YEAR(sa_retail_sales[[#This Row],[Order Date]])</f>
        <v>2024</v>
      </c>
    </row>
    <row r="1212" spans="1:10" x14ac:dyDescent="0.3">
      <c r="A1212" s="1">
        <v>44601</v>
      </c>
      <c r="B1212" t="s">
        <v>8</v>
      </c>
      <c r="C1212" t="s">
        <v>14</v>
      </c>
      <c r="D1212" t="s">
        <v>15</v>
      </c>
      <c r="E1212">
        <v>10274</v>
      </c>
      <c r="F1212">
        <v>6328</v>
      </c>
      <c r="G1212">
        <v>15</v>
      </c>
      <c r="H1212">
        <v>3946</v>
      </c>
      <c r="I1212" s="2">
        <f>sa_retail_sales[[#This Row],[Profit]] / sa_retail_sales[[#This Row],[Revenue]]</f>
        <v>0.38407630912984231</v>
      </c>
      <c r="J1212">
        <f xml:space="preserve"> YEAR(sa_retail_sales[[#This Row],[Order Date]])</f>
        <v>2022</v>
      </c>
    </row>
    <row r="1213" spans="1:10" x14ac:dyDescent="0.3">
      <c r="A1213" s="1">
        <v>44777</v>
      </c>
      <c r="B1213" t="s">
        <v>18</v>
      </c>
      <c r="C1213" t="s">
        <v>13</v>
      </c>
      <c r="D1213" t="s">
        <v>15</v>
      </c>
      <c r="E1213">
        <v>1064</v>
      </c>
      <c r="F1213">
        <v>7994</v>
      </c>
      <c r="G1213">
        <v>20</v>
      </c>
      <c r="H1213">
        <v>-6930</v>
      </c>
      <c r="I1213" s="2">
        <f>sa_retail_sales[[#This Row],[Profit]] / sa_retail_sales[[#This Row],[Revenue]]</f>
        <v>-6.5131578947368425</v>
      </c>
      <c r="J1213">
        <f xml:space="preserve"> YEAR(sa_retail_sales[[#This Row],[Order Date]])</f>
        <v>2022</v>
      </c>
    </row>
    <row r="1214" spans="1:10" x14ac:dyDescent="0.3">
      <c r="A1214" s="1">
        <v>44897</v>
      </c>
      <c r="B1214" t="s">
        <v>8</v>
      </c>
      <c r="C1214" t="s">
        <v>13</v>
      </c>
      <c r="D1214" t="s">
        <v>12</v>
      </c>
      <c r="E1214">
        <v>3758</v>
      </c>
      <c r="F1214">
        <v>6496</v>
      </c>
      <c r="G1214">
        <v>20</v>
      </c>
      <c r="H1214">
        <v>-2738</v>
      </c>
      <c r="I1214" s="2">
        <f>sa_retail_sales[[#This Row],[Profit]] / sa_retail_sales[[#This Row],[Revenue]]</f>
        <v>-0.72857903139968072</v>
      </c>
      <c r="J1214">
        <f xml:space="preserve"> YEAR(sa_retail_sales[[#This Row],[Order Date]])</f>
        <v>2022</v>
      </c>
    </row>
    <row r="1215" spans="1:10" x14ac:dyDescent="0.3">
      <c r="A1215" s="1">
        <v>44653</v>
      </c>
      <c r="B1215" t="s">
        <v>11</v>
      </c>
      <c r="C1215" t="s">
        <v>9</v>
      </c>
      <c r="D1215" t="s">
        <v>10</v>
      </c>
      <c r="E1215">
        <v>11289</v>
      </c>
      <c r="F1215">
        <v>7383</v>
      </c>
      <c r="G1215">
        <v>20</v>
      </c>
      <c r="H1215">
        <v>3906</v>
      </c>
      <c r="I1215" s="2">
        <f>sa_retail_sales[[#This Row],[Profit]] / sa_retail_sales[[#This Row],[Revenue]]</f>
        <v>0.34600053149083176</v>
      </c>
      <c r="J1215">
        <f xml:space="preserve"> YEAR(sa_retail_sales[[#This Row],[Order Date]])</f>
        <v>2022</v>
      </c>
    </row>
    <row r="1216" spans="1:10" x14ac:dyDescent="0.3">
      <c r="A1216" s="1">
        <v>44914</v>
      </c>
      <c r="B1216" t="s">
        <v>11</v>
      </c>
      <c r="C1216" t="s">
        <v>14</v>
      </c>
      <c r="D1216" t="s">
        <v>19</v>
      </c>
      <c r="E1216">
        <v>3000</v>
      </c>
      <c r="F1216">
        <v>3701</v>
      </c>
      <c r="G1216">
        <v>5</v>
      </c>
      <c r="H1216">
        <v>-701</v>
      </c>
      <c r="I1216" s="2">
        <f>sa_retail_sales[[#This Row],[Profit]] / sa_retail_sales[[#This Row],[Revenue]]</f>
        <v>-0.23366666666666666</v>
      </c>
      <c r="J1216">
        <f xml:space="preserve"> YEAR(sa_retail_sales[[#This Row],[Order Date]])</f>
        <v>2022</v>
      </c>
    </row>
    <row r="1217" spans="1:10" x14ac:dyDescent="0.3">
      <c r="A1217" s="1">
        <v>45132</v>
      </c>
      <c r="B1217" t="s">
        <v>17</v>
      </c>
      <c r="C1217" t="s">
        <v>14</v>
      </c>
      <c r="D1217" t="s">
        <v>15</v>
      </c>
      <c r="E1217">
        <v>5066</v>
      </c>
      <c r="F1217">
        <v>3485</v>
      </c>
      <c r="G1217">
        <v>5</v>
      </c>
      <c r="H1217">
        <v>1581</v>
      </c>
      <c r="I1217" s="2">
        <f>sa_retail_sales[[#This Row],[Profit]] / sa_retail_sales[[#This Row],[Revenue]]</f>
        <v>0.31208053691275167</v>
      </c>
      <c r="J1217">
        <f xml:space="preserve"> YEAR(sa_retail_sales[[#This Row],[Order Date]])</f>
        <v>2023</v>
      </c>
    </row>
    <row r="1218" spans="1:10" x14ac:dyDescent="0.3">
      <c r="A1218" s="1">
        <v>45377</v>
      </c>
      <c r="B1218" t="s">
        <v>18</v>
      </c>
      <c r="C1218" t="s">
        <v>13</v>
      </c>
      <c r="D1218" t="s">
        <v>10</v>
      </c>
      <c r="E1218">
        <v>9679</v>
      </c>
      <c r="F1218">
        <v>10686</v>
      </c>
      <c r="G1218">
        <v>20</v>
      </c>
      <c r="H1218">
        <v>-1007</v>
      </c>
      <c r="I1218" s="2">
        <f>sa_retail_sales[[#This Row],[Profit]] / sa_retail_sales[[#This Row],[Revenue]]</f>
        <v>-0.10403967351999173</v>
      </c>
      <c r="J1218">
        <f xml:space="preserve"> YEAR(sa_retail_sales[[#This Row],[Order Date]])</f>
        <v>2024</v>
      </c>
    </row>
    <row r="1219" spans="1:10" x14ac:dyDescent="0.3">
      <c r="A1219" s="1">
        <v>45342</v>
      </c>
      <c r="B1219" t="s">
        <v>18</v>
      </c>
      <c r="C1219" t="s">
        <v>13</v>
      </c>
      <c r="D1219" t="s">
        <v>15</v>
      </c>
      <c r="E1219">
        <v>7381</v>
      </c>
      <c r="F1219">
        <v>5585</v>
      </c>
      <c r="G1219">
        <v>15</v>
      </c>
      <c r="H1219">
        <v>1796</v>
      </c>
      <c r="I1219" s="2">
        <f>sa_retail_sales[[#This Row],[Profit]] / sa_retail_sales[[#This Row],[Revenue]]</f>
        <v>0.24332746240346836</v>
      </c>
      <c r="J1219">
        <f xml:space="preserve"> YEAR(sa_retail_sales[[#This Row],[Order Date]])</f>
        <v>2024</v>
      </c>
    </row>
    <row r="1220" spans="1:10" x14ac:dyDescent="0.3">
      <c r="A1220" s="1">
        <v>44924</v>
      </c>
      <c r="B1220" t="s">
        <v>17</v>
      </c>
      <c r="C1220" t="s">
        <v>16</v>
      </c>
      <c r="D1220" t="s">
        <v>15</v>
      </c>
      <c r="E1220">
        <v>4136</v>
      </c>
      <c r="F1220">
        <v>9654</v>
      </c>
      <c r="G1220">
        <v>10</v>
      </c>
      <c r="H1220">
        <v>-5518</v>
      </c>
      <c r="I1220" s="2">
        <f>sa_retail_sales[[#This Row],[Profit]] / sa_retail_sales[[#This Row],[Revenue]]</f>
        <v>-1.3341392649903288</v>
      </c>
      <c r="J1220">
        <f xml:space="preserve"> YEAR(sa_retail_sales[[#This Row],[Order Date]])</f>
        <v>2022</v>
      </c>
    </row>
    <row r="1221" spans="1:10" x14ac:dyDescent="0.3">
      <c r="A1221" s="1">
        <v>45118</v>
      </c>
      <c r="B1221" t="s">
        <v>17</v>
      </c>
      <c r="C1221" t="s">
        <v>16</v>
      </c>
      <c r="D1221" t="s">
        <v>19</v>
      </c>
      <c r="E1221">
        <v>6530</v>
      </c>
      <c r="F1221">
        <v>7072</v>
      </c>
      <c r="G1221">
        <v>0</v>
      </c>
      <c r="H1221">
        <v>-542</v>
      </c>
      <c r="I1221" s="2">
        <f>sa_retail_sales[[#This Row],[Profit]] / sa_retail_sales[[#This Row],[Revenue]]</f>
        <v>-8.3001531393568154E-2</v>
      </c>
      <c r="J1221">
        <f xml:space="preserve"> YEAR(sa_retail_sales[[#This Row],[Order Date]])</f>
        <v>2023</v>
      </c>
    </row>
    <row r="1222" spans="1:10" x14ac:dyDescent="0.3">
      <c r="A1222" s="1">
        <v>44917</v>
      </c>
      <c r="B1222" t="s">
        <v>18</v>
      </c>
      <c r="C1222" t="s">
        <v>13</v>
      </c>
      <c r="D1222" t="s">
        <v>19</v>
      </c>
      <c r="E1222">
        <v>723</v>
      </c>
      <c r="F1222">
        <v>8790</v>
      </c>
      <c r="G1222">
        <v>5</v>
      </c>
      <c r="H1222">
        <v>-8067</v>
      </c>
      <c r="I1222" s="2">
        <f>sa_retail_sales[[#This Row],[Profit]] / sa_retail_sales[[#This Row],[Revenue]]</f>
        <v>-11.157676348547717</v>
      </c>
      <c r="J1222">
        <f xml:space="preserve"> YEAR(sa_retail_sales[[#This Row],[Order Date]])</f>
        <v>2022</v>
      </c>
    </row>
    <row r="1223" spans="1:10" x14ac:dyDescent="0.3">
      <c r="A1223" s="1">
        <v>44752</v>
      </c>
      <c r="B1223" t="s">
        <v>8</v>
      </c>
      <c r="C1223" t="s">
        <v>16</v>
      </c>
      <c r="D1223" t="s">
        <v>19</v>
      </c>
      <c r="E1223">
        <v>6797</v>
      </c>
      <c r="F1223">
        <v>3647</v>
      </c>
      <c r="G1223">
        <v>20</v>
      </c>
      <c r="H1223">
        <v>3150</v>
      </c>
      <c r="I1223" s="2">
        <f>sa_retail_sales[[#This Row],[Profit]] / sa_retail_sales[[#This Row],[Revenue]]</f>
        <v>0.46343975283213185</v>
      </c>
      <c r="J1223">
        <f xml:space="preserve"> YEAR(sa_retail_sales[[#This Row],[Order Date]])</f>
        <v>2022</v>
      </c>
    </row>
    <row r="1224" spans="1:10" x14ac:dyDescent="0.3">
      <c r="A1224" s="1">
        <v>44983</v>
      </c>
      <c r="B1224" t="s">
        <v>8</v>
      </c>
      <c r="C1224" t="s">
        <v>16</v>
      </c>
      <c r="D1224" t="s">
        <v>15</v>
      </c>
      <c r="E1224">
        <v>850</v>
      </c>
      <c r="F1224">
        <v>10431</v>
      </c>
      <c r="G1224">
        <v>0</v>
      </c>
      <c r="H1224">
        <v>-9581</v>
      </c>
      <c r="I1224" s="2">
        <f>sa_retail_sales[[#This Row],[Profit]] / sa_retail_sales[[#This Row],[Revenue]]</f>
        <v>-11.271764705882353</v>
      </c>
      <c r="J1224">
        <f xml:space="preserve"> YEAR(sa_retail_sales[[#This Row],[Order Date]])</f>
        <v>2023</v>
      </c>
    </row>
    <row r="1225" spans="1:10" x14ac:dyDescent="0.3">
      <c r="A1225" s="1">
        <v>45261</v>
      </c>
      <c r="B1225" t="s">
        <v>17</v>
      </c>
      <c r="C1225" t="s">
        <v>13</v>
      </c>
      <c r="D1225" t="s">
        <v>15</v>
      </c>
      <c r="E1225">
        <v>7814</v>
      </c>
      <c r="F1225">
        <v>1088</v>
      </c>
      <c r="G1225">
        <v>5</v>
      </c>
      <c r="H1225">
        <v>6726</v>
      </c>
      <c r="I1225" s="2">
        <f>sa_retail_sales[[#This Row],[Profit]] / sa_retail_sales[[#This Row],[Revenue]]</f>
        <v>0.86076273355515742</v>
      </c>
      <c r="J1225">
        <f xml:space="preserve"> YEAR(sa_retail_sales[[#This Row],[Order Date]])</f>
        <v>2023</v>
      </c>
    </row>
    <row r="1226" spans="1:10" x14ac:dyDescent="0.3">
      <c r="A1226" s="1">
        <v>44568</v>
      </c>
      <c r="B1226" t="s">
        <v>8</v>
      </c>
      <c r="C1226" t="s">
        <v>13</v>
      </c>
      <c r="D1226" t="s">
        <v>15</v>
      </c>
      <c r="E1226">
        <v>2428</v>
      </c>
      <c r="F1226">
        <v>5245</v>
      </c>
      <c r="G1226">
        <v>10</v>
      </c>
      <c r="H1226">
        <v>-2817</v>
      </c>
      <c r="I1226" s="2">
        <f>sa_retail_sales[[#This Row],[Profit]] / sa_retail_sales[[#This Row],[Revenue]]</f>
        <v>-1.1602141680395388</v>
      </c>
      <c r="J1226">
        <f xml:space="preserve"> YEAR(sa_retail_sales[[#This Row],[Order Date]])</f>
        <v>2022</v>
      </c>
    </row>
    <row r="1227" spans="1:10" x14ac:dyDescent="0.3">
      <c r="A1227" s="1">
        <v>44694</v>
      </c>
      <c r="B1227" t="s">
        <v>18</v>
      </c>
      <c r="C1227" t="s">
        <v>14</v>
      </c>
      <c r="D1227" t="s">
        <v>19</v>
      </c>
      <c r="E1227">
        <v>8243</v>
      </c>
      <c r="F1227">
        <v>3189</v>
      </c>
      <c r="G1227">
        <v>15</v>
      </c>
      <c r="H1227">
        <v>5054</v>
      </c>
      <c r="I1227" s="2">
        <f>sa_retail_sales[[#This Row],[Profit]] / sa_retail_sales[[#This Row],[Revenue]]</f>
        <v>0.61312628897246146</v>
      </c>
      <c r="J1227">
        <f xml:space="preserve"> YEAR(sa_retail_sales[[#This Row],[Order Date]])</f>
        <v>2022</v>
      </c>
    </row>
    <row r="1228" spans="1:10" x14ac:dyDescent="0.3">
      <c r="A1228" s="1">
        <v>45118</v>
      </c>
      <c r="B1228" t="s">
        <v>11</v>
      </c>
      <c r="C1228" t="s">
        <v>13</v>
      </c>
      <c r="D1228" t="s">
        <v>12</v>
      </c>
      <c r="E1228">
        <v>9040</v>
      </c>
      <c r="F1228">
        <v>9869</v>
      </c>
      <c r="G1228">
        <v>20</v>
      </c>
      <c r="H1228">
        <v>-829</v>
      </c>
      <c r="I1228" s="2">
        <f>sa_retail_sales[[#This Row],[Profit]] / sa_retail_sales[[#This Row],[Revenue]]</f>
        <v>-9.1703539823008856E-2</v>
      </c>
      <c r="J1228">
        <f xml:space="preserve"> YEAR(sa_retail_sales[[#This Row],[Order Date]])</f>
        <v>2023</v>
      </c>
    </row>
    <row r="1229" spans="1:10" x14ac:dyDescent="0.3">
      <c r="A1229" s="1">
        <v>45387</v>
      </c>
      <c r="B1229" t="s">
        <v>11</v>
      </c>
      <c r="C1229" t="s">
        <v>13</v>
      </c>
      <c r="D1229" t="s">
        <v>10</v>
      </c>
      <c r="E1229">
        <v>12969</v>
      </c>
      <c r="F1229">
        <v>5573</v>
      </c>
      <c r="G1229">
        <v>10</v>
      </c>
      <c r="H1229">
        <v>7396</v>
      </c>
      <c r="I1229" s="2">
        <f>sa_retail_sales[[#This Row],[Profit]] / sa_retail_sales[[#This Row],[Revenue]]</f>
        <v>0.57028298249672293</v>
      </c>
      <c r="J1229">
        <f xml:space="preserve"> YEAR(sa_retail_sales[[#This Row],[Order Date]])</f>
        <v>2024</v>
      </c>
    </row>
    <row r="1230" spans="1:10" x14ac:dyDescent="0.3">
      <c r="A1230" s="1">
        <v>45322</v>
      </c>
      <c r="B1230" t="s">
        <v>8</v>
      </c>
      <c r="C1230" t="s">
        <v>9</v>
      </c>
      <c r="D1230" t="s">
        <v>12</v>
      </c>
      <c r="E1230">
        <v>5232</v>
      </c>
      <c r="F1230">
        <v>10441</v>
      </c>
      <c r="G1230">
        <v>5</v>
      </c>
      <c r="H1230">
        <v>-5209</v>
      </c>
      <c r="I1230" s="2">
        <f>sa_retail_sales[[#This Row],[Profit]] / sa_retail_sales[[#This Row],[Revenue]]</f>
        <v>-0.99560397553516822</v>
      </c>
      <c r="J1230">
        <f xml:space="preserve"> YEAR(sa_retail_sales[[#This Row],[Order Date]])</f>
        <v>2024</v>
      </c>
    </row>
    <row r="1231" spans="1:10" x14ac:dyDescent="0.3">
      <c r="A1231" s="1">
        <v>45616</v>
      </c>
      <c r="B1231" t="s">
        <v>17</v>
      </c>
      <c r="C1231" t="s">
        <v>14</v>
      </c>
      <c r="D1231" t="s">
        <v>15</v>
      </c>
      <c r="E1231">
        <v>1517</v>
      </c>
      <c r="F1231">
        <v>3572</v>
      </c>
      <c r="G1231">
        <v>20</v>
      </c>
      <c r="H1231">
        <v>-2055</v>
      </c>
      <c r="I1231" s="2">
        <f>sa_retail_sales[[#This Row],[Profit]] / sa_retail_sales[[#This Row],[Revenue]]</f>
        <v>-1.3546473302570863</v>
      </c>
      <c r="J1231">
        <f xml:space="preserve"> YEAR(sa_retail_sales[[#This Row],[Order Date]])</f>
        <v>2024</v>
      </c>
    </row>
    <row r="1232" spans="1:10" x14ac:dyDescent="0.3">
      <c r="A1232" s="1">
        <v>45096</v>
      </c>
      <c r="B1232" t="s">
        <v>17</v>
      </c>
      <c r="C1232" t="s">
        <v>14</v>
      </c>
      <c r="D1232" t="s">
        <v>15</v>
      </c>
      <c r="E1232">
        <v>2726</v>
      </c>
      <c r="F1232">
        <v>9369</v>
      </c>
      <c r="G1232">
        <v>0</v>
      </c>
      <c r="H1232">
        <v>-6643</v>
      </c>
      <c r="I1232" s="2">
        <f>sa_retail_sales[[#This Row],[Profit]] / sa_retail_sales[[#This Row],[Revenue]]</f>
        <v>-2.4369038884812912</v>
      </c>
      <c r="J1232">
        <f xml:space="preserve"> YEAR(sa_retail_sales[[#This Row],[Order Date]])</f>
        <v>2023</v>
      </c>
    </row>
    <row r="1233" spans="1:10" x14ac:dyDescent="0.3">
      <c r="A1233" s="1">
        <v>44987</v>
      </c>
      <c r="B1233" t="s">
        <v>17</v>
      </c>
      <c r="C1233" t="s">
        <v>14</v>
      </c>
      <c r="D1233" t="s">
        <v>12</v>
      </c>
      <c r="E1233">
        <v>7706</v>
      </c>
      <c r="F1233">
        <v>5534</v>
      </c>
      <c r="G1233">
        <v>15</v>
      </c>
      <c r="H1233">
        <v>2172</v>
      </c>
      <c r="I1233" s="2">
        <f>sa_retail_sales[[#This Row],[Profit]] / sa_retail_sales[[#This Row],[Revenue]]</f>
        <v>0.28185829223981312</v>
      </c>
      <c r="J1233">
        <f xml:space="preserve"> YEAR(sa_retail_sales[[#This Row],[Order Date]])</f>
        <v>2023</v>
      </c>
    </row>
    <row r="1234" spans="1:10" x14ac:dyDescent="0.3">
      <c r="A1234" s="1">
        <v>45233</v>
      </c>
      <c r="B1234" t="s">
        <v>17</v>
      </c>
      <c r="C1234" t="s">
        <v>9</v>
      </c>
      <c r="D1234" t="s">
        <v>15</v>
      </c>
      <c r="E1234">
        <v>13559</v>
      </c>
      <c r="F1234">
        <v>10069</v>
      </c>
      <c r="G1234">
        <v>5</v>
      </c>
      <c r="H1234">
        <v>3490</v>
      </c>
      <c r="I1234" s="2">
        <f>sa_retail_sales[[#This Row],[Profit]] / sa_retail_sales[[#This Row],[Revenue]]</f>
        <v>0.2573936130983111</v>
      </c>
      <c r="J1234">
        <f xml:space="preserve"> YEAR(sa_retail_sales[[#This Row],[Order Date]])</f>
        <v>2023</v>
      </c>
    </row>
    <row r="1235" spans="1:10" x14ac:dyDescent="0.3">
      <c r="A1235" s="1">
        <v>44924</v>
      </c>
      <c r="B1235" t="s">
        <v>17</v>
      </c>
      <c r="C1235" t="s">
        <v>13</v>
      </c>
      <c r="D1235" t="s">
        <v>10</v>
      </c>
      <c r="E1235">
        <v>7670</v>
      </c>
      <c r="F1235">
        <v>7202</v>
      </c>
      <c r="G1235">
        <v>15</v>
      </c>
      <c r="H1235">
        <v>468</v>
      </c>
      <c r="I1235" s="2">
        <f>sa_retail_sales[[#This Row],[Profit]] / sa_retail_sales[[#This Row],[Revenue]]</f>
        <v>6.1016949152542375E-2</v>
      </c>
      <c r="J1235">
        <f xml:space="preserve"> YEAR(sa_retail_sales[[#This Row],[Order Date]])</f>
        <v>2022</v>
      </c>
    </row>
    <row r="1236" spans="1:10" x14ac:dyDescent="0.3">
      <c r="A1236" s="1">
        <v>44643</v>
      </c>
      <c r="B1236" t="s">
        <v>8</v>
      </c>
      <c r="C1236" t="s">
        <v>14</v>
      </c>
      <c r="D1236" t="s">
        <v>15</v>
      </c>
      <c r="E1236">
        <v>13803</v>
      </c>
      <c r="F1236">
        <v>11631</v>
      </c>
      <c r="G1236">
        <v>20</v>
      </c>
      <c r="H1236">
        <v>2172</v>
      </c>
      <c r="I1236" s="2">
        <f>sa_retail_sales[[#This Row],[Profit]] / sa_retail_sales[[#This Row],[Revenue]]</f>
        <v>0.15735709628341665</v>
      </c>
      <c r="J1236">
        <f xml:space="preserve"> YEAR(sa_retail_sales[[#This Row],[Order Date]])</f>
        <v>2022</v>
      </c>
    </row>
    <row r="1237" spans="1:10" x14ac:dyDescent="0.3">
      <c r="A1237" s="1">
        <v>44917</v>
      </c>
      <c r="B1237" t="s">
        <v>11</v>
      </c>
      <c r="C1237" t="s">
        <v>14</v>
      </c>
      <c r="D1237" t="s">
        <v>10</v>
      </c>
      <c r="E1237">
        <v>6707</v>
      </c>
      <c r="F1237">
        <v>7912</v>
      </c>
      <c r="G1237">
        <v>10</v>
      </c>
      <c r="H1237">
        <v>-1205</v>
      </c>
      <c r="I1237" s="2">
        <f>sa_retail_sales[[#This Row],[Profit]] / sa_retail_sales[[#This Row],[Revenue]]</f>
        <v>-0.17966303861637095</v>
      </c>
      <c r="J1237">
        <f xml:space="preserve"> YEAR(sa_retail_sales[[#This Row],[Order Date]])</f>
        <v>2022</v>
      </c>
    </row>
    <row r="1238" spans="1:10" x14ac:dyDescent="0.3">
      <c r="A1238" s="1">
        <v>45150</v>
      </c>
      <c r="B1238" t="s">
        <v>11</v>
      </c>
      <c r="C1238" t="s">
        <v>16</v>
      </c>
      <c r="D1238" t="s">
        <v>12</v>
      </c>
      <c r="E1238">
        <v>12816</v>
      </c>
      <c r="F1238">
        <v>2792</v>
      </c>
      <c r="G1238">
        <v>15</v>
      </c>
      <c r="H1238">
        <v>10024</v>
      </c>
      <c r="I1238" s="2">
        <f>sa_retail_sales[[#This Row],[Profit]] / sa_retail_sales[[#This Row],[Revenue]]</f>
        <v>0.78214731585518105</v>
      </c>
      <c r="J1238">
        <f xml:space="preserve"> YEAR(sa_retail_sales[[#This Row],[Order Date]])</f>
        <v>2023</v>
      </c>
    </row>
    <row r="1239" spans="1:10" x14ac:dyDescent="0.3">
      <c r="A1239" s="1">
        <v>44856</v>
      </c>
      <c r="B1239" t="s">
        <v>8</v>
      </c>
      <c r="C1239" t="s">
        <v>14</v>
      </c>
      <c r="D1239" t="s">
        <v>12</v>
      </c>
      <c r="E1239">
        <v>2919</v>
      </c>
      <c r="F1239">
        <v>11247</v>
      </c>
      <c r="G1239">
        <v>0</v>
      </c>
      <c r="H1239">
        <v>-8328</v>
      </c>
      <c r="I1239" s="2">
        <f>sa_retail_sales[[#This Row],[Profit]] / sa_retail_sales[[#This Row],[Revenue]]</f>
        <v>-2.8530318602261047</v>
      </c>
      <c r="J1239">
        <f xml:space="preserve"> YEAR(sa_retail_sales[[#This Row],[Order Date]])</f>
        <v>2022</v>
      </c>
    </row>
    <row r="1240" spans="1:10" x14ac:dyDescent="0.3">
      <c r="A1240" s="1">
        <v>45631</v>
      </c>
      <c r="B1240" t="s">
        <v>17</v>
      </c>
      <c r="C1240" t="s">
        <v>13</v>
      </c>
      <c r="D1240" t="s">
        <v>15</v>
      </c>
      <c r="E1240">
        <v>6740</v>
      </c>
      <c r="F1240">
        <v>7045</v>
      </c>
      <c r="G1240">
        <v>5</v>
      </c>
      <c r="H1240">
        <v>-305</v>
      </c>
      <c r="I1240" s="2">
        <f>sa_retail_sales[[#This Row],[Profit]] / sa_retail_sales[[#This Row],[Revenue]]</f>
        <v>-4.5252225519287835E-2</v>
      </c>
      <c r="J1240">
        <f xml:space="preserve"> YEAR(sa_retail_sales[[#This Row],[Order Date]])</f>
        <v>2024</v>
      </c>
    </row>
    <row r="1241" spans="1:10" x14ac:dyDescent="0.3">
      <c r="A1241" s="1">
        <v>44578</v>
      </c>
      <c r="B1241" t="s">
        <v>8</v>
      </c>
      <c r="C1241" t="s">
        <v>13</v>
      </c>
      <c r="D1241" t="s">
        <v>10</v>
      </c>
      <c r="E1241">
        <v>2393</v>
      </c>
      <c r="F1241">
        <v>10395</v>
      </c>
      <c r="G1241">
        <v>0</v>
      </c>
      <c r="H1241">
        <v>-8002</v>
      </c>
      <c r="I1241" s="2">
        <f>sa_retail_sales[[#This Row],[Profit]] / sa_retail_sales[[#This Row],[Revenue]]</f>
        <v>-3.3439197659841202</v>
      </c>
      <c r="J1241">
        <f xml:space="preserve"> YEAR(sa_retail_sales[[#This Row],[Order Date]])</f>
        <v>2022</v>
      </c>
    </row>
    <row r="1242" spans="1:10" x14ac:dyDescent="0.3">
      <c r="A1242" s="1">
        <v>44921</v>
      </c>
      <c r="B1242" t="s">
        <v>11</v>
      </c>
      <c r="C1242" t="s">
        <v>16</v>
      </c>
      <c r="D1242" t="s">
        <v>15</v>
      </c>
      <c r="E1242">
        <v>14253</v>
      </c>
      <c r="F1242">
        <v>9874</v>
      </c>
      <c r="G1242">
        <v>15</v>
      </c>
      <c r="H1242">
        <v>4379</v>
      </c>
      <c r="I1242" s="2">
        <f>sa_retail_sales[[#This Row],[Profit]] / sa_retail_sales[[#This Row],[Revenue]]</f>
        <v>0.30723356486353748</v>
      </c>
      <c r="J1242">
        <f xml:space="preserve"> YEAR(sa_retail_sales[[#This Row],[Order Date]])</f>
        <v>2022</v>
      </c>
    </row>
    <row r="1243" spans="1:10" x14ac:dyDescent="0.3">
      <c r="A1243" s="1">
        <v>45427</v>
      </c>
      <c r="B1243" t="s">
        <v>18</v>
      </c>
      <c r="C1243" t="s">
        <v>14</v>
      </c>
      <c r="D1243" t="s">
        <v>19</v>
      </c>
      <c r="E1243">
        <v>5822</v>
      </c>
      <c r="F1243">
        <v>4540</v>
      </c>
      <c r="G1243">
        <v>10</v>
      </c>
      <c r="H1243">
        <v>1282</v>
      </c>
      <c r="I1243" s="2">
        <f>sa_retail_sales[[#This Row],[Profit]] / sa_retail_sales[[#This Row],[Revenue]]</f>
        <v>0.2201992442459636</v>
      </c>
      <c r="J1243">
        <f xml:space="preserve"> YEAR(sa_retail_sales[[#This Row],[Order Date]])</f>
        <v>2024</v>
      </c>
    </row>
    <row r="1244" spans="1:10" x14ac:dyDescent="0.3">
      <c r="A1244" s="1">
        <v>45261</v>
      </c>
      <c r="B1244" t="s">
        <v>8</v>
      </c>
      <c r="C1244" t="s">
        <v>14</v>
      </c>
      <c r="D1244" t="s">
        <v>19</v>
      </c>
      <c r="E1244">
        <v>11732</v>
      </c>
      <c r="F1244">
        <v>2622</v>
      </c>
      <c r="G1244">
        <v>10</v>
      </c>
      <c r="H1244">
        <v>9110</v>
      </c>
      <c r="I1244" s="2">
        <f>sa_retail_sales[[#This Row],[Profit]] / sa_retail_sales[[#This Row],[Revenue]]</f>
        <v>0.77650869416979207</v>
      </c>
      <c r="J1244">
        <f xml:space="preserve"> YEAR(sa_retail_sales[[#This Row],[Order Date]])</f>
        <v>2023</v>
      </c>
    </row>
    <row r="1245" spans="1:10" x14ac:dyDescent="0.3">
      <c r="A1245" s="1">
        <v>45009</v>
      </c>
      <c r="B1245" t="s">
        <v>17</v>
      </c>
      <c r="C1245" t="s">
        <v>14</v>
      </c>
      <c r="D1245" t="s">
        <v>19</v>
      </c>
      <c r="E1245">
        <v>10760</v>
      </c>
      <c r="F1245">
        <v>11048</v>
      </c>
      <c r="G1245">
        <v>0</v>
      </c>
      <c r="H1245">
        <v>-288</v>
      </c>
      <c r="I1245" s="2">
        <f>sa_retail_sales[[#This Row],[Profit]] / sa_retail_sales[[#This Row],[Revenue]]</f>
        <v>-2.6765799256505577E-2</v>
      </c>
      <c r="J1245">
        <f xml:space="preserve"> YEAR(sa_retail_sales[[#This Row],[Order Date]])</f>
        <v>2023</v>
      </c>
    </row>
    <row r="1246" spans="1:10" x14ac:dyDescent="0.3">
      <c r="A1246" s="1">
        <v>45417</v>
      </c>
      <c r="B1246" t="s">
        <v>11</v>
      </c>
      <c r="C1246" t="s">
        <v>9</v>
      </c>
      <c r="D1246" t="s">
        <v>19</v>
      </c>
      <c r="E1246">
        <v>8218</v>
      </c>
      <c r="F1246">
        <v>5598</v>
      </c>
      <c r="G1246">
        <v>20</v>
      </c>
      <c r="H1246">
        <v>2620</v>
      </c>
      <c r="I1246" s="2">
        <f>sa_retail_sales[[#This Row],[Profit]] / sa_retail_sales[[#This Row],[Revenue]]</f>
        <v>0.31881236310537842</v>
      </c>
      <c r="J1246">
        <f xml:space="preserve"> YEAR(sa_retail_sales[[#This Row],[Order Date]])</f>
        <v>2024</v>
      </c>
    </row>
    <row r="1247" spans="1:10" x14ac:dyDescent="0.3">
      <c r="A1247" s="1">
        <v>44926</v>
      </c>
      <c r="B1247" t="s">
        <v>11</v>
      </c>
      <c r="C1247" t="s">
        <v>14</v>
      </c>
      <c r="D1247" t="s">
        <v>15</v>
      </c>
      <c r="E1247">
        <v>7378</v>
      </c>
      <c r="F1247">
        <v>2161</v>
      </c>
      <c r="G1247">
        <v>20</v>
      </c>
      <c r="H1247">
        <v>5217</v>
      </c>
      <c r="I1247" s="2">
        <f>sa_retail_sales[[#This Row],[Profit]] / sa_retail_sales[[#This Row],[Revenue]]</f>
        <v>0.70710219571699651</v>
      </c>
      <c r="J1247">
        <f xml:space="preserve"> YEAR(sa_retail_sales[[#This Row],[Order Date]])</f>
        <v>2022</v>
      </c>
    </row>
    <row r="1248" spans="1:10" x14ac:dyDescent="0.3">
      <c r="A1248" s="1">
        <v>45236</v>
      </c>
      <c r="B1248" t="s">
        <v>11</v>
      </c>
      <c r="C1248" t="s">
        <v>13</v>
      </c>
      <c r="D1248" t="s">
        <v>19</v>
      </c>
      <c r="E1248">
        <v>1625</v>
      </c>
      <c r="F1248">
        <v>6920</v>
      </c>
      <c r="G1248">
        <v>10</v>
      </c>
      <c r="H1248">
        <v>-5295</v>
      </c>
      <c r="I1248" s="2">
        <f>sa_retail_sales[[#This Row],[Profit]] / sa_retail_sales[[#This Row],[Revenue]]</f>
        <v>-3.2584615384615385</v>
      </c>
      <c r="J1248">
        <f xml:space="preserve"> YEAR(sa_retail_sales[[#This Row],[Order Date]])</f>
        <v>2023</v>
      </c>
    </row>
    <row r="1249" spans="1:10" x14ac:dyDescent="0.3">
      <c r="A1249" s="1">
        <v>45569</v>
      </c>
      <c r="B1249" t="s">
        <v>11</v>
      </c>
      <c r="C1249" t="s">
        <v>13</v>
      </c>
      <c r="D1249" t="s">
        <v>10</v>
      </c>
      <c r="E1249">
        <v>3617</v>
      </c>
      <c r="F1249">
        <v>10358</v>
      </c>
      <c r="G1249">
        <v>0</v>
      </c>
      <c r="H1249">
        <v>-6741</v>
      </c>
      <c r="I1249" s="2">
        <f>sa_retail_sales[[#This Row],[Profit]] / sa_retail_sales[[#This Row],[Revenue]]</f>
        <v>-1.8636991982305777</v>
      </c>
      <c r="J1249">
        <f xml:space="preserve"> YEAR(sa_retail_sales[[#This Row],[Order Date]])</f>
        <v>2024</v>
      </c>
    </row>
    <row r="1250" spans="1:10" x14ac:dyDescent="0.3">
      <c r="A1250" s="1">
        <v>45028</v>
      </c>
      <c r="B1250" t="s">
        <v>17</v>
      </c>
      <c r="C1250" t="s">
        <v>9</v>
      </c>
      <c r="D1250" t="s">
        <v>12</v>
      </c>
      <c r="E1250">
        <v>4661</v>
      </c>
      <c r="F1250">
        <v>4347</v>
      </c>
      <c r="G1250">
        <v>0</v>
      </c>
      <c r="H1250">
        <v>314</v>
      </c>
      <c r="I1250" s="2">
        <f>sa_retail_sales[[#This Row],[Profit]] / sa_retail_sales[[#This Row],[Revenue]]</f>
        <v>6.7367517700064369E-2</v>
      </c>
      <c r="J1250">
        <f xml:space="preserve"> YEAR(sa_retail_sales[[#This Row],[Order Date]])</f>
        <v>2023</v>
      </c>
    </row>
    <row r="1251" spans="1:10" x14ac:dyDescent="0.3">
      <c r="A1251" s="1">
        <v>44975</v>
      </c>
      <c r="B1251" t="s">
        <v>18</v>
      </c>
      <c r="C1251" t="s">
        <v>9</v>
      </c>
      <c r="D1251" t="s">
        <v>12</v>
      </c>
      <c r="E1251">
        <v>4542</v>
      </c>
      <c r="F1251">
        <v>7881</v>
      </c>
      <c r="G1251">
        <v>0</v>
      </c>
      <c r="H1251">
        <v>-3339</v>
      </c>
      <c r="I1251" s="2">
        <f>sa_retail_sales[[#This Row],[Profit]] / sa_retail_sales[[#This Row],[Revenue]]</f>
        <v>-0.73513870541611626</v>
      </c>
      <c r="J1251">
        <f xml:space="preserve"> YEAR(sa_retail_sales[[#This Row],[Order Date]])</f>
        <v>2023</v>
      </c>
    </row>
    <row r="1252" spans="1:10" x14ac:dyDescent="0.3">
      <c r="A1252" s="1">
        <v>45147</v>
      </c>
      <c r="B1252" t="s">
        <v>11</v>
      </c>
      <c r="C1252" t="s">
        <v>14</v>
      </c>
      <c r="D1252" t="s">
        <v>19</v>
      </c>
      <c r="E1252">
        <v>13922</v>
      </c>
      <c r="F1252">
        <v>7620</v>
      </c>
      <c r="G1252">
        <v>15</v>
      </c>
      <c r="H1252">
        <v>6302</v>
      </c>
      <c r="I1252" s="2">
        <f>sa_retail_sales[[#This Row],[Profit]] / sa_retail_sales[[#This Row],[Revenue]]</f>
        <v>0.45266484700474069</v>
      </c>
      <c r="J1252">
        <f xml:space="preserve"> YEAR(sa_retail_sales[[#This Row],[Order Date]])</f>
        <v>2023</v>
      </c>
    </row>
    <row r="1253" spans="1:10" x14ac:dyDescent="0.3">
      <c r="A1253" s="1">
        <v>45555</v>
      </c>
      <c r="B1253" t="s">
        <v>8</v>
      </c>
      <c r="C1253" t="s">
        <v>16</v>
      </c>
      <c r="D1253" t="s">
        <v>19</v>
      </c>
      <c r="E1253">
        <v>4933</v>
      </c>
      <c r="F1253">
        <v>11667</v>
      </c>
      <c r="G1253">
        <v>20</v>
      </c>
      <c r="H1253">
        <v>-6734</v>
      </c>
      <c r="I1253" s="2">
        <f>sa_retail_sales[[#This Row],[Profit]] / sa_retail_sales[[#This Row],[Revenue]]</f>
        <v>-1.3650922359618893</v>
      </c>
      <c r="J1253">
        <f xml:space="preserve"> YEAR(sa_retail_sales[[#This Row],[Order Date]])</f>
        <v>2024</v>
      </c>
    </row>
    <row r="1254" spans="1:10" x14ac:dyDescent="0.3">
      <c r="A1254" s="1">
        <v>45133</v>
      </c>
      <c r="B1254" t="s">
        <v>18</v>
      </c>
      <c r="C1254" t="s">
        <v>9</v>
      </c>
      <c r="D1254" t="s">
        <v>19</v>
      </c>
      <c r="E1254">
        <v>10862</v>
      </c>
      <c r="F1254">
        <v>1398</v>
      </c>
      <c r="G1254">
        <v>20</v>
      </c>
      <c r="H1254">
        <v>9464</v>
      </c>
      <c r="I1254" s="2">
        <f>sa_retail_sales[[#This Row],[Profit]] / sa_retail_sales[[#This Row],[Revenue]]</f>
        <v>0.87129442091695819</v>
      </c>
      <c r="J1254">
        <f xml:space="preserve"> YEAR(sa_retail_sales[[#This Row],[Order Date]])</f>
        <v>2023</v>
      </c>
    </row>
    <row r="1255" spans="1:10" x14ac:dyDescent="0.3">
      <c r="A1255" s="1">
        <v>44896</v>
      </c>
      <c r="B1255" t="s">
        <v>11</v>
      </c>
      <c r="C1255" t="s">
        <v>9</v>
      </c>
      <c r="D1255" t="s">
        <v>15</v>
      </c>
      <c r="E1255">
        <v>14516</v>
      </c>
      <c r="F1255">
        <v>5547</v>
      </c>
      <c r="G1255">
        <v>15</v>
      </c>
      <c r="H1255">
        <v>8969</v>
      </c>
      <c r="I1255" s="2">
        <f>sa_retail_sales[[#This Row],[Profit]] / sa_retail_sales[[#This Row],[Revenue]]</f>
        <v>0.6178699366216589</v>
      </c>
      <c r="J1255">
        <f xml:space="preserve"> YEAR(sa_retail_sales[[#This Row],[Order Date]])</f>
        <v>2022</v>
      </c>
    </row>
    <row r="1256" spans="1:10" x14ac:dyDescent="0.3">
      <c r="A1256" s="1">
        <v>44598</v>
      </c>
      <c r="B1256" t="s">
        <v>18</v>
      </c>
      <c r="C1256" t="s">
        <v>14</v>
      </c>
      <c r="D1256" t="s">
        <v>12</v>
      </c>
      <c r="E1256">
        <v>9138</v>
      </c>
      <c r="F1256">
        <v>2034</v>
      </c>
      <c r="G1256">
        <v>5</v>
      </c>
      <c r="H1256">
        <v>7104</v>
      </c>
      <c r="I1256" s="2">
        <f>sa_retail_sales[[#This Row],[Profit]] / sa_retail_sales[[#This Row],[Revenue]]</f>
        <v>0.7774130006565988</v>
      </c>
      <c r="J1256">
        <f xml:space="preserve"> YEAR(sa_retail_sales[[#This Row],[Order Date]])</f>
        <v>2022</v>
      </c>
    </row>
    <row r="1257" spans="1:10" x14ac:dyDescent="0.3">
      <c r="A1257" s="1">
        <v>45550</v>
      </c>
      <c r="B1257" t="s">
        <v>8</v>
      </c>
      <c r="C1257" t="s">
        <v>14</v>
      </c>
      <c r="D1257" t="s">
        <v>19</v>
      </c>
      <c r="E1257">
        <v>3158</v>
      </c>
      <c r="F1257">
        <v>4963</v>
      </c>
      <c r="G1257">
        <v>15</v>
      </c>
      <c r="H1257">
        <v>-1805</v>
      </c>
      <c r="I1257" s="2">
        <f>sa_retail_sales[[#This Row],[Profit]] / sa_retail_sales[[#This Row],[Revenue]]</f>
        <v>-0.57156428119062697</v>
      </c>
      <c r="J1257">
        <f xml:space="preserve"> YEAR(sa_retail_sales[[#This Row],[Order Date]])</f>
        <v>2024</v>
      </c>
    </row>
    <row r="1258" spans="1:10" x14ac:dyDescent="0.3">
      <c r="A1258" s="1">
        <v>44839</v>
      </c>
      <c r="B1258" t="s">
        <v>11</v>
      </c>
      <c r="C1258" t="s">
        <v>9</v>
      </c>
      <c r="D1258" t="s">
        <v>10</v>
      </c>
      <c r="E1258">
        <v>12054</v>
      </c>
      <c r="F1258">
        <v>6209</v>
      </c>
      <c r="G1258">
        <v>0</v>
      </c>
      <c r="H1258">
        <v>5845</v>
      </c>
      <c r="I1258" s="2">
        <f>sa_retail_sales[[#This Row],[Profit]] / sa_retail_sales[[#This Row],[Revenue]]</f>
        <v>0.48490127758420443</v>
      </c>
      <c r="J1258">
        <f xml:space="preserve"> YEAR(sa_retail_sales[[#This Row],[Order Date]])</f>
        <v>2022</v>
      </c>
    </row>
    <row r="1259" spans="1:10" x14ac:dyDescent="0.3">
      <c r="A1259" s="1">
        <v>45477</v>
      </c>
      <c r="B1259" t="s">
        <v>8</v>
      </c>
      <c r="C1259" t="s">
        <v>16</v>
      </c>
      <c r="D1259" t="s">
        <v>19</v>
      </c>
      <c r="E1259">
        <v>11410</v>
      </c>
      <c r="F1259">
        <v>3716</v>
      </c>
      <c r="G1259">
        <v>15</v>
      </c>
      <c r="H1259">
        <v>7694</v>
      </c>
      <c r="I1259" s="2">
        <f>sa_retail_sales[[#This Row],[Profit]] / sa_retail_sales[[#This Row],[Revenue]]</f>
        <v>0.6743207712532866</v>
      </c>
      <c r="J1259">
        <f xml:space="preserve"> YEAR(sa_retail_sales[[#This Row],[Order Date]])</f>
        <v>2024</v>
      </c>
    </row>
    <row r="1260" spans="1:10" x14ac:dyDescent="0.3">
      <c r="A1260" s="1">
        <v>45045</v>
      </c>
      <c r="B1260" t="s">
        <v>17</v>
      </c>
      <c r="C1260" t="s">
        <v>9</v>
      </c>
      <c r="D1260" t="s">
        <v>12</v>
      </c>
      <c r="E1260">
        <v>3983</v>
      </c>
      <c r="F1260">
        <v>6602</v>
      </c>
      <c r="G1260">
        <v>0</v>
      </c>
      <c r="H1260">
        <v>-2619</v>
      </c>
      <c r="I1260" s="2">
        <f>sa_retail_sales[[#This Row],[Profit]] / sa_retail_sales[[#This Row],[Revenue]]</f>
        <v>-0.65754456439869446</v>
      </c>
      <c r="J1260">
        <f xml:space="preserve"> YEAR(sa_retail_sales[[#This Row],[Order Date]])</f>
        <v>2023</v>
      </c>
    </row>
    <row r="1261" spans="1:10" x14ac:dyDescent="0.3">
      <c r="A1261" s="1">
        <v>45292</v>
      </c>
      <c r="B1261" t="s">
        <v>11</v>
      </c>
      <c r="C1261" t="s">
        <v>14</v>
      </c>
      <c r="D1261" t="s">
        <v>19</v>
      </c>
      <c r="E1261">
        <v>3444</v>
      </c>
      <c r="F1261">
        <v>7893</v>
      </c>
      <c r="G1261">
        <v>10</v>
      </c>
      <c r="H1261">
        <v>-4449</v>
      </c>
      <c r="I1261" s="2">
        <f>sa_retail_sales[[#This Row],[Profit]] / sa_retail_sales[[#This Row],[Revenue]]</f>
        <v>-1.2918118466898956</v>
      </c>
      <c r="J1261">
        <f xml:space="preserve"> YEAR(sa_retail_sales[[#This Row],[Order Date]])</f>
        <v>2024</v>
      </c>
    </row>
    <row r="1262" spans="1:10" x14ac:dyDescent="0.3">
      <c r="A1262" s="1">
        <v>44753</v>
      </c>
      <c r="B1262" t="s">
        <v>11</v>
      </c>
      <c r="C1262" t="s">
        <v>14</v>
      </c>
      <c r="D1262" t="s">
        <v>12</v>
      </c>
      <c r="E1262">
        <v>13068</v>
      </c>
      <c r="F1262">
        <v>980</v>
      </c>
      <c r="G1262">
        <v>0</v>
      </c>
      <c r="H1262">
        <v>12088</v>
      </c>
      <c r="I1262" s="2">
        <f>sa_retail_sales[[#This Row],[Profit]] / sa_retail_sales[[#This Row],[Revenue]]</f>
        <v>0.92500765228037951</v>
      </c>
      <c r="J1262">
        <f xml:space="preserve"> YEAR(sa_retail_sales[[#This Row],[Order Date]])</f>
        <v>2022</v>
      </c>
    </row>
    <row r="1263" spans="1:10" x14ac:dyDescent="0.3">
      <c r="A1263" s="1">
        <v>45602</v>
      </c>
      <c r="B1263" t="s">
        <v>11</v>
      </c>
      <c r="C1263" t="s">
        <v>9</v>
      </c>
      <c r="D1263" t="s">
        <v>19</v>
      </c>
      <c r="E1263">
        <v>7710</v>
      </c>
      <c r="F1263">
        <v>8463</v>
      </c>
      <c r="G1263">
        <v>20</v>
      </c>
      <c r="H1263">
        <v>-753</v>
      </c>
      <c r="I1263" s="2">
        <f>sa_retail_sales[[#This Row],[Profit]] / sa_retail_sales[[#This Row],[Revenue]]</f>
        <v>-9.7665369649805447E-2</v>
      </c>
      <c r="J1263">
        <f xml:space="preserve"> YEAR(sa_retail_sales[[#This Row],[Order Date]])</f>
        <v>2024</v>
      </c>
    </row>
    <row r="1264" spans="1:10" x14ac:dyDescent="0.3">
      <c r="A1264" s="1">
        <v>45085</v>
      </c>
      <c r="B1264" t="s">
        <v>11</v>
      </c>
      <c r="C1264" t="s">
        <v>16</v>
      </c>
      <c r="D1264" t="s">
        <v>10</v>
      </c>
      <c r="E1264">
        <v>8153</v>
      </c>
      <c r="F1264">
        <v>2370</v>
      </c>
      <c r="G1264">
        <v>15</v>
      </c>
      <c r="H1264">
        <v>5783</v>
      </c>
      <c r="I1264" s="2">
        <f>sa_retail_sales[[#This Row],[Profit]] / sa_retail_sales[[#This Row],[Revenue]]</f>
        <v>0.70930945664172695</v>
      </c>
      <c r="J1264">
        <f xml:space="preserve"> YEAR(sa_retail_sales[[#This Row],[Order Date]])</f>
        <v>2023</v>
      </c>
    </row>
    <row r="1265" spans="1:10" x14ac:dyDescent="0.3">
      <c r="A1265" s="1">
        <v>45479</v>
      </c>
      <c r="B1265" t="s">
        <v>17</v>
      </c>
      <c r="C1265" t="s">
        <v>9</v>
      </c>
      <c r="D1265" t="s">
        <v>19</v>
      </c>
      <c r="E1265">
        <v>9287</v>
      </c>
      <c r="F1265">
        <v>6968</v>
      </c>
      <c r="G1265">
        <v>0</v>
      </c>
      <c r="H1265">
        <v>2319</v>
      </c>
      <c r="I1265" s="2">
        <f>sa_retail_sales[[#This Row],[Profit]] / sa_retail_sales[[#This Row],[Revenue]]</f>
        <v>0.24970388715408637</v>
      </c>
      <c r="J1265">
        <f xml:space="preserve"> YEAR(sa_retail_sales[[#This Row],[Order Date]])</f>
        <v>2024</v>
      </c>
    </row>
    <row r="1266" spans="1:10" x14ac:dyDescent="0.3">
      <c r="A1266" s="1">
        <v>44962</v>
      </c>
      <c r="B1266" t="s">
        <v>11</v>
      </c>
      <c r="C1266" t="s">
        <v>9</v>
      </c>
      <c r="D1266" t="s">
        <v>10</v>
      </c>
      <c r="E1266">
        <v>2486</v>
      </c>
      <c r="F1266">
        <v>8301</v>
      </c>
      <c r="G1266">
        <v>5</v>
      </c>
      <c r="H1266">
        <v>-5815</v>
      </c>
      <c r="I1266" s="2">
        <f>sa_retail_sales[[#This Row],[Profit]] / sa_retail_sales[[#This Row],[Revenue]]</f>
        <v>-2.3390989541432021</v>
      </c>
      <c r="J1266">
        <f xml:space="preserve"> YEAR(sa_retail_sales[[#This Row],[Order Date]])</f>
        <v>2023</v>
      </c>
    </row>
    <row r="1267" spans="1:10" x14ac:dyDescent="0.3">
      <c r="A1267" s="1">
        <v>45447</v>
      </c>
      <c r="B1267" t="s">
        <v>18</v>
      </c>
      <c r="C1267" t="s">
        <v>14</v>
      </c>
      <c r="D1267" t="s">
        <v>10</v>
      </c>
      <c r="E1267">
        <v>11442</v>
      </c>
      <c r="F1267">
        <v>10221</v>
      </c>
      <c r="G1267">
        <v>10</v>
      </c>
      <c r="H1267">
        <v>1221</v>
      </c>
      <c r="I1267" s="2">
        <f>sa_retail_sales[[#This Row],[Profit]] / sa_retail_sales[[#This Row],[Revenue]]</f>
        <v>0.10671211326691138</v>
      </c>
      <c r="J1267">
        <f xml:space="preserve"> YEAR(sa_retail_sales[[#This Row],[Order Date]])</f>
        <v>2024</v>
      </c>
    </row>
    <row r="1268" spans="1:10" x14ac:dyDescent="0.3">
      <c r="A1268" s="1">
        <v>45266</v>
      </c>
      <c r="B1268" t="s">
        <v>11</v>
      </c>
      <c r="C1268" t="s">
        <v>16</v>
      </c>
      <c r="D1268" t="s">
        <v>19</v>
      </c>
      <c r="E1268">
        <v>1574</v>
      </c>
      <c r="F1268">
        <v>2491</v>
      </c>
      <c r="G1268">
        <v>5</v>
      </c>
      <c r="H1268">
        <v>-917</v>
      </c>
      <c r="I1268" s="2">
        <f>sa_retail_sales[[#This Row],[Profit]] / sa_retail_sales[[#This Row],[Revenue]]</f>
        <v>-0.58259212198221089</v>
      </c>
      <c r="J1268">
        <f xml:space="preserve"> YEAR(sa_retail_sales[[#This Row],[Order Date]])</f>
        <v>2023</v>
      </c>
    </row>
    <row r="1269" spans="1:10" x14ac:dyDescent="0.3">
      <c r="A1269" s="1">
        <v>44583</v>
      </c>
      <c r="B1269" t="s">
        <v>17</v>
      </c>
      <c r="C1269" t="s">
        <v>13</v>
      </c>
      <c r="D1269" t="s">
        <v>10</v>
      </c>
      <c r="E1269">
        <v>12661</v>
      </c>
      <c r="F1269">
        <v>9159</v>
      </c>
      <c r="G1269">
        <v>5</v>
      </c>
      <c r="H1269">
        <v>3502</v>
      </c>
      <c r="I1269" s="2">
        <f>sa_retail_sales[[#This Row],[Profit]] / sa_retail_sales[[#This Row],[Revenue]]</f>
        <v>0.27659742516388913</v>
      </c>
      <c r="J1269">
        <f xml:space="preserve"> YEAR(sa_retail_sales[[#This Row],[Order Date]])</f>
        <v>2022</v>
      </c>
    </row>
    <row r="1270" spans="1:10" x14ac:dyDescent="0.3">
      <c r="A1270" s="1">
        <v>45035</v>
      </c>
      <c r="B1270" t="s">
        <v>11</v>
      </c>
      <c r="C1270" t="s">
        <v>16</v>
      </c>
      <c r="D1270" t="s">
        <v>15</v>
      </c>
      <c r="E1270">
        <v>4805</v>
      </c>
      <c r="F1270">
        <v>10104</v>
      </c>
      <c r="G1270">
        <v>5</v>
      </c>
      <c r="H1270">
        <v>-5299</v>
      </c>
      <c r="I1270" s="2">
        <f>sa_retail_sales[[#This Row],[Profit]] / sa_retail_sales[[#This Row],[Revenue]]</f>
        <v>-1.1028095733610821</v>
      </c>
      <c r="J1270">
        <f xml:space="preserve"> YEAR(sa_retail_sales[[#This Row],[Order Date]])</f>
        <v>2023</v>
      </c>
    </row>
    <row r="1271" spans="1:10" x14ac:dyDescent="0.3">
      <c r="A1271" s="1">
        <v>44771</v>
      </c>
      <c r="B1271" t="s">
        <v>18</v>
      </c>
      <c r="C1271" t="s">
        <v>9</v>
      </c>
      <c r="D1271" t="s">
        <v>19</v>
      </c>
      <c r="E1271">
        <v>12913</v>
      </c>
      <c r="F1271">
        <v>7886</v>
      </c>
      <c r="G1271">
        <v>10</v>
      </c>
      <c r="H1271">
        <v>5027</v>
      </c>
      <c r="I1271" s="2">
        <f>sa_retail_sales[[#This Row],[Profit]] / sa_retail_sales[[#This Row],[Revenue]]</f>
        <v>0.38929760706265004</v>
      </c>
      <c r="J1271">
        <f xml:space="preserve"> YEAR(sa_retail_sales[[#This Row],[Order Date]])</f>
        <v>2022</v>
      </c>
    </row>
    <row r="1272" spans="1:10" x14ac:dyDescent="0.3">
      <c r="A1272" s="1">
        <v>44867</v>
      </c>
      <c r="B1272" t="s">
        <v>17</v>
      </c>
      <c r="C1272" t="s">
        <v>9</v>
      </c>
      <c r="D1272" t="s">
        <v>19</v>
      </c>
      <c r="E1272">
        <v>13279</v>
      </c>
      <c r="F1272">
        <v>9172</v>
      </c>
      <c r="G1272">
        <v>10</v>
      </c>
      <c r="H1272">
        <v>4107</v>
      </c>
      <c r="I1272" s="2">
        <f>sa_retail_sales[[#This Row],[Profit]] / sa_retail_sales[[#This Row],[Revenue]]</f>
        <v>0.30928533775133671</v>
      </c>
      <c r="J1272">
        <f xml:space="preserve"> YEAR(sa_retail_sales[[#This Row],[Order Date]])</f>
        <v>2022</v>
      </c>
    </row>
    <row r="1273" spans="1:10" x14ac:dyDescent="0.3">
      <c r="A1273" s="1">
        <v>45265</v>
      </c>
      <c r="B1273" t="s">
        <v>17</v>
      </c>
      <c r="C1273" t="s">
        <v>9</v>
      </c>
      <c r="D1273" t="s">
        <v>10</v>
      </c>
      <c r="E1273">
        <v>12272</v>
      </c>
      <c r="F1273">
        <v>9464</v>
      </c>
      <c r="G1273">
        <v>10</v>
      </c>
      <c r="H1273">
        <v>2808</v>
      </c>
      <c r="I1273" s="2">
        <f>sa_retail_sales[[#This Row],[Profit]] / sa_retail_sales[[#This Row],[Revenue]]</f>
        <v>0.2288135593220339</v>
      </c>
      <c r="J1273">
        <f xml:space="preserve"> YEAR(sa_retail_sales[[#This Row],[Order Date]])</f>
        <v>2023</v>
      </c>
    </row>
    <row r="1274" spans="1:10" x14ac:dyDescent="0.3">
      <c r="A1274" s="1">
        <v>45248</v>
      </c>
      <c r="B1274" t="s">
        <v>18</v>
      </c>
      <c r="C1274" t="s">
        <v>16</v>
      </c>
      <c r="D1274" t="s">
        <v>10</v>
      </c>
      <c r="E1274">
        <v>3507</v>
      </c>
      <c r="F1274">
        <v>3146</v>
      </c>
      <c r="G1274">
        <v>10</v>
      </c>
      <c r="H1274">
        <v>361</v>
      </c>
      <c r="I1274" s="2">
        <f>sa_retail_sales[[#This Row],[Profit]] / sa_retail_sales[[#This Row],[Revenue]]</f>
        <v>0.10293698317650414</v>
      </c>
      <c r="J1274">
        <f xml:space="preserve"> YEAR(sa_retail_sales[[#This Row],[Order Date]])</f>
        <v>2023</v>
      </c>
    </row>
    <row r="1275" spans="1:10" x14ac:dyDescent="0.3">
      <c r="A1275" s="1">
        <v>44846</v>
      </c>
      <c r="B1275" t="s">
        <v>18</v>
      </c>
      <c r="C1275" t="s">
        <v>14</v>
      </c>
      <c r="D1275" t="s">
        <v>19</v>
      </c>
      <c r="E1275">
        <v>1469</v>
      </c>
      <c r="F1275">
        <v>10624</v>
      </c>
      <c r="G1275">
        <v>5</v>
      </c>
      <c r="H1275">
        <v>-9155</v>
      </c>
      <c r="I1275" s="2">
        <f>sa_retail_sales[[#This Row],[Profit]] / sa_retail_sales[[#This Row],[Revenue]]</f>
        <v>-6.2321307011572502</v>
      </c>
      <c r="J1275">
        <f xml:space="preserve"> YEAR(sa_retail_sales[[#This Row],[Order Date]])</f>
        <v>2022</v>
      </c>
    </row>
    <row r="1276" spans="1:10" x14ac:dyDescent="0.3">
      <c r="A1276" s="1">
        <v>45277</v>
      </c>
      <c r="B1276" t="s">
        <v>18</v>
      </c>
      <c r="C1276" t="s">
        <v>9</v>
      </c>
      <c r="D1276" t="s">
        <v>15</v>
      </c>
      <c r="E1276">
        <v>9272</v>
      </c>
      <c r="F1276">
        <v>2763</v>
      </c>
      <c r="G1276">
        <v>20</v>
      </c>
      <c r="H1276">
        <v>6509</v>
      </c>
      <c r="I1276" s="2">
        <f>sa_retail_sales[[#This Row],[Profit]] / sa_retail_sales[[#This Row],[Revenue]]</f>
        <v>0.70200603968938735</v>
      </c>
      <c r="J1276">
        <f xml:space="preserve"> YEAR(sa_retail_sales[[#This Row],[Order Date]])</f>
        <v>2023</v>
      </c>
    </row>
    <row r="1277" spans="1:10" x14ac:dyDescent="0.3">
      <c r="A1277" s="1">
        <v>45324</v>
      </c>
      <c r="B1277" t="s">
        <v>18</v>
      </c>
      <c r="C1277" t="s">
        <v>9</v>
      </c>
      <c r="D1277" t="s">
        <v>10</v>
      </c>
      <c r="E1277">
        <v>3324</v>
      </c>
      <c r="F1277">
        <v>7137</v>
      </c>
      <c r="G1277">
        <v>20</v>
      </c>
      <c r="H1277">
        <v>-3813</v>
      </c>
      <c r="I1277" s="2">
        <f>sa_retail_sales[[#This Row],[Profit]] / sa_retail_sales[[#This Row],[Revenue]]</f>
        <v>-1.1471119133574008</v>
      </c>
      <c r="J1277">
        <f xml:space="preserve"> YEAR(sa_retail_sales[[#This Row],[Order Date]])</f>
        <v>2024</v>
      </c>
    </row>
    <row r="1278" spans="1:10" x14ac:dyDescent="0.3">
      <c r="A1278" s="1">
        <v>45509</v>
      </c>
      <c r="B1278" t="s">
        <v>18</v>
      </c>
      <c r="C1278" t="s">
        <v>16</v>
      </c>
      <c r="D1278" t="s">
        <v>10</v>
      </c>
      <c r="E1278">
        <v>12693</v>
      </c>
      <c r="F1278">
        <v>11021</v>
      </c>
      <c r="G1278">
        <v>10</v>
      </c>
      <c r="H1278">
        <v>1672</v>
      </c>
      <c r="I1278" s="2">
        <f>sa_retail_sales[[#This Row],[Profit]] / sa_retail_sales[[#This Row],[Revenue]]</f>
        <v>0.13172614827070039</v>
      </c>
      <c r="J1278">
        <f xml:space="preserve"> YEAR(sa_retail_sales[[#This Row],[Order Date]])</f>
        <v>2024</v>
      </c>
    </row>
    <row r="1279" spans="1:10" x14ac:dyDescent="0.3">
      <c r="A1279" s="1">
        <v>44942</v>
      </c>
      <c r="B1279" t="s">
        <v>17</v>
      </c>
      <c r="C1279" t="s">
        <v>13</v>
      </c>
      <c r="D1279" t="s">
        <v>12</v>
      </c>
      <c r="E1279">
        <v>1711</v>
      </c>
      <c r="F1279">
        <v>10995</v>
      </c>
      <c r="G1279">
        <v>15</v>
      </c>
      <c r="H1279">
        <v>-9284</v>
      </c>
      <c r="I1279" s="2">
        <f>sa_retail_sales[[#This Row],[Profit]] / sa_retail_sales[[#This Row],[Revenue]]</f>
        <v>-5.426066627703098</v>
      </c>
      <c r="J1279">
        <f xml:space="preserve"> YEAR(sa_retail_sales[[#This Row],[Order Date]])</f>
        <v>2023</v>
      </c>
    </row>
    <row r="1280" spans="1:10" x14ac:dyDescent="0.3">
      <c r="A1280" s="1">
        <v>45021</v>
      </c>
      <c r="B1280" t="s">
        <v>17</v>
      </c>
      <c r="C1280" t="s">
        <v>13</v>
      </c>
      <c r="D1280" t="s">
        <v>15</v>
      </c>
      <c r="E1280">
        <v>729</v>
      </c>
      <c r="F1280">
        <v>5222</v>
      </c>
      <c r="G1280">
        <v>0</v>
      </c>
      <c r="H1280">
        <v>-4493</v>
      </c>
      <c r="I1280" s="2">
        <f>sa_retail_sales[[#This Row],[Profit]] / sa_retail_sales[[#This Row],[Revenue]]</f>
        <v>-6.1632373113854593</v>
      </c>
      <c r="J1280">
        <f xml:space="preserve"> YEAR(sa_retail_sales[[#This Row],[Order Date]])</f>
        <v>2023</v>
      </c>
    </row>
    <row r="1281" spans="1:10" x14ac:dyDescent="0.3">
      <c r="A1281" s="1">
        <v>45592</v>
      </c>
      <c r="B1281" t="s">
        <v>11</v>
      </c>
      <c r="C1281" t="s">
        <v>14</v>
      </c>
      <c r="D1281" t="s">
        <v>15</v>
      </c>
      <c r="E1281">
        <v>4784</v>
      </c>
      <c r="F1281">
        <v>4692</v>
      </c>
      <c r="G1281">
        <v>15</v>
      </c>
      <c r="H1281">
        <v>92</v>
      </c>
      <c r="I1281" s="2">
        <f>sa_retail_sales[[#This Row],[Profit]] / sa_retail_sales[[#This Row],[Revenue]]</f>
        <v>1.9230769230769232E-2</v>
      </c>
      <c r="J1281">
        <f xml:space="preserve"> YEAR(sa_retail_sales[[#This Row],[Order Date]])</f>
        <v>2024</v>
      </c>
    </row>
    <row r="1282" spans="1:10" x14ac:dyDescent="0.3">
      <c r="A1282" s="1">
        <v>44590</v>
      </c>
      <c r="B1282" t="s">
        <v>11</v>
      </c>
      <c r="C1282" t="s">
        <v>14</v>
      </c>
      <c r="D1282" t="s">
        <v>19</v>
      </c>
      <c r="E1282">
        <v>14845</v>
      </c>
      <c r="F1282">
        <v>3483</v>
      </c>
      <c r="G1282">
        <v>15</v>
      </c>
      <c r="H1282">
        <v>11362</v>
      </c>
      <c r="I1282" s="2">
        <f>sa_retail_sales[[#This Row],[Profit]] / sa_retail_sales[[#This Row],[Revenue]]</f>
        <v>0.76537554732233071</v>
      </c>
      <c r="J1282">
        <f xml:space="preserve"> YEAR(sa_retail_sales[[#This Row],[Order Date]])</f>
        <v>2022</v>
      </c>
    </row>
    <row r="1283" spans="1:10" x14ac:dyDescent="0.3">
      <c r="A1283" s="1">
        <v>45468</v>
      </c>
      <c r="B1283" t="s">
        <v>8</v>
      </c>
      <c r="C1283" t="s">
        <v>9</v>
      </c>
      <c r="D1283" t="s">
        <v>15</v>
      </c>
      <c r="E1283">
        <v>3685</v>
      </c>
      <c r="F1283">
        <v>3467</v>
      </c>
      <c r="G1283">
        <v>15</v>
      </c>
      <c r="H1283">
        <v>218</v>
      </c>
      <c r="I1283" s="2">
        <f>sa_retail_sales[[#This Row],[Profit]] / sa_retail_sales[[#This Row],[Revenue]]</f>
        <v>5.9158751696065132E-2</v>
      </c>
      <c r="J1283">
        <f xml:space="preserve"> YEAR(sa_retail_sales[[#This Row],[Order Date]])</f>
        <v>2024</v>
      </c>
    </row>
    <row r="1284" spans="1:10" x14ac:dyDescent="0.3">
      <c r="A1284" s="1">
        <v>45618</v>
      </c>
      <c r="B1284" t="s">
        <v>11</v>
      </c>
      <c r="C1284" t="s">
        <v>16</v>
      </c>
      <c r="D1284" t="s">
        <v>19</v>
      </c>
      <c r="E1284">
        <v>1001</v>
      </c>
      <c r="F1284">
        <v>3297</v>
      </c>
      <c r="G1284">
        <v>20</v>
      </c>
      <c r="H1284">
        <v>-2296</v>
      </c>
      <c r="I1284" s="2">
        <f>sa_retail_sales[[#This Row],[Profit]] / sa_retail_sales[[#This Row],[Revenue]]</f>
        <v>-2.2937062937062938</v>
      </c>
      <c r="J1284">
        <f xml:space="preserve"> YEAR(sa_retail_sales[[#This Row],[Order Date]])</f>
        <v>2024</v>
      </c>
    </row>
    <row r="1285" spans="1:10" x14ac:dyDescent="0.3">
      <c r="A1285" s="1">
        <v>45440</v>
      </c>
      <c r="B1285" t="s">
        <v>11</v>
      </c>
      <c r="C1285" t="s">
        <v>9</v>
      </c>
      <c r="D1285" t="s">
        <v>12</v>
      </c>
      <c r="E1285">
        <v>10824</v>
      </c>
      <c r="F1285">
        <v>6821</v>
      </c>
      <c r="G1285">
        <v>0</v>
      </c>
      <c r="H1285">
        <v>4003</v>
      </c>
      <c r="I1285" s="2">
        <f>sa_retail_sales[[#This Row],[Profit]] / sa_retail_sales[[#This Row],[Revenue]]</f>
        <v>0.36982631189948262</v>
      </c>
      <c r="J1285">
        <f xml:space="preserve"> YEAR(sa_retail_sales[[#This Row],[Order Date]])</f>
        <v>2024</v>
      </c>
    </row>
    <row r="1286" spans="1:10" x14ac:dyDescent="0.3">
      <c r="A1286" s="1">
        <v>44640</v>
      </c>
      <c r="B1286" t="s">
        <v>18</v>
      </c>
      <c r="C1286" t="s">
        <v>14</v>
      </c>
      <c r="D1286" t="s">
        <v>15</v>
      </c>
      <c r="E1286">
        <v>548</v>
      </c>
      <c r="F1286">
        <v>3527</v>
      </c>
      <c r="G1286">
        <v>15</v>
      </c>
      <c r="H1286">
        <v>-2979</v>
      </c>
      <c r="I1286" s="2">
        <f>sa_retail_sales[[#This Row],[Profit]] / sa_retail_sales[[#This Row],[Revenue]]</f>
        <v>-5.4361313868613141</v>
      </c>
      <c r="J1286">
        <f xml:space="preserve"> YEAR(sa_retail_sales[[#This Row],[Order Date]])</f>
        <v>2022</v>
      </c>
    </row>
    <row r="1287" spans="1:10" x14ac:dyDescent="0.3">
      <c r="A1287" s="1">
        <v>45508</v>
      </c>
      <c r="B1287" t="s">
        <v>18</v>
      </c>
      <c r="C1287" t="s">
        <v>16</v>
      </c>
      <c r="D1287" t="s">
        <v>10</v>
      </c>
      <c r="E1287">
        <v>4066</v>
      </c>
      <c r="F1287">
        <v>6864</v>
      </c>
      <c r="G1287">
        <v>10</v>
      </c>
      <c r="H1287">
        <v>-2798</v>
      </c>
      <c r="I1287" s="2">
        <f>sa_retail_sales[[#This Row],[Profit]] / sa_retail_sales[[#This Row],[Revenue]]</f>
        <v>-0.68814559763895722</v>
      </c>
      <c r="J1287">
        <f xml:space="preserve"> YEAR(sa_retail_sales[[#This Row],[Order Date]])</f>
        <v>2024</v>
      </c>
    </row>
    <row r="1288" spans="1:10" x14ac:dyDescent="0.3">
      <c r="A1288" s="1">
        <v>45020</v>
      </c>
      <c r="B1288" t="s">
        <v>11</v>
      </c>
      <c r="C1288" t="s">
        <v>16</v>
      </c>
      <c r="D1288" t="s">
        <v>12</v>
      </c>
      <c r="E1288">
        <v>3555</v>
      </c>
      <c r="F1288">
        <v>10644</v>
      </c>
      <c r="G1288">
        <v>20</v>
      </c>
      <c r="H1288">
        <v>-7089</v>
      </c>
      <c r="I1288" s="2">
        <f>sa_retail_sales[[#This Row],[Profit]] / sa_retail_sales[[#This Row],[Revenue]]</f>
        <v>-1.9940928270042193</v>
      </c>
      <c r="J1288">
        <f xml:space="preserve"> YEAR(sa_retail_sales[[#This Row],[Order Date]])</f>
        <v>2023</v>
      </c>
    </row>
    <row r="1289" spans="1:10" x14ac:dyDescent="0.3">
      <c r="A1289" s="1">
        <v>45131</v>
      </c>
      <c r="B1289" t="s">
        <v>8</v>
      </c>
      <c r="C1289" t="s">
        <v>14</v>
      </c>
      <c r="D1289" t="s">
        <v>19</v>
      </c>
      <c r="E1289">
        <v>9380</v>
      </c>
      <c r="F1289">
        <v>10220</v>
      </c>
      <c r="G1289">
        <v>10</v>
      </c>
      <c r="H1289">
        <v>-840</v>
      </c>
      <c r="I1289" s="2">
        <f>sa_retail_sales[[#This Row],[Profit]] / sa_retail_sales[[#This Row],[Revenue]]</f>
        <v>-8.9552238805970144E-2</v>
      </c>
      <c r="J1289">
        <f xml:space="preserve"> YEAR(sa_retail_sales[[#This Row],[Order Date]])</f>
        <v>2023</v>
      </c>
    </row>
    <row r="1290" spans="1:10" x14ac:dyDescent="0.3">
      <c r="A1290" s="1">
        <v>45299</v>
      </c>
      <c r="B1290" t="s">
        <v>18</v>
      </c>
      <c r="C1290" t="s">
        <v>13</v>
      </c>
      <c r="D1290" t="s">
        <v>12</v>
      </c>
      <c r="E1290">
        <v>886</v>
      </c>
      <c r="F1290">
        <v>2324</v>
      </c>
      <c r="G1290">
        <v>10</v>
      </c>
      <c r="H1290">
        <v>-1438</v>
      </c>
      <c r="I1290" s="2">
        <f>sa_retail_sales[[#This Row],[Profit]] / sa_retail_sales[[#This Row],[Revenue]]</f>
        <v>-1.6230248306997743</v>
      </c>
      <c r="J1290">
        <f xml:space="preserve"> YEAR(sa_retail_sales[[#This Row],[Order Date]])</f>
        <v>2024</v>
      </c>
    </row>
    <row r="1291" spans="1:10" x14ac:dyDescent="0.3">
      <c r="A1291" s="1">
        <v>45077</v>
      </c>
      <c r="B1291" t="s">
        <v>11</v>
      </c>
      <c r="C1291" t="s">
        <v>13</v>
      </c>
      <c r="D1291" t="s">
        <v>19</v>
      </c>
      <c r="E1291">
        <v>1469</v>
      </c>
      <c r="F1291">
        <v>629</v>
      </c>
      <c r="G1291">
        <v>15</v>
      </c>
      <c r="H1291">
        <v>840</v>
      </c>
      <c r="I1291" s="2">
        <f>sa_retail_sales[[#This Row],[Profit]] / sa_retail_sales[[#This Row],[Revenue]]</f>
        <v>0.57181756296800546</v>
      </c>
      <c r="J1291">
        <f xml:space="preserve"> YEAR(sa_retail_sales[[#This Row],[Order Date]])</f>
        <v>2023</v>
      </c>
    </row>
    <row r="1292" spans="1:10" x14ac:dyDescent="0.3">
      <c r="A1292" s="1">
        <v>44958</v>
      </c>
      <c r="B1292" t="s">
        <v>11</v>
      </c>
      <c r="C1292" t="s">
        <v>16</v>
      </c>
      <c r="D1292" t="s">
        <v>12</v>
      </c>
      <c r="E1292">
        <v>12152</v>
      </c>
      <c r="F1292">
        <v>2786</v>
      </c>
      <c r="G1292">
        <v>10</v>
      </c>
      <c r="H1292">
        <v>9366</v>
      </c>
      <c r="I1292" s="2">
        <f>sa_retail_sales[[#This Row],[Profit]] / sa_retail_sales[[#This Row],[Revenue]]</f>
        <v>0.77073732718894006</v>
      </c>
      <c r="J1292">
        <f xml:space="preserve"> YEAR(sa_retail_sales[[#This Row],[Order Date]])</f>
        <v>2023</v>
      </c>
    </row>
    <row r="1293" spans="1:10" x14ac:dyDescent="0.3">
      <c r="A1293" s="1">
        <v>44600</v>
      </c>
      <c r="B1293" t="s">
        <v>17</v>
      </c>
      <c r="C1293" t="s">
        <v>9</v>
      </c>
      <c r="D1293" t="s">
        <v>19</v>
      </c>
      <c r="E1293">
        <v>9697</v>
      </c>
      <c r="F1293">
        <v>1455</v>
      </c>
      <c r="G1293">
        <v>0</v>
      </c>
      <c r="H1293">
        <v>8242</v>
      </c>
      <c r="I1293" s="2">
        <f>sa_retail_sales[[#This Row],[Profit]] / sa_retail_sales[[#This Row],[Revenue]]</f>
        <v>0.84995359389501912</v>
      </c>
      <c r="J1293">
        <f xml:space="preserve"> YEAR(sa_retail_sales[[#This Row],[Order Date]])</f>
        <v>2022</v>
      </c>
    </row>
    <row r="1294" spans="1:10" x14ac:dyDescent="0.3">
      <c r="A1294" s="1">
        <v>45448</v>
      </c>
      <c r="B1294" t="s">
        <v>8</v>
      </c>
      <c r="C1294" t="s">
        <v>13</v>
      </c>
      <c r="D1294" t="s">
        <v>15</v>
      </c>
      <c r="E1294">
        <v>6320</v>
      </c>
      <c r="F1294">
        <v>10382</v>
      </c>
      <c r="G1294">
        <v>10</v>
      </c>
      <c r="H1294">
        <v>-4062</v>
      </c>
      <c r="I1294" s="2">
        <f>sa_retail_sales[[#This Row],[Profit]] / sa_retail_sales[[#This Row],[Revenue]]</f>
        <v>-0.64272151898734176</v>
      </c>
      <c r="J1294">
        <f xml:space="preserve"> YEAR(sa_retail_sales[[#This Row],[Order Date]])</f>
        <v>2024</v>
      </c>
    </row>
    <row r="1295" spans="1:10" x14ac:dyDescent="0.3">
      <c r="A1295" s="1">
        <v>45358</v>
      </c>
      <c r="B1295" t="s">
        <v>17</v>
      </c>
      <c r="C1295" t="s">
        <v>9</v>
      </c>
      <c r="D1295" t="s">
        <v>10</v>
      </c>
      <c r="E1295">
        <v>14792</v>
      </c>
      <c r="F1295">
        <v>4777</v>
      </c>
      <c r="G1295">
        <v>15</v>
      </c>
      <c r="H1295">
        <v>10015</v>
      </c>
      <c r="I1295" s="2">
        <f>sa_retail_sales[[#This Row],[Profit]] / sa_retail_sales[[#This Row],[Revenue]]</f>
        <v>0.67705516495402918</v>
      </c>
      <c r="J1295">
        <f xml:space="preserve"> YEAR(sa_retail_sales[[#This Row],[Order Date]])</f>
        <v>2024</v>
      </c>
    </row>
    <row r="1296" spans="1:10" x14ac:dyDescent="0.3">
      <c r="A1296" s="1">
        <v>44718</v>
      </c>
      <c r="B1296" t="s">
        <v>8</v>
      </c>
      <c r="C1296" t="s">
        <v>13</v>
      </c>
      <c r="D1296" t="s">
        <v>19</v>
      </c>
      <c r="E1296">
        <v>3552</v>
      </c>
      <c r="F1296">
        <v>2485</v>
      </c>
      <c r="G1296">
        <v>10</v>
      </c>
      <c r="H1296">
        <v>1067</v>
      </c>
      <c r="I1296" s="2">
        <f>sa_retail_sales[[#This Row],[Profit]] / sa_retail_sales[[#This Row],[Revenue]]</f>
        <v>0.30039414414414417</v>
      </c>
      <c r="J1296">
        <f xml:space="preserve"> YEAR(sa_retail_sales[[#This Row],[Order Date]])</f>
        <v>2022</v>
      </c>
    </row>
    <row r="1297" spans="1:10" x14ac:dyDescent="0.3">
      <c r="A1297" s="1">
        <v>45445</v>
      </c>
      <c r="B1297" t="s">
        <v>18</v>
      </c>
      <c r="C1297" t="s">
        <v>13</v>
      </c>
      <c r="D1297" t="s">
        <v>12</v>
      </c>
      <c r="E1297">
        <v>12109</v>
      </c>
      <c r="F1297">
        <v>7386</v>
      </c>
      <c r="G1297">
        <v>20</v>
      </c>
      <c r="H1297">
        <v>4723</v>
      </c>
      <c r="I1297" s="2">
        <f>sa_retail_sales[[#This Row],[Profit]] / sa_retail_sales[[#This Row],[Revenue]]</f>
        <v>0.39004046576926255</v>
      </c>
      <c r="J1297">
        <f xml:space="preserve"> YEAR(sa_retail_sales[[#This Row],[Order Date]])</f>
        <v>2024</v>
      </c>
    </row>
    <row r="1298" spans="1:10" x14ac:dyDescent="0.3">
      <c r="A1298" s="1">
        <v>45535</v>
      </c>
      <c r="B1298" t="s">
        <v>8</v>
      </c>
      <c r="C1298" t="s">
        <v>9</v>
      </c>
      <c r="D1298" t="s">
        <v>19</v>
      </c>
      <c r="E1298">
        <v>7897</v>
      </c>
      <c r="F1298">
        <v>2617</v>
      </c>
      <c r="G1298">
        <v>20</v>
      </c>
      <c r="H1298">
        <v>5280</v>
      </c>
      <c r="I1298" s="2">
        <f>sa_retail_sales[[#This Row],[Profit]] / sa_retail_sales[[#This Row],[Revenue]]</f>
        <v>0.66860833227808025</v>
      </c>
      <c r="J1298">
        <f xml:space="preserve"> YEAR(sa_retail_sales[[#This Row],[Order Date]])</f>
        <v>2024</v>
      </c>
    </row>
    <row r="1299" spans="1:10" x14ac:dyDescent="0.3">
      <c r="A1299" s="1">
        <v>45607</v>
      </c>
      <c r="B1299" t="s">
        <v>11</v>
      </c>
      <c r="C1299" t="s">
        <v>14</v>
      </c>
      <c r="D1299" t="s">
        <v>19</v>
      </c>
      <c r="E1299">
        <v>2802</v>
      </c>
      <c r="F1299">
        <v>3921</v>
      </c>
      <c r="G1299">
        <v>20</v>
      </c>
      <c r="H1299">
        <v>-1119</v>
      </c>
      <c r="I1299" s="2">
        <f>sa_retail_sales[[#This Row],[Profit]] / sa_retail_sales[[#This Row],[Revenue]]</f>
        <v>-0.39935760171306212</v>
      </c>
      <c r="J1299">
        <f xml:space="preserve"> YEAR(sa_retail_sales[[#This Row],[Order Date]])</f>
        <v>2024</v>
      </c>
    </row>
    <row r="1300" spans="1:10" x14ac:dyDescent="0.3">
      <c r="A1300" s="1">
        <v>45410</v>
      </c>
      <c r="B1300" t="s">
        <v>11</v>
      </c>
      <c r="C1300" t="s">
        <v>13</v>
      </c>
      <c r="D1300" t="s">
        <v>19</v>
      </c>
      <c r="E1300">
        <v>2783</v>
      </c>
      <c r="F1300">
        <v>4791</v>
      </c>
      <c r="G1300">
        <v>5</v>
      </c>
      <c r="H1300">
        <v>-2008</v>
      </c>
      <c r="I1300" s="2">
        <f>sa_retail_sales[[#This Row],[Profit]] / sa_retail_sales[[#This Row],[Revenue]]</f>
        <v>-0.72152353575278472</v>
      </c>
      <c r="J1300">
        <f xml:space="preserve"> YEAR(sa_retail_sales[[#This Row],[Order Date]])</f>
        <v>2024</v>
      </c>
    </row>
    <row r="1301" spans="1:10" x14ac:dyDescent="0.3">
      <c r="A1301" s="1">
        <v>45309</v>
      </c>
      <c r="B1301" t="s">
        <v>8</v>
      </c>
      <c r="C1301" t="s">
        <v>13</v>
      </c>
      <c r="D1301" t="s">
        <v>12</v>
      </c>
      <c r="E1301">
        <v>10299</v>
      </c>
      <c r="F1301">
        <v>2811</v>
      </c>
      <c r="G1301">
        <v>20</v>
      </c>
      <c r="H1301">
        <v>7488</v>
      </c>
      <c r="I1301" s="2">
        <f>sa_retail_sales[[#This Row],[Profit]] / sa_retail_sales[[#This Row],[Revenue]]</f>
        <v>0.72706087969705802</v>
      </c>
      <c r="J1301">
        <f xml:space="preserve"> YEAR(sa_retail_sales[[#This Row],[Order Date]])</f>
        <v>2024</v>
      </c>
    </row>
    <row r="1302" spans="1:10" x14ac:dyDescent="0.3">
      <c r="A1302" s="1">
        <v>45550</v>
      </c>
      <c r="B1302" t="s">
        <v>8</v>
      </c>
      <c r="C1302" t="s">
        <v>9</v>
      </c>
      <c r="D1302" t="s">
        <v>10</v>
      </c>
      <c r="E1302">
        <v>14577</v>
      </c>
      <c r="F1302">
        <v>8142</v>
      </c>
      <c r="G1302">
        <v>20</v>
      </c>
      <c r="H1302">
        <v>6435</v>
      </c>
      <c r="I1302" s="2">
        <f>sa_retail_sales[[#This Row],[Profit]] / sa_retail_sales[[#This Row],[Revenue]]</f>
        <v>0.44144885778966864</v>
      </c>
      <c r="J1302">
        <f xml:space="preserve"> YEAR(sa_retail_sales[[#This Row],[Order Date]])</f>
        <v>2024</v>
      </c>
    </row>
    <row r="1303" spans="1:10" x14ac:dyDescent="0.3">
      <c r="A1303" s="1">
        <v>44582</v>
      </c>
      <c r="B1303" t="s">
        <v>8</v>
      </c>
      <c r="C1303" t="s">
        <v>14</v>
      </c>
      <c r="D1303" t="s">
        <v>15</v>
      </c>
      <c r="E1303">
        <v>4866</v>
      </c>
      <c r="F1303">
        <v>8941</v>
      </c>
      <c r="G1303">
        <v>5</v>
      </c>
      <c r="H1303">
        <v>-4075</v>
      </c>
      <c r="I1303" s="2">
        <f>sa_retail_sales[[#This Row],[Profit]] / sa_retail_sales[[#This Row],[Revenue]]</f>
        <v>-0.83744348540896019</v>
      </c>
      <c r="J1303">
        <f xml:space="preserve"> YEAR(sa_retail_sales[[#This Row],[Order Date]])</f>
        <v>2022</v>
      </c>
    </row>
    <row r="1304" spans="1:10" x14ac:dyDescent="0.3">
      <c r="A1304" s="1">
        <v>44864</v>
      </c>
      <c r="B1304" t="s">
        <v>17</v>
      </c>
      <c r="C1304" t="s">
        <v>13</v>
      </c>
      <c r="D1304" t="s">
        <v>10</v>
      </c>
      <c r="E1304">
        <v>622</v>
      </c>
      <c r="F1304">
        <v>9846</v>
      </c>
      <c r="G1304">
        <v>20</v>
      </c>
      <c r="H1304">
        <v>-9224</v>
      </c>
      <c r="I1304" s="2">
        <f>sa_retail_sales[[#This Row],[Profit]] / sa_retail_sales[[#This Row],[Revenue]]</f>
        <v>-14.829581993569132</v>
      </c>
      <c r="J1304">
        <f xml:space="preserve"> YEAR(sa_retail_sales[[#This Row],[Order Date]])</f>
        <v>2022</v>
      </c>
    </row>
    <row r="1305" spans="1:10" x14ac:dyDescent="0.3">
      <c r="A1305" s="1">
        <v>45430</v>
      </c>
      <c r="B1305" t="s">
        <v>8</v>
      </c>
      <c r="C1305" t="s">
        <v>13</v>
      </c>
      <c r="D1305" t="s">
        <v>19</v>
      </c>
      <c r="E1305">
        <v>7299</v>
      </c>
      <c r="F1305">
        <v>8148</v>
      </c>
      <c r="G1305">
        <v>15</v>
      </c>
      <c r="H1305">
        <v>-849</v>
      </c>
      <c r="I1305" s="2">
        <f>sa_retail_sales[[#This Row],[Profit]] / sa_retail_sales[[#This Row],[Revenue]]</f>
        <v>-0.1163173037402384</v>
      </c>
      <c r="J1305">
        <f xml:space="preserve"> YEAR(sa_retail_sales[[#This Row],[Order Date]])</f>
        <v>2024</v>
      </c>
    </row>
    <row r="1306" spans="1:10" x14ac:dyDescent="0.3">
      <c r="A1306" s="1">
        <v>44645</v>
      </c>
      <c r="B1306" t="s">
        <v>18</v>
      </c>
      <c r="C1306" t="s">
        <v>14</v>
      </c>
      <c r="D1306" t="s">
        <v>12</v>
      </c>
      <c r="E1306">
        <v>9972</v>
      </c>
      <c r="F1306">
        <v>5704</v>
      </c>
      <c r="G1306">
        <v>20</v>
      </c>
      <c r="H1306">
        <v>4268</v>
      </c>
      <c r="I1306" s="2">
        <f>sa_retail_sales[[#This Row],[Profit]] / sa_retail_sales[[#This Row],[Revenue]]</f>
        <v>0.4279983955074208</v>
      </c>
      <c r="J1306">
        <f xml:space="preserve"> YEAR(sa_retail_sales[[#This Row],[Order Date]])</f>
        <v>2022</v>
      </c>
    </row>
    <row r="1307" spans="1:10" x14ac:dyDescent="0.3">
      <c r="A1307" s="1">
        <v>45131</v>
      </c>
      <c r="B1307" t="s">
        <v>17</v>
      </c>
      <c r="C1307" t="s">
        <v>13</v>
      </c>
      <c r="D1307" t="s">
        <v>10</v>
      </c>
      <c r="E1307">
        <v>4227</v>
      </c>
      <c r="F1307">
        <v>5693</v>
      </c>
      <c r="G1307">
        <v>20</v>
      </c>
      <c r="H1307">
        <v>-1466</v>
      </c>
      <c r="I1307" s="2">
        <f>sa_retail_sales[[#This Row],[Profit]] / sa_retail_sales[[#This Row],[Revenue]]</f>
        <v>-0.34681807428436245</v>
      </c>
      <c r="J1307">
        <f xml:space="preserve"> YEAR(sa_retail_sales[[#This Row],[Order Date]])</f>
        <v>2023</v>
      </c>
    </row>
    <row r="1308" spans="1:10" x14ac:dyDescent="0.3">
      <c r="A1308" s="1">
        <v>45495</v>
      </c>
      <c r="B1308" t="s">
        <v>17</v>
      </c>
      <c r="C1308" t="s">
        <v>14</v>
      </c>
      <c r="D1308" t="s">
        <v>19</v>
      </c>
      <c r="E1308">
        <v>14232</v>
      </c>
      <c r="F1308">
        <v>1593</v>
      </c>
      <c r="G1308">
        <v>5</v>
      </c>
      <c r="H1308">
        <v>12639</v>
      </c>
      <c r="I1308" s="2">
        <f>sa_retail_sales[[#This Row],[Profit]] / sa_retail_sales[[#This Row],[Revenue]]</f>
        <v>0.88806913996627324</v>
      </c>
      <c r="J1308">
        <f xml:space="preserve"> YEAR(sa_retail_sales[[#This Row],[Order Date]])</f>
        <v>2024</v>
      </c>
    </row>
    <row r="1309" spans="1:10" x14ac:dyDescent="0.3">
      <c r="A1309" s="1">
        <v>45570</v>
      </c>
      <c r="B1309" t="s">
        <v>8</v>
      </c>
      <c r="C1309" t="s">
        <v>14</v>
      </c>
      <c r="D1309" t="s">
        <v>15</v>
      </c>
      <c r="E1309">
        <v>8950</v>
      </c>
      <c r="F1309">
        <v>2765</v>
      </c>
      <c r="G1309">
        <v>15</v>
      </c>
      <c r="H1309">
        <v>6185</v>
      </c>
      <c r="I1309" s="2">
        <f>sa_retail_sales[[#This Row],[Profit]] / sa_retail_sales[[#This Row],[Revenue]]</f>
        <v>0.69106145251396645</v>
      </c>
      <c r="J1309">
        <f xml:space="preserve"> YEAR(sa_retail_sales[[#This Row],[Order Date]])</f>
        <v>2024</v>
      </c>
    </row>
    <row r="1310" spans="1:10" x14ac:dyDescent="0.3">
      <c r="A1310" s="1">
        <v>45354</v>
      </c>
      <c r="B1310" t="s">
        <v>18</v>
      </c>
      <c r="C1310" t="s">
        <v>9</v>
      </c>
      <c r="D1310" t="s">
        <v>15</v>
      </c>
      <c r="E1310">
        <v>9639</v>
      </c>
      <c r="F1310">
        <v>11594</v>
      </c>
      <c r="G1310">
        <v>10</v>
      </c>
      <c r="H1310">
        <v>-1955</v>
      </c>
      <c r="I1310" s="2">
        <f>sa_retail_sales[[#This Row],[Profit]] / sa_retail_sales[[#This Row],[Revenue]]</f>
        <v>-0.20282186948853614</v>
      </c>
      <c r="J1310">
        <f xml:space="preserve"> YEAR(sa_retail_sales[[#This Row],[Order Date]])</f>
        <v>2024</v>
      </c>
    </row>
    <row r="1311" spans="1:10" x14ac:dyDescent="0.3">
      <c r="A1311" s="1">
        <v>45353</v>
      </c>
      <c r="B1311" t="s">
        <v>17</v>
      </c>
      <c r="C1311" t="s">
        <v>16</v>
      </c>
      <c r="D1311" t="s">
        <v>15</v>
      </c>
      <c r="E1311">
        <v>14882</v>
      </c>
      <c r="F1311">
        <v>10341</v>
      </c>
      <c r="G1311">
        <v>0</v>
      </c>
      <c r="H1311">
        <v>4541</v>
      </c>
      <c r="I1311" s="2">
        <f>sa_retail_sales[[#This Row],[Profit]] / sa_retail_sales[[#This Row],[Revenue]]</f>
        <v>0.30513371858621152</v>
      </c>
      <c r="J1311">
        <f xml:space="preserve"> YEAR(sa_retail_sales[[#This Row],[Order Date]])</f>
        <v>2024</v>
      </c>
    </row>
    <row r="1312" spans="1:10" x14ac:dyDescent="0.3">
      <c r="A1312" s="1">
        <v>45053</v>
      </c>
      <c r="B1312" t="s">
        <v>11</v>
      </c>
      <c r="C1312" t="s">
        <v>14</v>
      </c>
      <c r="D1312" t="s">
        <v>19</v>
      </c>
      <c r="E1312">
        <v>5458</v>
      </c>
      <c r="F1312">
        <v>3475</v>
      </c>
      <c r="G1312">
        <v>15</v>
      </c>
      <c r="H1312">
        <v>1983</v>
      </c>
      <c r="I1312" s="2">
        <f>sa_retail_sales[[#This Row],[Profit]] / sa_retail_sales[[#This Row],[Revenue]]</f>
        <v>0.36331989739831438</v>
      </c>
      <c r="J1312">
        <f xml:space="preserve"> YEAR(sa_retail_sales[[#This Row],[Order Date]])</f>
        <v>2023</v>
      </c>
    </row>
    <row r="1313" spans="1:10" x14ac:dyDescent="0.3">
      <c r="A1313" s="1">
        <v>44769</v>
      </c>
      <c r="B1313" t="s">
        <v>17</v>
      </c>
      <c r="C1313" t="s">
        <v>9</v>
      </c>
      <c r="D1313" t="s">
        <v>12</v>
      </c>
      <c r="E1313">
        <v>1024</v>
      </c>
      <c r="F1313">
        <v>8149</v>
      </c>
      <c r="G1313">
        <v>10</v>
      </c>
      <c r="H1313">
        <v>-7125</v>
      </c>
      <c r="I1313" s="2">
        <f>sa_retail_sales[[#This Row],[Profit]] / sa_retail_sales[[#This Row],[Revenue]]</f>
        <v>-6.9580078125</v>
      </c>
      <c r="J1313">
        <f xml:space="preserve"> YEAR(sa_retail_sales[[#This Row],[Order Date]])</f>
        <v>2022</v>
      </c>
    </row>
    <row r="1314" spans="1:10" x14ac:dyDescent="0.3">
      <c r="A1314" s="1">
        <v>45645</v>
      </c>
      <c r="B1314" t="s">
        <v>8</v>
      </c>
      <c r="C1314" t="s">
        <v>16</v>
      </c>
      <c r="D1314" t="s">
        <v>10</v>
      </c>
      <c r="E1314">
        <v>9579</v>
      </c>
      <c r="F1314">
        <v>11691</v>
      </c>
      <c r="G1314">
        <v>15</v>
      </c>
      <c r="H1314">
        <v>-2112</v>
      </c>
      <c r="I1314" s="2">
        <f>sa_retail_sales[[#This Row],[Profit]] / sa_retail_sales[[#This Row],[Revenue]]</f>
        <v>-0.22048230504227997</v>
      </c>
      <c r="J1314">
        <f xml:space="preserve"> YEAR(sa_retail_sales[[#This Row],[Order Date]])</f>
        <v>2024</v>
      </c>
    </row>
    <row r="1315" spans="1:10" x14ac:dyDescent="0.3">
      <c r="A1315" s="1">
        <v>44991</v>
      </c>
      <c r="B1315" t="s">
        <v>18</v>
      </c>
      <c r="C1315" t="s">
        <v>13</v>
      </c>
      <c r="D1315" t="s">
        <v>15</v>
      </c>
      <c r="E1315">
        <v>8899</v>
      </c>
      <c r="F1315">
        <v>9725</v>
      </c>
      <c r="G1315">
        <v>10</v>
      </c>
      <c r="H1315">
        <v>-826</v>
      </c>
      <c r="I1315" s="2">
        <f>sa_retail_sales[[#This Row],[Profit]] / sa_retail_sales[[#This Row],[Revenue]]</f>
        <v>-9.281941791212496E-2</v>
      </c>
      <c r="J1315">
        <f xml:space="preserve"> YEAR(sa_retail_sales[[#This Row],[Order Date]])</f>
        <v>2023</v>
      </c>
    </row>
    <row r="1316" spans="1:10" x14ac:dyDescent="0.3">
      <c r="A1316" s="1">
        <v>45546</v>
      </c>
      <c r="B1316" t="s">
        <v>8</v>
      </c>
      <c r="C1316" t="s">
        <v>16</v>
      </c>
      <c r="D1316" t="s">
        <v>19</v>
      </c>
      <c r="E1316">
        <v>12074</v>
      </c>
      <c r="F1316">
        <v>9929</v>
      </c>
      <c r="G1316">
        <v>10</v>
      </c>
      <c r="H1316">
        <v>2145</v>
      </c>
      <c r="I1316" s="2">
        <f>sa_retail_sales[[#This Row],[Profit]] / sa_retail_sales[[#This Row],[Revenue]]</f>
        <v>0.1776544641378168</v>
      </c>
      <c r="J1316">
        <f xml:space="preserve"> YEAR(sa_retail_sales[[#This Row],[Order Date]])</f>
        <v>2024</v>
      </c>
    </row>
    <row r="1317" spans="1:10" x14ac:dyDescent="0.3">
      <c r="A1317" s="1">
        <v>45081</v>
      </c>
      <c r="B1317" t="s">
        <v>11</v>
      </c>
      <c r="C1317" t="s">
        <v>14</v>
      </c>
      <c r="D1317" t="s">
        <v>19</v>
      </c>
      <c r="E1317">
        <v>11486</v>
      </c>
      <c r="F1317">
        <v>11844</v>
      </c>
      <c r="G1317">
        <v>15</v>
      </c>
      <c r="H1317">
        <v>-358</v>
      </c>
      <c r="I1317" s="2">
        <f>sa_retail_sales[[#This Row],[Profit]] / sa_retail_sales[[#This Row],[Revenue]]</f>
        <v>-3.1168378896047361E-2</v>
      </c>
      <c r="J1317">
        <f xml:space="preserve"> YEAR(sa_retail_sales[[#This Row],[Order Date]])</f>
        <v>2023</v>
      </c>
    </row>
    <row r="1318" spans="1:10" x14ac:dyDescent="0.3">
      <c r="A1318" s="1">
        <v>45152</v>
      </c>
      <c r="B1318" t="s">
        <v>11</v>
      </c>
      <c r="C1318" t="s">
        <v>14</v>
      </c>
      <c r="D1318" t="s">
        <v>10</v>
      </c>
      <c r="E1318">
        <v>648</v>
      </c>
      <c r="F1318">
        <v>8744</v>
      </c>
      <c r="G1318">
        <v>5</v>
      </c>
      <c r="H1318">
        <v>-8096</v>
      </c>
      <c r="I1318" s="2">
        <f>sa_retail_sales[[#This Row],[Profit]] / sa_retail_sales[[#This Row],[Revenue]]</f>
        <v>-12.493827160493828</v>
      </c>
      <c r="J1318">
        <f xml:space="preserve"> YEAR(sa_retail_sales[[#This Row],[Order Date]])</f>
        <v>2023</v>
      </c>
    </row>
    <row r="1319" spans="1:10" x14ac:dyDescent="0.3">
      <c r="A1319" s="1">
        <v>45612</v>
      </c>
      <c r="B1319" t="s">
        <v>11</v>
      </c>
      <c r="C1319" t="s">
        <v>14</v>
      </c>
      <c r="D1319" t="s">
        <v>15</v>
      </c>
      <c r="E1319">
        <v>8501</v>
      </c>
      <c r="F1319">
        <v>8510</v>
      </c>
      <c r="G1319">
        <v>15</v>
      </c>
      <c r="H1319">
        <v>-9</v>
      </c>
      <c r="I1319" s="2">
        <f>sa_retail_sales[[#This Row],[Profit]] / sa_retail_sales[[#This Row],[Revenue]]</f>
        <v>-1.0586989765909893E-3</v>
      </c>
      <c r="J1319">
        <f xml:space="preserve"> YEAR(sa_retail_sales[[#This Row],[Order Date]])</f>
        <v>2024</v>
      </c>
    </row>
    <row r="1320" spans="1:10" x14ac:dyDescent="0.3">
      <c r="A1320" s="1">
        <v>44760</v>
      </c>
      <c r="B1320" t="s">
        <v>8</v>
      </c>
      <c r="C1320" t="s">
        <v>14</v>
      </c>
      <c r="D1320" t="s">
        <v>19</v>
      </c>
      <c r="E1320">
        <v>937</v>
      </c>
      <c r="F1320">
        <v>3059</v>
      </c>
      <c r="G1320">
        <v>15</v>
      </c>
      <c r="H1320">
        <v>-2122</v>
      </c>
      <c r="I1320" s="2">
        <f>sa_retail_sales[[#This Row],[Profit]] / sa_retail_sales[[#This Row],[Revenue]]</f>
        <v>-2.2646744930629668</v>
      </c>
      <c r="J1320">
        <f xml:space="preserve"> YEAR(sa_retail_sales[[#This Row],[Order Date]])</f>
        <v>2022</v>
      </c>
    </row>
    <row r="1321" spans="1:10" x14ac:dyDescent="0.3">
      <c r="A1321" s="1">
        <v>44948</v>
      </c>
      <c r="B1321" t="s">
        <v>17</v>
      </c>
      <c r="C1321" t="s">
        <v>14</v>
      </c>
      <c r="D1321" t="s">
        <v>10</v>
      </c>
      <c r="E1321">
        <v>10894</v>
      </c>
      <c r="F1321">
        <v>5555</v>
      </c>
      <c r="G1321">
        <v>10</v>
      </c>
      <c r="H1321">
        <v>5339</v>
      </c>
      <c r="I1321" s="2">
        <f>sa_retail_sales[[#This Row],[Profit]] / sa_retail_sales[[#This Row],[Revenue]]</f>
        <v>0.49008628602900678</v>
      </c>
      <c r="J1321">
        <f xml:space="preserve"> YEAR(sa_retail_sales[[#This Row],[Order Date]])</f>
        <v>2023</v>
      </c>
    </row>
    <row r="1322" spans="1:10" x14ac:dyDescent="0.3">
      <c r="A1322" s="1">
        <v>44910</v>
      </c>
      <c r="B1322" t="s">
        <v>8</v>
      </c>
      <c r="C1322" t="s">
        <v>9</v>
      </c>
      <c r="D1322" t="s">
        <v>12</v>
      </c>
      <c r="E1322">
        <v>4249</v>
      </c>
      <c r="F1322">
        <v>8714</v>
      </c>
      <c r="G1322">
        <v>0</v>
      </c>
      <c r="H1322">
        <v>-4465</v>
      </c>
      <c r="I1322" s="2">
        <f>sa_retail_sales[[#This Row],[Profit]] / sa_retail_sales[[#This Row],[Revenue]]</f>
        <v>-1.050835490703695</v>
      </c>
      <c r="J1322">
        <f xml:space="preserve"> YEAR(sa_retail_sales[[#This Row],[Order Date]])</f>
        <v>2022</v>
      </c>
    </row>
    <row r="1323" spans="1:10" x14ac:dyDescent="0.3">
      <c r="A1323" s="1">
        <v>45521</v>
      </c>
      <c r="B1323" t="s">
        <v>18</v>
      </c>
      <c r="C1323" t="s">
        <v>14</v>
      </c>
      <c r="D1323" t="s">
        <v>12</v>
      </c>
      <c r="E1323">
        <v>11853</v>
      </c>
      <c r="F1323">
        <v>302</v>
      </c>
      <c r="G1323">
        <v>10</v>
      </c>
      <c r="H1323">
        <v>11551</v>
      </c>
      <c r="I1323" s="2">
        <f>sa_retail_sales[[#This Row],[Profit]] / sa_retail_sales[[#This Row],[Revenue]]</f>
        <v>0.97452121825698135</v>
      </c>
      <c r="J1323">
        <f xml:space="preserve"> YEAR(sa_retail_sales[[#This Row],[Order Date]])</f>
        <v>2024</v>
      </c>
    </row>
    <row r="1324" spans="1:10" x14ac:dyDescent="0.3">
      <c r="A1324" s="1">
        <v>45254</v>
      </c>
      <c r="B1324" t="s">
        <v>17</v>
      </c>
      <c r="C1324" t="s">
        <v>9</v>
      </c>
      <c r="D1324" t="s">
        <v>12</v>
      </c>
      <c r="E1324">
        <v>14509</v>
      </c>
      <c r="F1324">
        <v>8430</v>
      </c>
      <c r="G1324">
        <v>20</v>
      </c>
      <c r="H1324">
        <v>6079</v>
      </c>
      <c r="I1324" s="2">
        <f>sa_retail_sales[[#This Row],[Profit]] / sa_retail_sales[[#This Row],[Revenue]]</f>
        <v>0.41898132193810739</v>
      </c>
      <c r="J1324">
        <f xml:space="preserve"> YEAR(sa_retail_sales[[#This Row],[Order Date]])</f>
        <v>2023</v>
      </c>
    </row>
    <row r="1325" spans="1:10" x14ac:dyDescent="0.3">
      <c r="A1325" s="1">
        <v>44939</v>
      </c>
      <c r="B1325" t="s">
        <v>11</v>
      </c>
      <c r="C1325" t="s">
        <v>13</v>
      </c>
      <c r="D1325" t="s">
        <v>15</v>
      </c>
      <c r="E1325">
        <v>12593</v>
      </c>
      <c r="F1325">
        <v>1559</v>
      </c>
      <c r="G1325">
        <v>15</v>
      </c>
      <c r="H1325">
        <v>11034</v>
      </c>
      <c r="I1325" s="2">
        <f>sa_retail_sales[[#This Row],[Profit]] / sa_retail_sales[[#This Row],[Revenue]]</f>
        <v>0.87620106408322085</v>
      </c>
      <c r="J1325">
        <f xml:space="preserve"> YEAR(sa_retail_sales[[#This Row],[Order Date]])</f>
        <v>2023</v>
      </c>
    </row>
    <row r="1326" spans="1:10" x14ac:dyDescent="0.3">
      <c r="A1326" s="1">
        <v>45460</v>
      </c>
      <c r="B1326" t="s">
        <v>8</v>
      </c>
      <c r="C1326" t="s">
        <v>14</v>
      </c>
      <c r="D1326" t="s">
        <v>10</v>
      </c>
      <c r="E1326">
        <v>8686</v>
      </c>
      <c r="F1326">
        <v>8490</v>
      </c>
      <c r="G1326">
        <v>15</v>
      </c>
      <c r="H1326">
        <v>196</v>
      </c>
      <c r="I1326" s="2">
        <f>sa_retail_sales[[#This Row],[Profit]] / sa_retail_sales[[#This Row],[Revenue]]</f>
        <v>2.2565047202394658E-2</v>
      </c>
      <c r="J1326">
        <f xml:space="preserve"> YEAR(sa_retail_sales[[#This Row],[Order Date]])</f>
        <v>2024</v>
      </c>
    </row>
    <row r="1327" spans="1:10" x14ac:dyDescent="0.3">
      <c r="A1327" s="1">
        <v>45477</v>
      </c>
      <c r="B1327" t="s">
        <v>11</v>
      </c>
      <c r="C1327" t="s">
        <v>14</v>
      </c>
      <c r="D1327" t="s">
        <v>10</v>
      </c>
      <c r="E1327">
        <v>4953</v>
      </c>
      <c r="F1327">
        <v>4623</v>
      </c>
      <c r="G1327">
        <v>5</v>
      </c>
      <c r="H1327">
        <v>330</v>
      </c>
      <c r="I1327" s="2">
        <f>sa_retail_sales[[#This Row],[Profit]] / sa_retail_sales[[#This Row],[Revenue]]</f>
        <v>6.6626287098728046E-2</v>
      </c>
      <c r="J1327">
        <f xml:space="preserve"> YEAR(sa_retail_sales[[#This Row],[Order Date]])</f>
        <v>2024</v>
      </c>
    </row>
    <row r="1328" spans="1:10" x14ac:dyDescent="0.3">
      <c r="A1328" s="1">
        <v>45088</v>
      </c>
      <c r="B1328" t="s">
        <v>11</v>
      </c>
      <c r="C1328" t="s">
        <v>16</v>
      </c>
      <c r="D1328" t="s">
        <v>19</v>
      </c>
      <c r="E1328">
        <v>11937</v>
      </c>
      <c r="F1328">
        <v>6073</v>
      </c>
      <c r="G1328">
        <v>10</v>
      </c>
      <c r="H1328">
        <v>5864</v>
      </c>
      <c r="I1328" s="2">
        <f>sa_retail_sales[[#This Row],[Profit]] / sa_retail_sales[[#This Row],[Revenue]]</f>
        <v>0.49124570662645556</v>
      </c>
      <c r="J1328">
        <f xml:space="preserve"> YEAR(sa_retail_sales[[#This Row],[Order Date]])</f>
        <v>2023</v>
      </c>
    </row>
    <row r="1329" spans="1:10" x14ac:dyDescent="0.3">
      <c r="A1329" s="1">
        <v>45295</v>
      </c>
      <c r="B1329" t="s">
        <v>18</v>
      </c>
      <c r="C1329" t="s">
        <v>13</v>
      </c>
      <c r="D1329" t="s">
        <v>19</v>
      </c>
      <c r="E1329">
        <v>5836</v>
      </c>
      <c r="F1329">
        <v>2868</v>
      </c>
      <c r="G1329">
        <v>5</v>
      </c>
      <c r="H1329">
        <v>2968</v>
      </c>
      <c r="I1329" s="2">
        <f>sa_retail_sales[[#This Row],[Profit]] / sa_retail_sales[[#This Row],[Revenue]]</f>
        <v>0.50856751199451677</v>
      </c>
      <c r="J1329">
        <f xml:space="preserve"> YEAR(sa_retail_sales[[#This Row],[Order Date]])</f>
        <v>2024</v>
      </c>
    </row>
    <row r="1330" spans="1:10" x14ac:dyDescent="0.3">
      <c r="A1330" s="1">
        <v>44767</v>
      </c>
      <c r="B1330" t="s">
        <v>17</v>
      </c>
      <c r="C1330" t="s">
        <v>14</v>
      </c>
      <c r="D1330" t="s">
        <v>19</v>
      </c>
      <c r="E1330">
        <v>14718</v>
      </c>
      <c r="F1330">
        <v>2185</v>
      </c>
      <c r="G1330">
        <v>15</v>
      </c>
      <c r="H1330">
        <v>12533</v>
      </c>
      <c r="I1330" s="2">
        <f>sa_retail_sales[[#This Row],[Profit]] / sa_retail_sales[[#This Row],[Revenue]]</f>
        <v>0.85154232912080441</v>
      </c>
      <c r="J1330">
        <f xml:space="preserve"> YEAR(sa_retail_sales[[#This Row],[Order Date]])</f>
        <v>2022</v>
      </c>
    </row>
    <row r="1331" spans="1:10" x14ac:dyDescent="0.3">
      <c r="A1331" s="1">
        <v>45016</v>
      </c>
      <c r="B1331" t="s">
        <v>18</v>
      </c>
      <c r="C1331" t="s">
        <v>14</v>
      </c>
      <c r="D1331" t="s">
        <v>10</v>
      </c>
      <c r="E1331">
        <v>5051</v>
      </c>
      <c r="F1331">
        <v>7360</v>
      </c>
      <c r="G1331">
        <v>10</v>
      </c>
      <c r="H1331">
        <v>-2309</v>
      </c>
      <c r="I1331" s="2">
        <f>sa_retail_sales[[#This Row],[Profit]] / sa_retail_sales[[#This Row],[Revenue]]</f>
        <v>-0.4571372005543457</v>
      </c>
      <c r="J1331">
        <f xml:space="preserve"> YEAR(sa_retail_sales[[#This Row],[Order Date]])</f>
        <v>2023</v>
      </c>
    </row>
    <row r="1332" spans="1:10" x14ac:dyDescent="0.3">
      <c r="A1332" s="1">
        <v>45082</v>
      </c>
      <c r="B1332" t="s">
        <v>18</v>
      </c>
      <c r="C1332" t="s">
        <v>13</v>
      </c>
      <c r="D1332" t="s">
        <v>19</v>
      </c>
      <c r="E1332">
        <v>3323</v>
      </c>
      <c r="F1332">
        <v>8144</v>
      </c>
      <c r="G1332">
        <v>10</v>
      </c>
      <c r="H1332">
        <v>-4821</v>
      </c>
      <c r="I1332" s="2">
        <f>sa_retail_sales[[#This Row],[Profit]] / sa_retail_sales[[#This Row],[Revenue]]</f>
        <v>-1.4507974721637076</v>
      </c>
      <c r="J1332">
        <f xml:space="preserve"> YEAR(sa_retail_sales[[#This Row],[Order Date]])</f>
        <v>2023</v>
      </c>
    </row>
    <row r="1333" spans="1:10" x14ac:dyDescent="0.3">
      <c r="A1333" s="1">
        <v>45578</v>
      </c>
      <c r="B1333" t="s">
        <v>18</v>
      </c>
      <c r="C1333" t="s">
        <v>9</v>
      </c>
      <c r="D1333" t="s">
        <v>10</v>
      </c>
      <c r="E1333">
        <v>6228</v>
      </c>
      <c r="F1333">
        <v>6411</v>
      </c>
      <c r="G1333">
        <v>20</v>
      </c>
      <c r="H1333">
        <v>-183</v>
      </c>
      <c r="I1333" s="2">
        <f>sa_retail_sales[[#This Row],[Profit]] / sa_retail_sales[[#This Row],[Revenue]]</f>
        <v>-2.9383429672447014E-2</v>
      </c>
      <c r="J1333">
        <f xml:space="preserve"> YEAR(sa_retail_sales[[#This Row],[Order Date]])</f>
        <v>2024</v>
      </c>
    </row>
    <row r="1334" spans="1:10" x14ac:dyDescent="0.3">
      <c r="A1334" s="1">
        <v>45517</v>
      </c>
      <c r="B1334" t="s">
        <v>11</v>
      </c>
      <c r="C1334" t="s">
        <v>14</v>
      </c>
      <c r="D1334" t="s">
        <v>10</v>
      </c>
      <c r="E1334">
        <v>13416</v>
      </c>
      <c r="F1334">
        <v>9791</v>
      </c>
      <c r="G1334">
        <v>20</v>
      </c>
      <c r="H1334">
        <v>3625</v>
      </c>
      <c r="I1334" s="2">
        <f>sa_retail_sales[[#This Row],[Profit]] / sa_retail_sales[[#This Row],[Revenue]]</f>
        <v>0.27019976147883124</v>
      </c>
      <c r="J1334">
        <f xml:space="preserve"> YEAR(sa_retail_sales[[#This Row],[Order Date]])</f>
        <v>2024</v>
      </c>
    </row>
    <row r="1335" spans="1:10" x14ac:dyDescent="0.3">
      <c r="A1335" s="1">
        <v>45287</v>
      </c>
      <c r="B1335" t="s">
        <v>18</v>
      </c>
      <c r="C1335" t="s">
        <v>16</v>
      </c>
      <c r="D1335" t="s">
        <v>12</v>
      </c>
      <c r="E1335">
        <v>11962</v>
      </c>
      <c r="F1335">
        <v>2638</v>
      </c>
      <c r="G1335">
        <v>0</v>
      </c>
      <c r="H1335">
        <v>9324</v>
      </c>
      <c r="I1335" s="2">
        <f>sa_retail_sales[[#This Row],[Profit]] / sa_retail_sales[[#This Row],[Revenue]]</f>
        <v>0.77946831633506097</v>
      </c>
      <c r="J1335">
        <f xml:space="preserve"> YEAR(sa_retail_sales[[#This Row],[Order Date]])</f>
        <v>2023</v>
      </c>
    </row>
    <row r="1336" spans="1:10" x14ac:dyDescent="0.3">
      <c r="A1336" s="1">
        <v>45575</v>
      </c>
      <c r="B1336" t="s">
        <v>18</v>
      </c>
      <c r="C1336" t="s">
        <v>14</v>
      </c>
      <c r="D1336" t="s">
        <v>19</v>
      </c>
      <c r="E1336">
        <v>9177</v>
      </c>
      <c r="F1336">
        <v>9568</v>
      </c>
      <c r="G1336">
        <v>20</v>
      </c>
      <c r="H1336">
        <v>-391</v>
      </c>
      <c r="I1336" s="2">
        <f>sa_retail_sales[[#This Row],[Profit]] / sa_retail_sales[[#This Row],[Revenue]]</f>
        <v>-4.2606516290726815E-2</v>
      </c>
      <c r="J1336">
        <f xml:space="preserve"> YEAR(sa_retail_sales[[#This Row],[Order Date]])</f>
        <v>2024</v>
      </c>
    </row>
    <row r="1337" spans="1:10" x14ac:dyDescent="0.3">
      <c r="A1337" s="1">
        <v>45062</v>
      </c>
      <c r="B1337" t="s">
        <v>17</v>
      </c>
      <c r="C1337" t="s">
        <v>16</v>
      </c>
      <c r="D1337" t="s">
        <v>12</v>
      </c>
      <c r="E1337">
        <v>8891</v>
      </c>
      <c r="F1337">
        <v>4058</v>
      </c>
      <c r="G1337">
        <v>10</v>
      </c>
      <c r="H1337">
        <v>4833</v>
      </c>
      <c r="I1337" s="2">
        <f>sa_retail_sales[[#This Row],[Profit]] / sa_retail_sales[[#This Row],[Revenue]]</f>
        <v>0.54358339894275109</v>
      </c>
      <c r="J1337">
        <f xml:space="preserve"> YEAR(sa_retail_sales[[#This Row],[Order Date]])</f>
        <v>2023</v>
      </c>
    </row>
    <row r="1338" spans="1:10" x14ac:dyDescent="0.3">
      <c r="A1338" s="1">
        <v>44678</v>
      </c>
      <c r="B1338" t="s">
        <v>17</v>
      </c>
      <c r="C1338" t="s">
        <v>16</v>
      </c>
      <c r="D1338" t="s">
        <v>15</v>
      </c>
      <c r="E1338">
        <v>13158</v>
      </c>
      <c r="F1338">
        <v>11673</v>
      </c>
      <c r="G1338">
        <v>20</v>
      </c>
      <c r="H1338">
        <v>1485</v>
      </c>
      <c r="I1338" s="2">
        <f>sa_retail_sales[[#This Row],[Profit]] / sa_retail_sales[[#This Row],[Revenue]]</f>
        <v>0.11285909712722299</v>
      </c>
      <c r="J1338">
        <f xml:space="preserve"> YEAR(sa_retail_sales[[#This Row],[Order Date]])</f>
        <v>2022</v>
      </c>
    </row>
    <row r="1339" spans="1:10" x14ac:dyDescent="0.3">
      <c r="A1339" s="1">
        <v>44947</v>
      </c>
      <c r="B1339" t="s">
        <v>18</v>
      </c>
      <c r="C1339" t="s">
        <v>14</v>
      </c>
      <c r="D1339" t="s">
        <v>15</v>
      </c>
      <c r="E1339">
        <v>13801</v>
      </c>
      <c r="F1339">
        <v>5110</v>
      </c>
      <c r="G1339">
        <v>0</v>
      </c>
      <c r="H1339">
        <v>8691</v>
      </c>
      <c r="I1339" s="2">
        <f>sa_retail_sales[[#This Row],[Profit]] / sa_retail_sales[[#This Row],[Revenue]]</f>
        <v>0.62973697558147956</v>
      </c>
      <c r="J1339">
        <f xml:space="preserve"> YEAR(sa_retail_sales[[#This Row],[Order Date]])</f>
        <v>2023</v>
      </c>
    </row>
    <row r="1340" spans="1:10" x14ac:dyDescent="0.3">
      <c r="A1340" s="1">
        <v>45145</v>
      </c>
      <c r="B1340" t="s">
        <v>17</v>
      </c>
      <c r="C1340" t="s">
        <v>14</v>
      </c>
      <c r="D1340" t="s">
        <v>15</v>
      </c>
      <c r="E1340">
        <v>2482</v>
      </c>
      <c r="F1340">
        <v>9439</v>
      </c>
      <c r="G1340">
        <v>15</v>
      </c>
      <c r="H1340">
        <v>-6957</v>
      </c>
      <c r="I1340" s="2">
        <f>sa_retail_sales[[#This Row],[Profit]] / sa_retail_sales[[#This Row],[Revenue]]</f>
        <v>-2.8029814665592263</v>
      </c>
      <c r="J1340">
        <f xml:space="preserve"> YEAR(sa_retail_sales[[#This Row],[Order Date]])</f>
        <v>2023</v>
      </c>
    </row>
    <row r="1341" spans="1:10" x14ac:dyDescent="0.3">
      <c r="A1341" s="1">
        <v>44956</v>
      </c>
      <c r="B1341" t="s">
        <v>17</v>
      </c>
      <c r="C1341" t="s">
        <v>16</v>
      </c>
      <c r="D1341" t="s">
        <v>10</v>
      </c>
      <c r="E1341">
        <v>7496</v>
      </c>
      <c r="F1341">
        <v>7091</v>
      </c>
      <c r="G1341">
        <v>20</v>
      </c>
      <c r="H1341">
        <v>405</v>
      </c>
      <c r="I1341" s="2">
        <f>sa_retail_sales[[#This Row],[Profit]] / sa_retail_sales[[#This Row],[Revenue]]</f>
        <v>5.402881536819637E-2</v>
      </c>
      <c r="J1341">
        <f xml:space="preserve"> YEAR(sa_retail_sales[[#This Row],[Order Date]])</f>
        <v>2023</v>
      </c>
    </row>
    <row r="1342" spans="1:10" x14ac:dyDescent="0.3">
      <c r="A1342" s="1">
        <v>45649</v>
      </c>
      <c r="B1342" t="s">
        <v>18</v>
      </c>
      <c r="C1342" t="s">
        <v>13</v>
      </c>
      <c r="D1342" t="s">
        <v>10</v>
      </c>
      <c r="E1342">
        <v>10163</v>
      </c>
      <c r="F1342">
        <v>7471</v>
      </c>
      <c r="G1342">
        <v>10</v>
      </c>
      <c r="H1342">
        <v>2692</v>
      </c>
      <c r="I1342" s="2">
        <f>sa_retail_sales[[#This Row],[Profit]] / sa_retail_sales[[#This Row],[Revenue]]</f>
        <v>0.26488241660926892</v>
      </c>
      <c r="J1342">
        <f xml:space="preserve"> YEAR(sa_retail_sales[[#This Row],[Order Date]])</f>
        <v>2024</v>
      </c>
    </row>
    <row r="1343" spans="1:10" x14ac:dyDescent="0.3">
      <c r="A1343" s="1">
        <v>45282</v>
      </c>
      <c r="B1343" t="s">
        <v>11</v>
      </c>
      <c r="C1343" t="s">
        <v>13</v>
      </c>
      <c r="D1343" t="s">
        <v>10</v>
      </c>
      <c r="E1343">
        <v>13035</v>
      </c>
      <c r="F1343">
        <v>3031</v>
      </c>
      <c r="G1343">
        <v>15</v>
      </c>
      <c r="H1343">
        <v>10004</v>
      </c>
      <c r="I1343" s="2">
        <f>sa_retail_sales[[#This Row],[Profit]] / sa_retail_sales[[#This Row],[Revenue]]</f>
        <v>0.76747219025700042</v>
      </c>
      <c r="J1343">
        <f xml:space="preserve"> YEAR(sa_retail_sales[[#This Row],[Order Date]])</f>
        <v>2023</v>
      </c>
    </row>
    <row r="1344" spans="1:10" x14ac:dyDescent="0.3">
      <c r="A1344" s="1">
        <v>44633</v>
      </c>
      <c r="B1344" t="s">
        <v>18</v>
      </c>
      <c r="C1344" t="s">
        <v>14</v>
      </c>
      <c r="D1344" t="s">
        <v>19</v>
      </c>
      <c r="E1344">
        <v>13575</v>
      </c>
      <c r="F1344">
        <v>1169</v>
      </c>
      <c r="G1344">
        <v>10</v>
      </c>
      <c r="H1344">
        <v>12406</v>
      </c>
      <c r="I1344" s="2">
        <f>sa_retail_sales[[#This Row],[Profit]] / sa_retail_sales[[#This Row],[Revenue]]</f>
        <v>0.91388581952117864</v>
      </c>
      <c r="J1344">
        <f xml:space="preserve"> YEAR(sa_retail_sales[[#This Row],[Order Date]])</f>
        <v>2022</v>
      </c>
    </row>
    <row r="1345" spans="1:10" x14ac:dyDescent="0.3">
      <c r="A1345" s="1">
        <v>44835</v>
      </c>
      <c r="B1345" t="s">
        <v>17</v>
      </c>
      <c r="C1345" t="s">
        <v>9</v>
      </c>
      <c r="D1345" t="s">
        <v>12</v>
      </c>
      <c r="E1345">
        <v>2811</v>
      </c>
      <c r="F1345">
        <v>5466</v>
      </c>
      <c r="G1345">
        <v>15</v>
      </c>
      <c r="H1345">
        <v>-2655</v>
      </c>
      <c r="I1345" s="2">
        <f>sa_retail_sales[[#This Row],[Profit]] / sa_retail_sales[[#This Row],[Revenue]]</f>
        <v>-0.94450373532550691</v>
      </c>
      <c r="J1345">
        <f xml:space="preserve"> YEAR(sa_retail_sales[[#This Row],[Order Date]])</f>
        <v>2022</v>
      </c>
    </row>
    <row r="1346" spans="1:10" x14ac:dyDescent="0.3">
      <c r="A1346" s="1">
        <v>44899</v>
      </c>
      <c r="B1346" t="s">
        <v>11</v>
      </c>
      <c r="C1346" t="s">
        <v>13</v>
      </c>
      <c r="D1346" t="s">
        <v>10</v>
      </c>
      <c r="E1346">
        <v>7725</v>
      </c>
      <c r="F1346">
        <v>393</v>
      </c>
      <c r="G1346">
        <v>10</v>
      </c>
      <c r="H1346">
        <v>7332</v>
      </c>
      <c r="I1346" s="2">
        <f>sa_retail_sales[[#This Row],[Profit]] / sa_retail_sales[[#This Row],[Revenue]]</f>
        <v>0.94912621359223304</v>
      </c>
      <c r="J1346">
        <f xml:space="preserve"> YEAR(sa_retail_sales[[#This Row],[Order Date]])</f>
        <v>2022</v>
      </c>
    </row>
    <row r="1347" spans="1:10" x14ac:dyDescent="0.3">
      <c r="A1347" s="1">
        <v>45168</v>
      </c>
      <c r="B1347" t="s">
        <v>8</v>
      </c>
      <c r="C1347" t="s">
        <v>14</v>
      </c>
      <c r="D1347" t="s">
        <v>12</v>
      </c>
      <c r="E1347">
        <v>12065</v>
      </c>
      <c r="F1347">
        <v>3287</v>
      </c>
      <c r="G1347">
        <v>20</v>
      </c>
      <c r="H1347">
        <v>8778</v>
      </c>
      <c r="I1347" s="2">
        <f>sa_retail_sales[[#This Row],[Profit]] / sa_retail_sales[[#This Row],[Revenue]]</f>
        <v>0.72755905511811025</v>
      </c>
      <c r="J1347">
        <f xml:space="preserve"> YEAR(sa_retail_sales[[#This Row],[Order Date]])</f>
        <v>2023</v>
      </c>
    </row>
    <row r="1348" spans="1:10" x14ac:dyDescent="0.3">
      <c r="A1348" s="1">
        <v>44727</v>
      </c>
      <c r="B1348" t="s">
        <v>11</v>
      </c>
      <c r="C1348" t="s">
        <v>13</v>
      </c>
      <c r="D1348" t="s">
        <v>12</v>
      </c>
      <c r="E1348">
        <v>10770</v>
      </c>
      <c r="F1348">
        <v>10267</v>
      </c>
      <c r="G1348">
        <v>20</v>
      </c>
      <c r="H1348">
        <v>503</v>
      </c>
      <c r="I1348" s="2">
        <f>sa_retail_sales[[#This Row],[Profit]] / sa_retail_sales[[#This Row],[Revenue]]</f>
        <v>4.6703806870937788E-2</v>
      </c>
      <c r="J1348">
        <f xml:space="preserve"> YEAR(sa_retail_sales[[#This Row],[Order Date]])</f>
        <v>2022</v>
      </c>
    </row>
    <row r="1349" spans="1:10" x14ac:dyDescent="0.3">
      <c r="A1349" s="1">
        <v>44572</v>
      </c>
      <c r="B1349" t="s">
        <v>17</v>
      </c>
      <c r="C1349" t="s">
        <v>9</v>
      </c>
      <c r="D1349" t="s">
        <v>12</v>
      </c>
      <c r="E1349">
        <v>10213</v>
      </c>
      <c r="F1349">
        <v>10752</v>
      </c>
      <c r="G1349">
        <v>0</v>
      </c>
      <c r="H1349">
        <v>-539</v>
      </c>
      <c r="I1349" s="2">
        <f>sa_retail_sales[[#This Row],[Profit]] / sa_retail_sales[[#This Row],[Revenue]]</f>
        <v>-5.2775873886223443E-2</v>
      </c>
      <c r="J1349">
        <f xml:space="preserve"> YEAR(sa_retail_sales[[#This Row],[Order Date]])</f>
        <v>2022</v>
      </c>
    </row>
    <row r="1350" spans="1:10" x14ac:dyDescent="0.3">
      <c r="A1350" s="1">
        <v>45290</v>
      </c>
      <c r="B1350" t="s">
        <v>11</v>
      </c>
      <c r="C1350" t="s">
        <v>14</v>
      </c>
      <c r="D1350" t="s">
        <v>19</v>
      </c>
      <c r="E1350">
        <v>14060</v>
      </c>
      <c r="F1350">
        <v>8927</v>
      </c>
      <c r="G1350">
        <v>15</v>
      </c>
      <c r="H1350">
        <v>5133</v>
      </c>
      <c r="I1350" s="2">
        <f>sa_retail_sales[[#This Row],[Profit]] / sa_retail_sales[[#This Row],[Revenue]]</f>
        <v>0.36507823613086771</v>
      </c>
      <c r="J1350">
        <f xml:space="preserve"> YEAR(sa_retail_sales[[#This Row],[Order Date]])</f>
        <v>2023</v>
      </c>
    </row>
    <row r="1351" spans="1:10" x14ac:dyDescent="0.3">
      <c r="A1351" s="1">
        <v>45362</v>
      </c>
      <c r="B1351" t="s">
        <v>18</v>
      </c>
      <c r="C1351" t="s">
        <v>9</v>
      </c>
      <c r="D1351" t="s">
        <v>19</v>
      </c>
      <c r="E1351">
        <v>1104</v>
      </c>
      <c r="F1351">
        <v>5247</v>
      </c>
      <c r="G1351">
        <v>0</v>
      </c>
      <c r="H1351">
        <v>-4143</v>
      </c>
      <c r="I1351" s="2">
        <f>sa_retail_sales[[#This Row],[Profit]] / sa_retail_sales[[#This Row],[Revenue]]</f>
        <v>-3.7527173913043477</v>
      </c>
      <c r="J1351">
        <f xml:space="preserve"> YEAR(sa_retail_sales[[#This Row],[Order Date]])</f>
        <v>2024</v>
      </c>
    </row>
    <row r="1352" spans="1:10" x14ac:dyDescent="0.3">
      <c r="A1352" s="1">
        <v>44663</v>
      </c>
      <c r="B1352" t="s">
        <v>8</v>
      </c>
      <c r="C1352" t="s">
        <v>14</v>
      </c>
      <c r="D1352" t="s">
        <v>15</v>
      </c>
      <c r="E1352">
        <v>8675</v>
      </c>
      <c r="F1352">
        <v>6951</v>
      </c>
      <c r="G1352">
        <v>5</v>
      </c>
      <c r="H1352">
        <v>1724</v>
      </c>
      <c r="I1352" s="2">
        <f>sa_retail_sales[[#This Row],[Profit]] / sa_retail_sales[[#This Row],[Revenue]]</f>
        <v>0.19873198847262247</v>
      </c>
      <c r="J1352">
        <f xml:space="preserve"> YEAR(sa_retail_sales[[#This Row],[Order Date]])</f>
        <v>2022</v>
      </c>
    </row>
    <row r="1353" spans="1:10" x14ac:dyDescent="0.3">
      <c r="A1353" s="1">
        <v>45340</v>
      </c>
      <c r="B1353" t="s">
        <v>8</v>
      </c>
      <c r="C1353" t="s">
        <v>9</v>
      </c>
      <c r="D1353" t="s">
        <v>15</v>
      </c>
      <c r="E1353">
        <v>12540</v>
      </c>
      <c r="F1353">
        <v>7279</v>
      </c>
      <c r="G1353">
        <v>20</v>
      </c>
      <c r="H1353">
        <v>5261</v>
      </c>
      <c r="I1353" s="2">
        <f>sa_retail_sales[[#This Row],[Profit]] / sa_retail_sales[[#This Row],[Revenue]]</f>
        <v>0.41953748006379588</v>
      </c>
      <c r="J1353">
        <f xml:space="preserve"> YEAR(sa_retail_sales[[#This Row],[Order Date]])</f>
        <v>2024</v>
      </c>
    </row>
    <row r="1354" spans="1:10" x14ac:dyDescent="0.3">
      <c r="A1354" s="1">
        <v>44775</v>
      </c>
      <c r="B1354" t="s">
        <v>8</v>
      </c>
      <c r="C1354" t="s">
        <v>13</v>
      </c>
      <c r="D1354" t="s">
        <v>12</v>
      </c>
      <c r="E1354">
        <v>12034</v>
      </c>
      <c r="F1354">
        <v>7094</v>
      </c>
      <c r="G1354">
        <v>15</v>
      </c>
      <c r="H1354">
        <v>4940</v>
      </c>
      <c r="I1354" s="2">
        <f>sa_retail_sales[[#This Row],[Profit]] / sa_retail_sales[[#This Row],[Revenue]]</f>
        <v>0.41050357320924047</v>
      </c>
      <c r="J1354">
        <f xml:space="preserve"> YEAR(sa_retail_sales[[#This Row],[Order Date]])</f>
        <v>2022</v>
      </c>
    </row>
    <row r="1355" spans="1:10" x14ac:dyDescent="0.3">
      <c r="A1355" s="1">
        <v>44962</v>
      </c>
      <c r="B1355" t="s">
        <v>17</v>
      </c>
      <c r="C1355" t="s">
        <v>13</v>
      </c>
      <c r="D1355" t="s">
        <v>15</v>
      </c>
      <c r="E1355">
        <v>6285</v>
      </c>
      <c r="F1355">
        <v>6824</v>
      </c>
      <c r="G1355">
        <v>0</v>
      </c>
      <c r="H1355">
        <v>-539</v>
      </c>
      <c r="I1355" s="2">
        <f>sa_retail_sales[[#This Row],[Profit]] / sa_retail_sales[[#This Row],[Revenue]]</f>
        <v>-8.5759745425616554E-2</v>
      </c>
      <c r="J1355">
        <f xml:space="preserve"> YEAR(sa_retail_sales[[#This Row],[Order Date]])</f>
        <v>2023</v>
      </c>
    </row>
    <row r="1356" spans="1:10" x14ac:dyDescent="0.3">
      <c r="A1356" s="1">
        <v>45149</v>
      </c>
      <c r="B1356" t="s">
        <v>17</v>
      </c>
      <c r="C1356" t="s">
        <v>9</v>
      </c>
      <c r="D1356" t="s">
        <v>12</v>
      </c>
      <c r="E1356">
        <v>10109</v>
      </c>
      <c r="F1356">
        <v>3444</v>
      </c>
      <c r="G1356">
        <v>0</v>
      </c>
      <c r="H1356">
        <v>6665</v>
      </c>
      <c r="I1356" s="2">
        <f>sa_retail_sales[[#This Row],[Profit]] / sa_retail_sales[[#This Row],[Revenue]]</f>
        <v>0.65931348303491943</v>
      </c>
      <c r="J1356">
        <f xml:space="preserve"> YEAR(sa_retail_sales[[#This Row],[Order Date]])</f>
        <v>2023</v>
      </c>
    </row>
    <row r="1357" spans="1:10" x14ac:dyDescent="0.3">
      <c r="A1357" s="1">
        <v>45450</v>
      </c>
      <c r="B1357" t="s">
        <v>8</v>
      </c>
      <c r="C1357" t="s">
        <v>9</v>
      </c>
      <c r="D1357" t="s">
        <v>19</v>
      </c>
      <c r="E1357">
        <v>14608</v>
      </c>
      <c r="F1357">
        <v>3887</v>
      </c>
      <c r="G1357">
        <v>5</v>
      </c>
      <c r="H1357">
        <v>10721</v>
      </c>
      <c r="I1357" s="2">
        <f>sa_retail_sales[[#This Row],[Profit]] / sa_retail_sales[[#This Row],[Revenue]]</f>
        <v>0.73391292442497258</v>
      </c>
      <c r="J1357">
        <f xml:space="preserve"> YEAR(sa_retail_sales[[#This Row],[Order Date]])</f>
        <v>2024</v>
      </c>
    </row>
    <row r="1358" spans="1:10" x14ac:dyDescent="0.3">
      <c r="A1358" s="1">
        <v>45631</v>
      </c>
      <c r="B1358" t="s">
        <v>11</v>
      </c>
      <c r="C1358" t="s">
        <v>9</v>
      </c>
      <c r="D1358" t="s">
        <v>19</v>
      </c>
      <c r="E1358">
        <v>5097</v>
      </c>
      <c r="F1358">
        <v>376</v>
      </c>
      <c r="G1358">
        <v>0</v>
      </c>
      <c r="H1358">
        <v>4721</v>
      </c>
      <c r="I1358" s="2">
        <f>sa_retail_sales[[#This Row],[Profit]] / sa_retail_sales[[#This Row],[Revenue]]</f>
        <v>0.92623111634294686</v>
      </c>
      <c r="J1358">
        <f xml:space="preserve"> YEAR(sa_retail_sales[[#This Row],[Order Date]])</f>
        <v>2024</v>
      </c>
    </row>
    <row r="1359" spans="1:10" x14ac:dyDescent="0.3">
      <c r="A1359" s="1">
        <v>45153</v>
      </c>
      <c r="B1359" t="s">
        <v>8</v>
      </c>
      <c r="C1359" t="s">
        <v>14</v>
      </c>
      <c r="D1359" t="s">
        <v>19</v>
      </c>
      <c r="E1359">
        <v>8259</v>
      </c>
      <c r="F1359">
        <v>9307</v>
      </c>
      <c r="G1359">
        <v>10</v>
      </c>
      <c r="H1359">
        <v>-1048</v>
      </c>
      <c r="I1359" s="2">
        <f>sa_retail_sales[[#This Row],[Profit]] / sa_retail_sales[[#This Row],[Revenue]]</f>
        <v>-0.12689187552972514</v>
      </c>
      <c r="J1359">
        <f xml:space="preserve"> YEAR(sa_retail_sales[[#This Row],[Order Date]])</f>
        <v>2023</v>
      </c>
    </row>
    <row r="1360" spans="1:10" x14ac:dyDescent="0.3">
      <c r="A1360" s="1">
        <v>44653</v>
      </c>
      <c r="B1360" t="s">
        <v>11</v>
      </c>
      <c r="C1360" t="s">
        <v>13</v>
      </c>
      <c r="D1360" t="s">
        <v>10</v>
      </c>
      <c r="E1360">
        <v>12567</v>
      </c>
      <c r="F1360">
        <v>9259</v>
      </c>
      <c r="G1360">
        <v>20</v>
      </c>
      <c r="H1360">
        <v>3308</v>
      </c>
      <c r="I1360" s="2">
        <f>sa_retail_sales[[#This Row],[Profit]] / sa_retail_sales[[#This Row],[Revenue]]</f>
        <v>0.26322909206652345</v>
      </c>
      <c r="J1360">
        <f xml:space="preserve"> YEAR(sa_retail_sales[[#This Row],[Order Date]])</f>
        <v>2022</v>
      </c>
    </row>
    <row r="1361" spans="1:10" x14ac:dyDescent="0.3">
      <c r="A1361" s="1">
        <v>45234</v>
      </c>
      <c r="B1361" t="s">
        <v>11</v>
      </c>
      <c r="C1361" t="s">
        <v>14</v>
      </c>
      <c r="D1361" t="s">
        <v>12</v>
      </c>
      <c r="E1361">
        <v>8032</v>
      </c>
      <c r="F1361">
        <v>6853</v>
      </c>
      <c r="G1361">
        <v>0</v>
      </c>
      <c r="H1361">
        <v>1179</v>
      </c>
      <c r="I1361" s="2">
        <f>sa_retail_sales[[#This Row],[Profit]] / sa_retail_sales[[#This Row],[Revenue]]</f>
        <v>0.1467878486055777</v>
      </c>
      <c r="J1361">
        <f xml:space="preserve"> YEAR(sa_retail_sales[[#This Row],[Order Date]])</f>
        <v>2023</v>
      </c>
    </row>
    <row r="1362" spans="1:10" x14ac:dyDescent="0.3">
      <c r="A1362" s="1">
        <v>45275</v>
      </c>
      <c r="B1362" t="s">
        <v>17</v>
      </c>
      <c r="C1362" t="s">
        <v>13</v>
      </c>
      <c r="D1362" t="s">
        <v>19</v>
      </c>
      <c r="E1362">
        <v>11625</v>
      </c>
      <c r="F1362">
        <v>8597</v>
      </c>
      <c r="G1362">
        <v>0</v>
      </c>
      <c r="H1362">
        <v>3028</v>
      </c>
      <c r="I1362" s="2">
        <f>sa_retail_sales[[#This Row],[Profit]] / sa_retail_sales[[#This Row],[Revenue]]</f>
        <v>0.26047311827956987</v>
      </c>
      <c r="J1362">
        <f xml:space="preserve"> YEAR(sa_retail_sales[[#This Row],[Order Date]])</f>
        <v>2023</v>
      </c>
    </row>
    <row r="1363" spans="1:10" x14ac:dyDescent="0.3">
      <c r="A1363" s="1">
        <v>45497</v>
      </c>
      <c r="B1363" t="s">
        <v>11</v>
      </c>
      <c r="C1363" t="s">
        <v>16</v>
      </c>
      <c r="D1363" t="s">
        <v>12</v>
      </c>
      <c r="E1363">
        <v>9240</v>
      </c>
      <c r="F1363">
        <v>6994</v>
      </c>
      <c r="G1363">
        <v>5</v>
      </c>
      <c r="H1363">
        <v>2246</v>
      </c>
      <c r="I1363" s="2">
        <f>sa_retail_sales[[#This Row],[Profit]] / sa_retail_sales[[#This Row],[Revenue]]</f>
        <v>0.24307359307359308</v>
      </c>
      <c r="J1363">
        <f xml:space="preserve"> YEAR(sa_retail_sales[[#This Row],[Order Date]])</f>
        <v>2024</v>
      </c>
    </row>
    <row r="1364" spans="1:10" x14ac:dyDescent="0.3">
      <c r="A1364" s="1">
        <v>44803</v>
      </c>
      <c r="B1364" t="s">
        <v>8</v>
      </c>
      <c r="C1364" t="s">
        <v>14</v>
      </c>
      <c r="D1364" t="s">
        <v>15</v>
      </c>
      <c r="E1364">
        <v>14153</v>
      </c>
      <c r="F1364">
        <v>3173</v>
      </c>
      <c r="G1364">
        <v>10</v>
      </c>
      <c r="H1364">
        <v>10980</v>
      </c>
      <c r="I1364" s="2">
        <f>sa_retail_sales[[#This Row],[Profit]] / sa_retail_sales[[#This Row],[Revenue]]</f>
        <v>0.77580724934642831</v>
      </c>
      <c r="J1364">
        <f xml:space="preserve"> YEAR(sa_retail_sales[[#This Row],[Order Date]])</f>
        <v>2022</v>
      </c>
    </row>
    <row r="1365" spans="1:10" x14ac:dyDescent="0.3">
      <c r="A1365" s="1">
        <v>44563</v>
      </c>
      <c r="B1365" t="s">
        <v>17</v>
      </c>
      <c r="C1365" t="s">
        <v>13</v>
      </c>
      <c r="D1365" t="s">
        <v>15</v>
      </c>
      <c r="E1365">
        <v>1338</v>
      </c>
      <c r="F1365">
        <v>3646</v>
      </c>
      <c r="G1365">
        <v>0</v>
      </c>
      <c r="H1365">
        <v>-2308</v>
      </c>
      <c r="I1365" s="2">
        <f>sa_retail_sales[[#This Row],[Profit]] / sa_retail_sales[[#This Row],[Revenue]]</f>
        <v>-1.7249626307922272</v>
      </c>
      <c r="J1365">
        <f xml:space="preserve"> YEAR(sa_retail_sales[[#This Row],[Order Date]])</f>
        <v>2022</v>
      </c>
    </row>
    <row r="1366" spans="1:10" x14ac:dyDescent="0.3">
      <c r="A1366" s="1">
        <v>44786</v>
      </c>
      <c r="B1366" t="s">
        <v>18</v>
      </c>
      <c r="C1366" t="s">
        <v>13</v>
      </c>
      <c r="D1366" t="s">
        <v>19</v>
      </c>
      <c r="E1366">
        <v>14218</v>
      </c>
      <c r="F1366">
        <v>7324</v>
      </c>
      <c r="G1366">
        <v>20</v>
      </c>
      <c r="H1366">
        <v>6894</v>
      </c>
      <c r="I1366" s="2">
        <f>sa_retail_sales[[#This Row],[Profit]] / sa_retail_sales[[#This Row],[Revenue]]</f>
        <v>0.48487832325221553</v>
      </c>
      <c r="J1366">
        <f xml:space="preserve"> YEAR(sa_retail_sales[[#This Row],[Order Date]])</f>
        <v>2022</v>
      </c>
    </row>
    <row r="1367" spans="1:10" x14ac:dyDescent="0.3">
      <c r="A1367" s="1">
        <v>45362</v>
      </c>
      <c r="B1367" t="s">
        <v>18</v>
      </c>
      <c r="C1367" t="s">
        <v>14</v>
      </c>
      <c r="D1367" t="s">
        <v>12</v>
      </c>
      <c r="E1367">
        <v>14236</v>
      </c>
      <c r="F1367">
        <v>3448</v>
      </c>
      <c r="G1367">
        <v>20</v>
      </c>
      <c r="H1367">
        <v>10788</v>
      </c>
      <c r="I1367" s="2">
        <f>sa_retail_sales[[#This Row],[Profit]] / sa_retail_sales[[#This Row],[Revenue]]</f>
        <v>0.75779713402641191</v>
      </c>
      <c r="J1367">
        <f xml:space="preserve"> YEAR(sa_retail_sales[[#This Row],[Order Date]])</f>
        <v>2024</v>
      </c>
    </row>
    <row r="1368" spans="1:10" x14ac:dyDescent="0.3">
      <c r="A1368" s="1">
        <v>45150</v>
      </c>
      <c r="B1368" t="s">
        <v>17</v>
      </c>
      <c r="C1368" t="s">
        <v>14</v>
      </c>
      <c r="D1368" t="s">
        <v>19</v>
      </c>
      <c r="E1368">
        <v>4315</v>
      </c>
      <c r="F1368">
        <v>11640</v>
      </c>
      <c r="G1368">
        <v>0</v>
      </c>
      <c r="H1368">
        <v>-7325</v>
      </c>
      <c r="I1368" s="2">
        <f>sa_retail_sales[[#This Row],[Profit]] / sa_retail_sales[[#This Row],[Revenue]]</f>
        <v>-1.697566628041715</v>
      </c>
      <c r="J1368">
        <f xml:space="preserve"> YEAR(sa_retail_sales[[#This Row],[Order Date]])</f>
        <v>2023</v>
      </c>
    </row>
    <row r="1369" spans="1:10" x14ac:dyDescent="0.3">
      <c r="A1369" s="1">
        <v>44677</v>
      </c>
      <c r="B1369" t="s">
        <v>8</v>
      </c>
      <c r="C1369" t="s">
        <v>13</v>
      </c>
      <c r="D1369" t="s">
        <v>15</v>
      </c>
      <c r="E1369">
        <v>1347</v>
      </c>
      <c r="F1369">
        <v>9957</v>
      </c>
      <c r="G1369">
        <v>10</v>
      </c>
      <c r="H1369">
        <v>-8610</v>
      </c>
      <c r="I1369" s="2">
        <f>sa_retail_sales[[#This Row],[Profit]] / sa_retail_sales[[#This Row],[Revenue]]</f>
        <v>-6.3919821826280625</v>
      </c>
      <c r="J1369">
        <f xml:space="preserve"> YEAR(sa_retail_sales[[#This Row],[Order Date]])</f>
        <v>2022</v>
      </c>
    </row>
    <row r="1370" spans="1:10" x14ac:dyDescent="0.3">
      <c r="A1370" s="1">
        <v>45479</v>
      </c>
      <c r="B1370" t="s">
        <v>18</v>
      </c>
      <c r="C1370" t="s">
        <v>14</v>
      </c>
      <c r="D1370" t="s">
        <v>19</v>
      </c>
      <c r="E1370">
        <v>5209</v>
      </c>
      <c r="F1370">
        <v>11079</v>
      </c>
      <c r="G1370">
        <v>20</v>
      </c>
      <c r="H1370">
        <v>-5870</v>
      </c>
      <c r="I1370" s="2">
        <f>sa_retail_sales[[#This Row],[Profit]] / sa_retail_sales[[#This Row],[Revenue]]</f>
        <v>-1.12689575734306</v>
      </c>
      <c r="J1370">
        <f xml:space="preserve"> YEAR(sa_retail_sales[[#This Row],[Order Date]])</f>
        <v>2024</v>
      </c>
    </row>
    <row r="1371" spans="1:10" x14ac:dyDescent="0.3">
      <c r="A1371" s="1">
        <v>44755</v>
      </c>
      <c r="B1371" t="s">
        <v>18</v>
      </c>
      <c r="C1371" t="s">
        <v>9</v>
      </c>
      <c r="D1371" t="s">
        <v>12</v>
      </c>
      <c r="E1371">
        <v>5007</v>
      </c>
      <c r="F1371">
        <v>544</v>
      </c>
      <c r="G1371">
        <v>20</v>
      </c>
      <c r="H1371">
        <v>4463</v>
      </c>
      <c r="I1371" s="2">
        <f>sa_retail_sales[[#This Row],[Profit]] / sa_retail_sales[[#This Row],[Revenue]]</f>
        <v>0.89135210705012979</v>
      </c>
      <c r="J1371">
        <f xml:space="preserve"> YEAR(sa_retail_sales[[#This Row],[Order Date]])</f>
        <v>2022</v>
      </c>
    </row>
    <row r="1372" spans="1:10" x14ac:dyDescent="0.3">
      <c r="A1372" s="1">
        <v>45432</v>
      </c>
      <c r="B1372" t="s">
        <v>11</v>
      </c>
      <c r="C1372" t="s">
        <v>14</v>
      </c>
      <c r="D1372" t="s">
        <v>15</v>
      </c>
      <c r="E1372">
        <v>7075</v>
      </c>
      <c r="F1372">
        <v>2925</v>
      </c>
      <c r="G1372">
        <v>10</v>
      </c>
      <c r="H1372">
        <v>4150</v>
      </c>
      <c r="I1372" s="2">
        <f>sa_retail_sales[[#This Row],[Profit]] / sa_retail_sales[[#This Row],[Revenue]]</f>
        <v>0.58657243816254412</v>
      </c>
      <c r="J1372">
        <f xml:space="preserve"> YEAR(sa_retail_sales[[#This Row],[Order Date]])</f>
        <v>2024</v>
      </c>
    </row>
    <row r="1373" spans="1:10" x14ac:dyDescent="0.3">
      <c r="A1373" s="1">
        <v>44651</v>
      </c>
      <c r="B1373" t="s">
        <v>11</v>
      </c>
      <c r="C1373" t="s">
        <v>14</v>
      </c>
      <c r="D1373" t="s">
        <v>10</v>
      </c>
      <c r="E1373">
        <v>5273</v>
      </c>
      <c r="F1373">
        <v>4149</v>
      </c>
      <c r="G1373">
        <v>10</v>
      </c>
      <c r="H1373">
        <v>1124</v>
      </c>
      <c r="I1373" s="2">
        <f>sa_retail_sales[[#This Row],[Profit]] / sa_retail_sales[[#This Row],[Revenue]]</f>
        <v>0.21316138820405842</v>
      </c>
      <c r="J1373">
        <f xml:space="preserve"> YEAR(sa_retail_sales[[#This Row],[Order Date]])</f>
        <v>2022</v>
      </c>
    </row>
    <row r="1374" spans="1:10" x14ac:dyDescent="0.3">
      <c r="A1374" s="1">
        <v>44683</v>
      </c>
      <c r="B1374" t="s">
        <v>8</v>
      </c>
      <c r="C1374" t="s">
        <v>14</v>
      </c>
      <c r="D1374" t="s">
        <v>15</v>
      </c>
      <c r="E1374">
        <v>12946</v>
      </c>
      <c r="F1374">
        <v>9897</v>
      </c>
      <c r="G1374">
        <v>0</v>
      </c>
      <c r="H1374">
        <v>3049</v>
      </c>
      <c r="I1374" s="2">
        <f>sa_retail_sales[[#This Row],[Profit]] / sa_retail_sales[[#This Row],[Revenue]]</f>
        <v>0.23551676193418816</v>
      </c>
      <c r="J1374">
        <f xml:space="preserve"> YEAR(sa_retail_sales[[#This Row],[Order Date]])</f>
        <v>2022</v>
      </c>
    </row>
    <row r="1375" spans="1:10" x14ac:dyDescent="0.3">
      <c r="A1375" s="1">
        <v>44704</v>
      </c>
      <c r="B1375" t="s">
        <v>17</v>
      </c>
      <c r="C1375" t="s">
        <v>13</v>
      </c>
      <c r="D1375" t="s">
        <v>10</v>
      </c>
      <c r="E1375">
        <v>14849</v>
      </c>
      <c r="F1375">
        <v>9473</v>
      </c>
      <c r="G1375">
        <v>15</v>
      </c>
      <c r="H1375">
        <v>5376</v>
      </c>
      <c r="I1375" s="2">
        <f>sa_retail_sales[[#This Row],[Profit]] / sa_retail_sales[[#This Row],[Revenue]]</f>
        <v>0.36204458212674256</v>
      </c>
      <c r="J1375">
        <f xml:space="preserve"> YEAR(sa_retail_sales[[#This Row],[Order Date]])</f>
        <v>2022</v>
      </c>
    </row>
    <row r="1376" spans="1:10" x14ac:dyDescent="0.3">
      <c r="A1376" s="1">
        <v>45555</v>
      </c>
      <c r="B1376" t="s">
        <v>8</v>
      </c>
      <c r="C1376" t="s">
        <v>9</v>
      </c>
      <c r="D1376" t="s">
        <v>19</v>
      </c>
      <c r="E1376">
        <v>4968</v>
      </c>
      <c r="F1376">
        <v>8037</v>
      </c>
      <c r="G1376">
        <v>5</v>
      </c>
      <c r="H1376">
        <v>-3069</v>
      </c>
      <c r="I1376" s="2">
        <f>sa_retail_sales[[#This Row],[Profit]] / sa_retail_sales[[#This Row],[Revenue]]</f>
        <v>-0.61775362318840576</v>
      </c>
      <c r="J1376">
        <f xml:space="preserve"> YEAR(sa_retail_sales[[#This Row],[Order Date]])</f>
        <v>2024</v>
      </c>
    </row>
    <row r="1377" spans="1:10" x14ac:dyDescent="0.3">
      <c r="A1377" s="1">
        <v>44667</v>
      </c>
      <c r="B1377" t="s">
        <v>17</v>
      </c>
      <c r="C1377" t="s">
        <v>16</v>
      </c>
      <c r="D1377" t="s">
        <v>19</v>
      </c>
      <c r="E1377">
        <v>10964</v>
      </c>
      <c r="F1377">
        <v>8633</v>
      </c>
      <c r="G1377">
        <v>15</v>
      </c>
      <c r="H1377">
        <v>2331</v>
      </c>
      <c r="I1377" s="2">
        <f>sa_retail_sales[[#This Row],[Profit]] / sa_retail_sales[[#This Row],[Revenue]]</f>
        <v>0.21260488872674208</v>
      </c>
      <c r="J1377">
        <f xml:space="preserve"> YEAR(sa_retail_sales[[#This Row],[Order Date]])</f>
        <v>2022</v>
      </c>
    </row>
    <row r="1378" spans="1:10" x14ac:dyDescent="0.3">
      <c r="A1378" s="1">
        <v>45448</v>
      </c>
      <c r="B1378" t="s">
        <v>18</v>
      </c>
      <c r="C1378" t="s">
        <v>16</v>
      </c>
      <c r="D1378" t="s">
        <v>12</v>
      </c>
      <c r="E1378">
        <v>5692</v>
      </c>
      <c r="F1378">
        <v>1192</v>
      </c>
      <c r="G1378">
        <v>15</v>
      </c>
      <c r="H1378">
        <v>4500</v>
      </c>
      <c r="I1378" s="2">
        <f>sa_retail_sales[[#This Row],[Profit]] / sa_retail_sales[[#This Row],[Revenue]]</f>
        <v>0.79058327477160928</v>
      </c>
      <c r="J1378">
        <f xml:space="preserve"> YEAR(sa_retail_sales[[#This Row],[Order Date]])</f>
        <v>2024</v>
      </c>
    </row>
    <row r="1379" spans="1:10" x14ac:dyDescent="0.3">
      <c r="A1379" s="1">
        <v>44989</v>
      </c>
      <c r="B1379" t="s">
        <v>11</v>
      </c>
      <c r="C1379" t="s">
        <v>9</v>
      </c>
      <c r="D1379" t="s">
        <v>10</v>
      </c>
      <c r="E1379">
        <v>3820</v>
      </c>
      <c r="F1379">
        <v>5787</v>
      </c>
      <c r="G1379">
        <v>20</v>
      </c>
      <c r="H1379">
        <v>-1967</v>
      </c>
      <c r="I1379" s="2">
        <f>sa_retail_sales[[#This Row],[Profit]] / sa_retail_sales[[#This Row],[Revenue]]</f>
        <v>-0.51492146596858634</v>
      </c>
      <c r="J1379">
        <f xml:space="preserve"> YEAR(sa_retail_sales[[#This Row],[Order Date]])</f>
        <v>2023</v>
      </c>
    </row>
    <row r="1380" spans="1:10" x14ac:dyDescent="0.3">
      <c r="A1380" s="1">
        <v>44878</v>
      </c>
      <c r="B1380" t="s">
        <v>8</v>
      </c>
      <c r="C1380" t="s">
        <v>9</v>
      </c>
      <c r="D1380" t="s">
        <v>19</v>
      </c>
      <c r="E1380">
        <v>11250</v>
      </c>
      <c r="F1380">
        <v>7551</v>
      </c>
      <c r="G1380">
        <v>10</v>
      </c>
      <c r="H1380">
        <v>3699</v>
      </c>
      <c r="I1380" s="2">
        <f>sa_retail_sales[[#This Row],[Profit]] / sa_retail_sales[[#This Row],[Revenue]]</f>
        <v>0.32879999999999998</v>
      </c>
      <c r="J1380">
        <f xml:space="preserve"> YEAR(sa_retail_sales[[#This Row],[Order Date]])</f>
        <v>2022</v>
      </c>
    </row>
    <row r="1381" spans="1:10" x14ac:dyDescent="0.3">
      <c r="A1381" s="1">
        <v>45196</v>
      </c>
      <c r="B1381" t="s">
        <v>8</v>
      </c>
      <c r="C1381" t="s">
        <v>9</v>
      </c>
      <c r="D1381" t="s">
        <v>10</v>
      </c>
      <c r="E1381">
        <v>5198</v>
      </c>
      <c r="F1381">
        <v>7610</v>
      </c>
      <c r="G1381">
        <v>20</v>
      </c>
      <c r="H1381">
        <v>-2412</v>
      </c>
      <c r="I1381" s="2">
        <f>sa_retail_sales[[#This Row],[Profit]] / sa_retail_sales[[#This Row],[Revenue]]</f>
        <v>-0.46402462485571372</v>
      </c>
      <c r="J1381">
        <f xml:space="preserve"> YEAR(sa_retail_sales[[#This Row],[Order Date]])</f>
        <v>2023</v>
      </c>
    </row>
    <row r="1382" spans="1:10" x14ac:dyDescent="0.3">
      <c r="A1382" s="1">
        <v>44570</v>
      </c>
      <c r="B1382" t="s">
        <v>17</v>
      </c>
      <c r="C1382" t="s">
        <v>13</v>
      </c>
      <c r="D1382" t="s">
        <v>19</v>
      </c>
      <c r="E1382">
        <v>4811</v>
      </c>
      <c r="F1382">
        <v>2699</v>
      </c>
      <c r="G1382">
        <v>5</v>
      </c>
      <c r="H1382">
        <v>2112</v>
      </c>
      <c r="I1382" s="2">
        <f>sa_retail_sales[[#This Row],[Profit]] / sa_retail_sales[[#This Row],[Revenue]]</f>
        <v>0.43899397214716274</v>
      </c>
      <c r="J1382">
        <f xml:space="preserve"> YEAR(sa_retail_sales[[#This Row],[Order Date]])</f>
        <v>2022</v>
      </c>
    </row>
    <row r="1383" spans="1:10" x14ac:dyDescent="0.3">
      <c r="A1383" s="1">
        <v>45335</v>
      </c>
      <c r="B1383" t="s">
        <v>17</v>
      </c>
      <c r="C1383" t="s">
        <v>16</v>
      </c>
      <c r="D1383" t="s">
        <v>15</v>
      </c>
      <c r="E1383">
        <v>10688</v>
      </c>
      <c r="F1383">
        <v>4940</v>
      </c>
      <c r="G1383">
        <v>0</v>
      </c>
      <c r="H1383">
        <v>5748</v>
      </c>
      <c r="I1383" s="2">
        <f>sa_retail_sales[[#This Row],[Profit]] / sa_retail_sales[[#This Row],[Revenue]]</f>
        <v>0.53779940119760483</v>
      </c>
      <c r="J1383">
        <f xml:space="preserve"> YEAR(sa_retail_sales[[#This Row],[Order Date]])</f>
        <v>2024</v>
      </c>
    </row>
    <row r="1384" spans="1:10" x14ac:dyDescent="0.3">
      <c r="A1384" s="1">
        <v>44784</v>
      </c>
      <c r="B1384" t="s">
        <v>8</v>
      </c>
      <c r="C1384" t="s">
        <v>9</v>
      </c>
      <c r="D1384" t="s">
        <v>19</v>
      </c>
      <c r="E1384">
        <v>4173</v>
      </c>
      <c r="F1384">
        <v>3260</v>
      </c>
      <c r="G1384">
        <v>5</v>
      </c>
      <c r="H1384">
        <v>913</v>
      </c>
      <c r="I1384" s="2">
        <f>sa_retail_sales[[#This Row],[Profit]] / sa_retail_sales[[#This Row],[Revenue]]</f>
        <v>0.21878744308650852</v>
      </c>
      <c r="J1384">
        <f xml:space="preserve"> YEAR(sa_retail_sales[[#This Row],[Order Date]])</f>
        <v>2022</v>
      </c>
    </row>
    <row r="1385" spans="1:10" x14ac:dyDescent="0.3">
      <c r="A1385" s="1">
        <v>45114</v>
      </c>
      <c r="B1385" t="s">
        <v>17</v>
      </c>
      <c r="C1385" t="s">
        <v>13</v>
      </c>
      <c r="D1385" t="s">
        <v>12</v>
      </c>
      <c r="E1385">
        <v>2064</v>
      </c>
      <c r="F1385">
        <v>10691</v>
      </c>
      <c r="G1385">
        <v>20</v>
      </c>
      <c r="H1385">
        <v>-8627</v>
      </c>
      <c r="I1385" s="2">
        <f>sa_retail_sales[[#This Row],[Profit]] / sa_retail_sales[[#This Row],[Revenue]]</f>
        <v>-4.1797480620155039</v>
      </c>
      <c r="J1385">
        <f xml:space="preserve"> YEAR(sa_retail_sales[[#This Row],[Order Date]])</f>
        <v>2023</v>
      </c>
    </row>
    <row r="1386" spans="1:10" x14ac:dyDescent="0.3">
      <c r="A1386" s="1">
        <v>45277</v>
      </c>
      <c r="B1386" t="s">
        <v>8</v>
      </c>
      <c r="C1386" t="s">
        <v>16</v>
      </c>
      <c r="D1386" t="s">
        <v>15</v>
      </c>
      <c r="E1386">
        <v>12710</v>
      </c>
      <c r="F1386">
        <v>7625</v>
      </c>
      <c r="G1386">
        <v>20</v>
      </c>
      <c r="H1386">
        <v>5085</v>
      </c>
      <c r="I1386" s="2">
        <f>sa_retail_sales[[#This Row],[Profit]] / sa_retail_sales[[#This Row],[Revenue]]</f>
        <v>0.40007867820613691</v>
      </c>
      <c r="J1386">
        <f xml:space="preserve"> YEAR(sa_retail_sales[[#This Row],[Order Date]])</f>
        <v>2023</v>
      </c>
    </row>
    <row r="1387" spans="1:10" x14ac:dyDescent="0.3">
      <c r="A1387" s="1">
        <v>44672</v>
      </c>
      <c r="B1387" t="s">
        <v>8</v>
      </c>
      <c r="C1387" t="s">
        <v>14</v>
      </c>
      <c r="D1387" t="s">
        <v>12</v>
      </c>
      <c r="E1387">
        <v>2340</v>
      </c>
      <c r="F1387">
        <v>1769</v>
      </c>
      <c r="G1387">
        <v>20</v>
      </c>
      <c r="H1387">
        <v>571</v>
      </c>
      <c r="I1387" s="2">
        <f>sa_retail_sales[[#This Row],[Profit]] / sa_retail_sales[[#This Row],[Revenue]]</f>
        <v>0.24401709401709401</v>
      </c>
      <c r="J1387">
        <f xml:space="preserve"> YEAR(sa_retail_sales[[#This Row],[Order Date]])</f>
        <v>2022</v>
      </c>
    </row>
    <row r="1388" spans="1:10" x14ac:dyDescent="0.3">
      <c r="A1388" s="1">
        <v>44812</v>
      </c>
      <c r="B1388" t="s">
        <v>8</v>
      </c>
      <c r="C1388" t="s">
        <v>13</v>
      </c>
      <c r="D1388" t="s">
        <v>15</v>
      </c>
      <c r="E1388">
        <v>6558</v>
      </c>
      <c r="F1388">
        <v>11192</v>
      </c>
      <c r="G1388">
        <v>20</v>
      </c>
      <c r="H1388">
        <v>-4634</v>
      </c>
      <c r="I1388" s="2">
        <f>sa_retail_sales[[#This Row],[Profit]] / sa_retail_sales[[#This Row],[Revenue]]</f>
        <v>-0.70661787130222631</v>
      </c>
      <c r="J1388">
        <f xml:space="preserve"> YEAR(sa_retail_sales[[#This Row],[Order Date]])</f>
        <v>2022</v>
      </c>
    </row>
    <row r="1389" spans="1:10" x14ac:dyDescent="0.3">
      <c r="A1389" s="1">
        <v>44944</v>
      </c>
      <c r="B1389" t="s">
        <v>18</v>
      </c>
      <c r="C1389" t="s">
        <v>16</v>
      </c>
      <c r="D1389" t="s">
        <v>10</v>
      </c>
      <c r="E1389">
        <v>7631</v>
      </c>
      <c r="F1389">
        <v>11497</v>
      </c>
      <c r="G1389">
        <v>15</v>
      </c>
      <c r="H1389">
        <v>-3866</v>
      </c>
      <c r="I1389" s="2">
        <f>sa_retail_sales[[#This Row],[Profit]] / sa_retail_sales[[#This Row],[Revenue]]</f>
        <v>-0.50661774341501764</v>
      </c>
      <c r="J1389">
        <f xml:space="preserve"> YEAR(sa_retail_sales[[#This Row],[Order Date]])</f>
        <v>2023</v>
      </c>
    </row>
    <row r="1390" spans="1:10" x14ac:dyDescent="0.3">
      <c r="A1390" s="1">
        <v>44568</v>
      </c>
      <c r="B1390" t="s">
        <v>17</v>
      </c>
      <c r="C1390" t="s">
        <v>13</v>
      </c>
      <c r="D1390" t="s">
        <v>12</v>
      </c>
      <c r="E1390">
        <v>11983</v>
      </c>
      <c r="F1390">
        <v>3674</v>
      </c>
      <c r="G1390">
        <v>0</v>
      </c>
      <c r="H1390">
        <v>8309</v>
      </c>
      <c r="I1390" s="2">
        <f>sa_retail_sales[[#This Row],[Profit]] / sa_retail_sales[[#This Row],[Revenue]]</f>
        <v>0.69339898189101223</v>
      </c>
      <c r="J1390">
        <f xml:space="preserve"> YEAR(sa_retail_sales[[#This Row],[Order Date]])</f>
        <v>2022</v>
      </c>
    </row>
    <row r="1391" spans="1:10" x14ac:dyDescent="0.3">
      <c r="A1391" s="1">
        <v>45020</v>
      </c>
      <c r="B1391" t="s">
        <v>11</v>
      </c>
      <c r="C1391" t="s">
        <v>16</v>
      </c>
      <c r="D1391" t="s">
        <v>19</v>
      </c>
      <c r="E1391">
        <v>11579</v>
      </c>
      <c r="F1391">
        <v>9147</v>
      </c>
      <c r="G1391">
        <v>15</v>
      </c>
      <c r="H1391">
        <v>2432</v>
      </c>
      <c r="I1391" s="2">
        <f>sa_retail_sales[[#This Row],[Profit]] / sa_retail_sales[[#This Row],[Revenue]]</f>
        <v>0.21003540892995942</v>
      </c>
      <c r="J1391">
        <f xml:space="preserve"> YEAR(sa_retail_sales[[#This Row],[Order Date]])</f>
        <v>2023</v>
      </c>
    </row>
    <row r="1392" spans="1:10" x14ac:dyDescent="0.3">
      <c r="A1392" s="1">
        <v>44769</v>
      </c>
      <c r="B1392" t="s">
        <v>11</v>
      </c>
      <c r="C1392" t="s">
        <v>16</v>
      </c>
      <c r="D1392" t="s">
        <v>10</v>
      </c>
      <c r="E1392">
        <v>1226</v>
      </c>
      <c r="F1392">
        <v>11260</v>
      </c>
      <c r="G1392">
        <v>20</v>
      </c>
      <c r="H1392">
        <v>-10034</v>
      </c>
      <c r="I1392" s="2">
        <f>sa_retail_sales[[#This Row],[Profit]] / sa_retail_sales[[#This Row],[Revenue]]</f>
        <v>-8.1843393148450243</v>
      </c>
      <c r="J1392">
        <f xml:space="preserve"> YEAR(sa_retail_sales[[#This Row],[Order Date]])</f>
        <v>2022</v>
      </c>
    </row>
    <row r="1393" spans="1:10" x14ac:dyDescent="0.3">
      <c r="A1393" s="1">
        <v>45461</v>
      </c>
      <c r="B1393" t="s">
        <v>17</v>
      </c>
      <c r="C1393" t="s">
        <v>14</v>
      </c>
      <c r="D1393" t="s">
        <v>19</v>
      </c>
      <c r="E1393">
        <v>9936</v>
      </c>
      <c r="F1393">
        <v>8534</v>
      </c>
      <c r="G1393">
        <v>10</v>
      </c>
      <c r="H1393">
        <v>1402</v>
      </c>
      <c r="I1393" s="2">
        <f>sa_retail_sales[[#This Row],[Profit]] / sa_retail_sales[[#This Row],[Revenue]]</f>
        <v>0.14110305958132044</v>
      </c>
      <c r="J1393">
        <f xml:space="preserve"> YEAR(sa_retail_sales[[#This Row],[Order Date]])</f>
        <v>2024</v>
      </c>
    </row>
    <row r="1394" spans="1:10" x14ac:dyDescent="0.3">
      <c r="A1394" s="1">
        <v>44583</v>
      </c>
      <c r="B1394" t="s">
        <v>8</v>
      </c>
      <c r="C1394" t="s">
        <v>13</v>
      </c>
      <c r="D1394" t="s">
        <v>15</v>
      </c>
      <c r="E1394">
        <v>12152</v>
      </c>
      <c r="F1394">
        <v>10803</v>
      </c>
      <c r="G1394">
        <v>15</v>
      </c>
      <c r="H1394">
        <v>1349</v>
      </c>
      <c r="I1394" s="2">
        <f>sa_retail_sales[[#This Row],[Profit]] / sa_retail_sales[[#This Row],[Revenue]]</f>
        <v>0.11101053324555629</v>
      </c>
      <c r="J1394">
        <f xml:space="preserve"> YEAR(sa_retail_sales[[#This Row],[Order Date]])</f>
        <v>2022</v>
      </c>
    </row>
    <row r="1395" spans="1:10" x14ac:dyDescent="0.3">
      <c r="A1395" s="1">
        <v>44971</v>
      </c>
      <c r="B1395" t="s">
        <v>11</v>
      </c>
      <c r="C1395" t="s">
        <v>9</v>
      </c>
      <c r="D1395" t="s">
        <v>15</v>
      </c>
      <c r="E1395">
        <v>7197</v>
      </c>
      <c r="F1395">
        <v>8223</v>
      </c>
      <c r="G1395">
        <v>20</v>
      </c>
      <c r="H1395">
        <v>-1026</v>
      </c>
      <c r="I1395" s="2">
        <f>sa_retail_sales[[#This Row],[Profit]] / sa_retail_sales[[#This Row],[Revenue]]</f>
        <v>-0.14255939974989579</v>
      </c>
      <c r="J1395">
        <f xml:space="preserve"> YEAR(sa_retail_sales[[#This Row],[Order Date]])</f>
        <v>2023</v>
      </c>
    </row>
    <row r="1396" spans="1:10" x14ac:dyDescent="0.3">
      <c r="A1396" s="1">
        <v>45456</v>
      </c>
      <c r="B1396" t="s">
        <v>11</v>
      </c>
      <c r="C1396" t="s">
        <v>14</v>
      </c>
      <c r="D1396" t="s">
        <v>19</v>
      </c>
      <c r="E1396">
        <v>12410</v>
      </c>
      <c r="F1396">
        <v>5422</v>
      </c>
      <c r="G1396">
        <v>20</v>
      </c>
      <c r="H1396">
        <v>6988</v>
      </c>
      <c r="I1396" s="2">
        <f>sa_retail_sales[[#This Row],[Profit]] / sa_retail_sales[[#This Row],[Revenue]]</f>
        <v>0.56309427880741336</v>
      </c>
      <c r="J1396">
        <f xml:space="preserve"> YEAR(sa_retail_sales[[#This Row],[Order Date]])</f>
        <v>2024</v>
      </c>
    </row>
    <row r="1397" spans="1:10" x14ac:dyDescent="0.3">
      <c r="A1397" s="1">
        <v>45076</v>
      </c>
      <c r="B1397" t="s">
        <v>17</v>
      </c>
      <c r="C1397" t="s">
        <v>14</v>
      </c>
      <c r="D1397" t="s">
        <v>19</v>
      </c>
      <c r="E1397">
        <v>9757</v>
      </c>
      <c r="F1397">
        <v>10152</v>
      </c>
      <c r="G1397">
        <v>0</v>
      </c>
      <c r="H1397">
        <v>-395</v>
      </c>
      <c r="I1397" s="2">
        <f>sa_retail_sales[[#This Row],[Profit]] / sa_retail_sales[[#This Row],[Revenue]]</f>
        <v>-4.0483755252639128E-2</v>
      </c>
      <c r="J1397">
        <f xml:space="preserve"> YEAR(sa_retail_sales[[#This Row],[Order Date]])</f>
        <v>2023</v>
      </c>
    </row>
    <row r="1398" spans="1:10" x14ac:dyDescent="0.3">
      <c r="A1398" s="1">
        <v>45370</v>
      </c>
      <c r="B1398" t="s">
        <v>11</v>
      </c>
      <c r="C1398" t="s">
        <v>16</v>
      </c>
      <c r="D1398" t="s">
        <v>10</v>
      </c>
      <c r="E1398">
        <v>13463</v>
      </c>
      <c r="F1398">
        <v>5687</v>
      </c>
      <c r="G1398">
        <v>5</v>
      </c>
      <c r="H1398">
        <v>7776</v>
      </c>
      <c r="I1398" s="2">
        <f>sa_retail_sales[[#This Row],[Profit]] / sa_retail_sales[[#This Row],[Revenue]]</f>
        <v>0.57758300527371309</v>
      </c>
      <c r="J1398">
        <f xml:space="preserve"> YEAR(sa_retail_sales[[#This Row],[Order Date]])</f>
        <v>2024</v>
      </c>
    </row>
    <row r="1399" spans="1:10" x14ac:dyDescent="0.3">
      <c r="A1399" s="1">
        <v>45435</v>
      </c>
      <c r="B1399" t="s">
        <v>8</v>
      </c>
      <c r="C1399" t="s">
        <v>9</v>
      </c>
      <c r="D1399" t="s">
        <v>19</v>
      </c>
      <c r="E1399">
        <v>782</v>
      </c>
      <c r="F1399">
        <v>7931</v>
      </c>
      <c r="G1399">
        <v>15</v>
      </c>
      <c r="H1399">
        <v>-7149</v>
      </c>
      <c r="I1399" s="2">
        <f>sa_retail_sales[[#This Row],[Profit]] / sa_retail_sales[[#This Row],[Revenue]]</f>
        <v>-9.1419437340153458</v>
      </c>
      <c r="J1399">
        <f xml:space="preserve"> YEAR(sa_retail_sales[[#This Row],[Order Date]])</f>
        <v>2024</v>
      </c>
    </row>
    <row r="1400" spans="1:10" x14ac:dyDescent="0.3">
      <c r="A1400" s="1">
        <v>44575</v>
      </c>
      <c r="B1400" t="s">
        <v>17</v>
      </c>
      <c r="C1400" t="s">
        <v>13</v>
      </c>
      <c r="D1400" t="s">
        <v>12</v>
      </c>
      <c r="E1400">
        <v>1581</v>
      </c>
      <c r="F1400">
        <v>7526</v>
      </c>
      <c r="G1400">
        <v>15</v>
      </c>
      <c r="H1400">
        <v>-5945</v>
      </c>
      <c r="I1400" s="2">
        <f>sa_retail_sales[[#This Row],[Profit]] / sa_retail_sales[[#This Row],[Revenue]]</f>
        <v>-3.7602783048703352</v>
      </c>
      <c r="J1400">
        <f xml:space="preserve"> YEAR(sa_retail_sales[[#This Row],[Order Date]])</f>
        <v>2022</v>
      </c>
    </row>
    <row r="1401" spans="1:10" x14ac:dyDescent="0.3">
      <c r="A1401" s="1">
        <v>45532</v>
      </c>
      <c r="B1401" t="s">
        <v>8</v>
      </c>
      <c r="C1401" t="s">
        <v>9</v>
      </c>
      <c r="D1401" t="s">
        <v>12</v>
      </c>
      <c r="E1401">
        <v>4385</v>
      </c>
      <c r="F1401">
        <v>5408</v>
      </c>
      <c r="G1401">
        <v>15</v>
      </c>
      <c r="H1401">
        <v>-1023</v>
      </c>
      <c r="I1401" s="2">
        <f>sa_retail_sales[[#This Row],[Profit]] / sa_retail_sales[[#This Row],[Revenue]]</f>
        <v>-0.23329532497149372</v>
      </c>
      <c r="J1401">
        <f xml:space="preserve"> YEAR(sa_retail_sales[[#This Row],[Order Date]])</f>
        <v>2024</v>
      </c>
    </row>
    <row r="1402" spans="1:10" x14ac:dyDescent="0.3">
      <c r="A1402" s="1">
        <v>45539</v>
      </c>
      <c r="B1402" t="s">
        <v>11</v>
      </c>
      <c r="C1402" t="s">
        <v>9</v>
      </c>
      <c r="D1402" t="s">
        <v>19</v>
      </c>
      <c r="E1402">
        <v>3381</v>
      </c>
      <c r="F1402">
        <v>2524</v>
      </c>
      <c r="G1402">
        <v>20</v>
      </c>
      <c r="H1402">
        <v>857</v>
      </c>
      <c r="I1402" s="2">
        <f>sa_retail_sales[[#This Row],[Profit]] / sa_retail_sales[[#This Row],[Revenue]]</f>
        <v>0.25347530316474415</v>
      </c>
      <c r="J1402">
        <f xml:space="preserve"> YEAR(sa_retail_sales[[#This Row],[Order Date]])</f>
        <v>2024</v>
      </c>
    </row>
    <row r="1403" spans="1:10" x14ac:dyDescent="0.3">
      <c r="A1403" s="1">
        <v>45575</v>
      </c>
      <c r="B1403" t="s">
        <v>11</v>
      </c>
      <c r="C1403" t="s">
        <v>9</v>
      </c>
      <c r="D1403" t="s">
        <v>12</v>
      </c>
      <c r="E1403">
        <v>11276</v>
      </c>
      <c r="F1403">
        <v>2410</v>
      </c>
      <c r="G1403">
        <v>0</v>
      </c>
      <c r="H1403">
        <v>8866</v>
      </c>
      <c r="I1403" s="2">
        <f>sa_retail_sales[[#This Row],[Profit]] / sa_retail_sales[[#This Row],[Revenue]]</f>
        <v>0.78627172756296559</v>
      </c>
      <c r="J1403">
        <f xml:space="preserve"> YEAR(sa_retail_sales[[#This Row],[Order Date]])</f>
        <v>2024</v>
      </c>
    </row>
    <row r="1404" spans="1:10" x14ac:dyDescent="0.3">
      <c r="A1404" s="1">
        <v>45597</v>
      </c>
      <c r="B1404" t="s">
        <v>8</v>
      </c>
      <c r="C1404" t="s">
        <v>9</v>
      </c>
      <c r="D1404" t="s">
        <v>19</v>
      </c>
      <c r="E1404">
        <v>14696</v>
      </c>
      <c r="F1404">
        <v>1257</v>
      </c>
      <c r="G1404">
        <v>20</v>
      </c>
      <c r="H1404">
        <v>13439</v>
      </c>
      <c r="I1404" s="2">
        <f>sa_retail_sales[[#This Row],[Profit]] / sa_retail_sales[[#This Row],[Revenue]]</f>
        <v>0.91446652150244967</v>
      </c>
      <c r="J1404">
        <f xml:space="preserve"> YEAR(sa_retail_sales[[#This Row],[Order Date]])</f>
        <v>2024</v>
      </c>
    </row>
    <row r="1405" spans="1:10" x14ac:dyDescent="0.3">
      <c r="A1405" s="1">
        <v>44648</v>
      </c>
      <c r="B1405" t="s">
        <v>18</v>
      </c>
      <c r="C1405" t="s">
        <v>9</v>
      </c>
      <c r="D1405" t="s">
        <v>10</v>
      </c>
      <c r="E1405">
        <v>3470</v>
      </c>
      <c r="F1405">
        <v>7446</v>
      </c>
      <c r="G1405">
        <v>20</v>
      </c>
      <c r="H1405">
        <v>-3976</v>
      </c>
      <c r="I1405" s="2">
        <f>sa_retail_sales[[#This Row],[Profit]] / sa_retail_sales[[#This Row],[Revenue]]</f>
        <v>-1.1458213256484149</v>
      </c>
      <c r="J1405">
        <f xml:space="preserve"> YEAR(sa_retail_sales[[#This Row],[Order Date]])</f>
        <v>2022</v>
      </c>
    </row>
    <row r="1406" spans="1:10" x14ac:dyDescent="0.3">
      <c r="A1406" s="1">
        <v>45470</v>
      </c>
      <c r="B1406" t="s">
        <v>11</v>
      </c>
      <c r="C1406" t="s">
        <v>16</v>
      </c>
      <c r="D1406" t="s">
        <v>12</v>
      </c>
      <c r="E1406">
        <v>9844</v>
      </c>
      <c r="F1406">
        <v>860</v>
      </c>
      <c r="G1406">
        <v>10</v>
      </c>
      <c r="H1406">
        <v>8984</v>
      </c>
      <c r="I1406" s="2">
        <f>sa_retail_sales[[#This Row],[Profit]] / sa_retail_sales[[#This Row],[Revenue]]</f>
        <v>0.91263713937423807</v>
      </c>
      <c r="J1406">
        <f xml:space="preserve"> YEAR(sa_retail_sales[[#This Row],[Order Date]])</f>
        <v>2024</v>
      </c>
    </row>
    <row r="1407" spans="1:10" x14ac:dyDescent="0.3">
      <c r="A1407" s="1">
        <v>44683</v>
      </c>
      <c r="B1407" t="s">
        <v>18</v>
      </c>
      <c r="C1407" t="s">
        <v>16</v>
      </c>
      <c r="D1407" t="s">
        <v>12</v>
      </c>
      <c r="E1407">
        <v>7485</v>
      </c>
      <c r="F1407">
        <v>9822</v>
      </c>
      <c r="G1407">
        <v>0</v>
      </c>
      <c r="H1407">
        <v>-2337</v>
      </c>
      <c r="I1407" s="2">
        <f>sa_retail_sales[[#This Row],[Profit]] / sa_retail_sales[[#This Row],[Revenue]]</f>
        <v>-0.3122244488977956</v>
      </c>
      <c r="J1407">
        <f xml:space="preserve"> YEAR(sa_retail_sales[[#This Row],[Order Date]])</f>
        <v>2022</v>
      </c>
    </row>
    <row r="1408" spans="1:10" x14ac:dyDescent="0.3">
      <c r="A1408" s="1">
        <v>45311</v>
      </c>
      <c r="B1408" t="s">
        <v>11</v>
      </c>
      <c r="C1408" t="s">
        <v>14</v>
      </c>
      <c r="D1408" t="s">
        <v>19</v>
      </c>
      <c r="E1408">
        <v>12189</v>
      </c>
      <c r="F1408">
        <v>7713</v>
      </c>
      <c r="G1408">
        <v>15</v>
      </c>
      <c r="H1408">
        <v>4476</v>
      </c>
      <c r="I1408" s="2">
        <f>sa_retail_sales[[#This Row],[Profit]] / sa_retail_sales[[#This Row],[Revenue]]</f>
        <v>0.36721634260398722</v>
      </c>
      <c r="J1408">
        <f xml:space="preserve"> YEAR(sa_retail_sales[[#This Row],[Order Date]])</f>
        <v>2024</v>
      </c>
    </row>
    <row r="1409" spans="1:10" x14ac:dyDescent="0.3">
      <c r="A1409" s="1">
        <v>45246</v>
      </c>
      <c r="B1409" t="s">
        <v>18</v>
      </c>
      <c r="C1409" t="s">
        <v>16</v>
      </c>
      <c r="D1409" t="s">
        <v>12</v>
      </c>
      <c r="E1409">
        <v>1447</v>
      </c>
      <c r="F1409">
        <v>1612</v>
      </c>
      <c r="G1409">
        <v>5</v>
      </c>
      <c r="H1409">
        <v>-165</v>
      </c>
      <c r="I1409" s="2">
        <f>sa_retail_sales[[#This Row],[Profit]] / sa_retail_sales[[#This Row],[Revenue]]</f>
        <v>-0.11402902557014513</v>
      </c>
      <c r="J1409">
        <f xml:space="preserve"> YEAR(sa_retail_sales[[#This Row],[Order Date]])</f>
        <v>2023</v>
      </c>
    </row>
    <row r="1410" spans="1:10" x14ac:dyDescent="0.3">
      <c r="A1410" s="1">
        <v>44870</v>
      </c>
      <c r="B1410" t="s">
        <v>18</v>
      </c>
      <c r="C1410" t="s">
        <v>14</v>
      </c>
      <c r="D1410" t="s">
        <v>15</v>
      </c>
      <c r="E1410">
        <v>5260</v>
      </c>
      <c r="F1410">
        <v>2121</v>
      </c>
      <c r="G1410">
        <v>15</v>
      </c>
      <c r="H1410">
        <v>3139</v>
      </c>
      <c r="I1410" s="2">
        <f>sa_retail_sales[[#This Row],[Profit]] / sa_retail_sales[[#This Row],[Revenue]]</f>
        <v>0.59676806083650191</v>
      </c>
      <c r="J1410">
        <f xml:space="preserve"> YEAR(sa_retail_sales[[#This Row],[Order Date]])</f>
        <v>2022</v>
      </c>
    </row>
    <row r="1411" spans="1:10" x14ac:dyDescent="0.3">
      <c r="A1411" s="1">
        <v>45256</v>
      </c>
      <c r="B1411" t="s">
        <v>18</v>
      </c>
      <c r="C1411" t="s">
        <v>14</v>
      </c>
      <c r="D1411" t="s">
        <v>10</v>
      </c>
      <c r="E1411">
        <v>10409</v>
      </c>
      <c r="F1411">
        <v>11494</v>
      </c>
      <c r="G1411">
        <v>20</v>
      </c>
      <c r="H1411">
        <v>-1085</v>
      </c>
      <c r="I1411" s="2">
        <f>sa_retail_sales[[#This Row],[Profit]] / sa_retail_sales[[#This Row],[Revenue]]</f>
        <v>-0.10423671822461332</v>
      </c>
      <c r="J1411">
        <f xml:space="preserve"> YEAR(sa_retail_sales[[#This Row],[Order Date]])</f>
        <v>2023</v>
      </c>
    </row>
    <row r="1412" spans="1:10" x14ac:dyDescent="0.3">
      <c r="A1412" s="1">
        <v>44849</v>
      </c>
      <c r="B1412" t="s">
        <v>8</v>
      </c>
      <c r="C1412" t="s">
        <v>13</v>
      </c>
      <c r="D1412" t="s">
        <v>10</v>
      </c>
      <c r="E1412">
        <v>13936</v>
      </c>
      <c r="F1412">
        <v>11895</v>
      </c>
      <c r="G1412">
        <v>0</v>
      </c>
      <c r="H1412">
        <v>2041</v>
      </c>
      <c r="I1412" s="2">
        <f>sa_retail_sales[[#This Row],[Profit]] / sa_retail_sales[[#This Row],[Revenue]]</f>
        <v>0.14645522388059701</v>
      </c>
      <c r="J1412">
        <f xml:space="preserve"> YEAR(sa_retail_sales[[#This Row],[Order Date]])</f>
        <v>2022</v>
      </c>
    </row>
    <row r="1413" spans="1:10" x14ac:dyDescent="0.3">
      <c r="A1413" s="1">
        <v>44868</v>
      </c>
      <c r="B1413" t="s">
        <v>18</v>
      </c>
      <c r="C1413" t="s">
        <v>9</v>
      </c>
      <c r="D1413" t="s">
        <v>12</v>
      </c>
      <c r="E1413">
        <v>566</v>
      </c>
      <c r="F1413">
        <v>5946</v>
      </c>
      <c r="G1413">
        <v>0</v>
      </c>
      <c r="H1413">
        <v>-5380</v>
      </c>
      <c r="I1413" s="2">
        <f>sa_retail_sales[[#This Row],[Profit]] / sa_retail_sales[[#This Row],[Revenue]]</f>
        <v>-9.5053003533568905</v>
      </c>
      <c r="J1413">
        <f xml:space="preserve"> YEAR(sa_retail_sales[[#This Row],[Order Date]])</f>
        <v>2022</v>
      </c>
    </row>
    <row r="1414" spans="1:10" x14ac:dyDescent="0.3">
      <c r="A1414" s="1">
        <v>45475</v>
      </c>
      <c r="B1414" t="s">
        <v>18</v>
      </c>
      <c r="C1414" t="s">
        <v>16</v>
      </c>
      <c r="D1414" t="s">
        <v>12</v>
      </c>
      <c r="E1414">
        <v>14841</v>
      </c>
      <c r="F1414">
        <v>5245</v>
      </c>
      <c r="G1414">
        <v>0</v>
      </c>
      <c r="H1414">
        <v>9596</v>
      </c>
      <c r="I1414" s="2">
        <f>sa_retail_sales[[#This Row],[Profit]] / sa_retail_sales[[#This Row],[Revenue]]</f>
        <v>0.64658715719964965</v>
      </c>
      <c r="J1414">
        <f xml:space="preserve"> YEAR(sa_retail_sales[[#This Row],[Order Date]])</f>
        <v>2024</v>
      </c>
    </row>
    <row r="1415" spans="1:10" x14ac:dyDescent="0.3">
      <c r="A1415" s="1">
        <v>45223</v>
      </c>
      <c r="B1415" t="s">
        <v>18</v>
      </c>
      <c r="C1415" t="s">
        <v>13</v>
      </c>
      <c r="D1415" t="s">
        <v>15</v>
      </c>
      <c r="E1415">
        <v>9328</v>
      </c>
      <c r="F1415">
        <v>5674</v>
      </c>
      <c r="G1415">
        <v>10</v>
      </c>
      <c r="H1415">
        <v>3654</v>
      </c>
      <c r="I1415" s="2">
        <f>sa_retail_sales[[#This Row],[Profit]] / sa_retail_sales[[#This Row],[Revenue]]</f>
        <v>0.39172384219554029</v>
      </c>
      <c r="J1415">
        <f xml:space="preserve"> YEAR(sa_retail_sales[[#This Row],[Order Date]])</f>
        <v>2023</v>
      </c>
    </row>
    <row r="1416" spans="1:10" x14ac:dyDescent="0.3">
      <c r="A1416" s="1">
        <v>45110</v>
      </c>
      <c r="B1416" t="s">
        <v>11</v>
      </c>
      <c r="C1416" t="s">
        <v>16</v>
      </c>
      <c r="D1416" t="s">
        <v>15</v>
      </c>
      <c r="E1416">
        <v>9005</v>
      </c>
      <c r="F1416">
        <v>2951</v>
      </c>
      <c r="G1416">
        <v>15</v>
      </c>
      <c r="H1416">
        <v>6054</v>
      </c>
      <c r="I1416" s="2">
        <f>sa_retail_sales[[#This Row],[Profit]] / sa_retail_sales[[#This Row],[Revenue]]</f>
        <v>0.67229317046085513</v>
      </c>
      <c r="J1416">
        <f xml:space="preserve"> YEAR(sa_retail_sales[[#This Row],[Order Date]])</f>
        <v>2023</v>
      </c>
    </row>
    <row r="1417" spans="1:10" x14ac:dyDescent="0.3">
      <c r="A1417" s="1">
        <v>44873</v>
      </c>
      <c r="B1417" t="s">
        <v>18</v>
      </c>
      <c r="C1417" t="s">
        <v>14</v>
      </c>
      <c r="D1417" t="s">
        <v>12</v>
      </c>
      <c r="E1417">
        <v>12089</v>
      </c>
      <c r="F1417">
        <v>10306</v>
      </c>
      <c r="G1417">
        <v>10</v>
      </c>
      <c r="H1417">
        <v>1783</v>
      </c>
      <c r="I1417" s="2">
        <f>sa_retail_sales[[#This Row],[Profit]] / sa_retail_sales[[#This Row],[Revenue]]</f>
        <v>0.14748945322193729</v>
      </c>
      <c r="J1417">
        <f xml:space="preserve"> YEAR(sa_retail_sales[[#This Row],[Order Date]])</f>
        <v>2022</v>
      </c>
    </row>
    <row r="1418" spans="1:10" x14ac:dyDescent="0.3">
      <c r="A1418" s="1">
        <v>45434</v>
      </c>
      <c r="B1418" t="s">
        <v>11</v>
      </c>
      <c r="C1418" t="s">
        <v>16</v>
      </c>
      <c r="D1418" t="s">
        <v>12</v>
      </c>
      <c r="E1418">
        <v>1064</v>
      </c>
      <c r="F1418">
        <v>10233</v>
      </c>
      <c r="G1418">
        <v>5</v>
      </c>
      <c r="H1418">
        <v>-9169</v>
      </c>
      <c r="I1418" s="2">
        <f>sa_retail_sales[[#This Row],[Profit]] / sa_retail_sales[[#This Row],[Revenue]]</f>
        <v>-8.6174812030075181</v>
      </c>
      <c r="J1418">
        <f xml:space="preserve"> YEAR(sa_retail_sales[[#This Row],[Order Date]])</f>
        <v>2024</v>
      </c>
    </row>
    <row r="1419" spans="1:10" x14ac:dyDescent="0.3">
      <c r="A1419" s="1">
        <v>45644</v>
      </c>
      <c r="B1419" t="s">
        <v>18</v>
      </c>
      <c r="C1419" t="s">
        <v>9</v>
      </c>
      <c r="D1419" t="s">
        <v>15</v>
      </c>
      <c r="E1419">
        <v>10293</v>
      </c>
      <c r="F1419">
        <v>5001</v>
      </c>
      <c r="G1419">
        <v>20</v>
      </c>
      <c r="H1419">
        <v>5292</v>
      </c>
      <c r="I1419" s="2">
        <f>sa_retail_sales[[#This Row],[Profit]] / sa_retail_sales[[#This Row],[Revenue]]</f>
        <v>0.5141358204605071</v>
      </c>
      <c r="J1419">
        <f xml:space="preserve"> YEAR(sa_retail_sales[[#This Row],[Order Date]])</f>
        <v>2024</v>
      </c>
    </row>
    <row r="1420" spans="1:10" x14ac:dyDescent="0.3">
      <c r="A1420" s="1">
        <v>45485</v>
      </c>
      <c r="B1420" t="s">
        <v>18</v>
      </c>
      <c r="C1420" t="s">
        <v>14</v>
      </c>
      <c r="D1420" t="s">
        <v>19</v>
      </c>
      <c r="E1420">
        <v>9517</v>
      </c>
      <c r="F1420">
        <v>3177</v>
      </c>
      <c r="G1420">
        <v>10</v>
      </c>
      <c r="H1420">
        <v>6340</v>
      </c>
      <c r="I1420" s="2">
        <f>sa_retail_sales[[#This Row],[Profit]] / sa_retail_sales[[#This Row],[Revenue]]</f>
        <v>0.66617631606598715</v>
      </c>
      <c r="J1420">
        <f xml:space="preserve"> YEAR(sa_retail_sales[[#This Row],[Order Date]])</f>
        <v>2024</v>
      </c>
    </row>
    <row r="1421" spans="1:10" x14ac:dyDescent="0.3">
      <c r="A1421" s="1">
        <v>45316</v>
      </c>
      <c r="B1421" t="s">
        <v>8</v>
      </c>
      <c r="C1421" t="s">
        <v>14</v>
      </c>
      <c r="D1421" t="s">
        <v>15</v>
      </c>
      <c r="E1421">
        <v>13893</v>
      </c>
      <c r="F1421">
        <v>5882</v>
      </c>
      <c r="G1421">
        <v>10</v>
      </c>
      <c r="H1421">
        <v>8011</v>
      </c>
      <c r="I1421" s="2">
        <f>sa_retail_sales[[#This Row],[Profit]] / sa_retail_sales[[#This Row],[Revenue]]</f>
        <v>0.5766213200892536</v>
      </c>
      <c r="J1421">
        <f xml:space="preserve"> YEAR(sa_retail_sales[[#This Row],[Order Date]])</f>
        <v>2024</v>
      </c>
    </row>
    <row r="1422" spans="1:10" x14ac:dyDescent="0.3">
      <c r="A1422" s="1">
        <v>44596</v>
      </c>
      <c r="B1422" t="s">
        <v>11</v>
      </c>
      <c r="C1422" t="s">
        <v>13</v>
      </c>
      <c r="D1422" t="s">
        <v>19</v>
      </c>
      <c r="E1422">
        <v>4170</v>
      </c>
      <c r="F1422">
        <v>11762</v>
      </c>
      <c r="G1422">
        <v>20</v>
      </c>
      <c r="H1422">
        <v>-7592</v>
      </c>
      <c r="I1422" s="2">
        <f>sa_retail_sales[[#This Row],[Profit]] / sa_retail_sales[[#This Row],[Revenue]]</f>
        <v>-1.8206235011990408</v>
      </c>
      <c r="J1422">
        <f xml:space="preserve"> YEAR(sa_retail_sales[[#This Row],[Order Date]])</f>
        <v>2022</v>
      </c>
    </row>
    <row r="1423" spans="1:10" x14ac:dyDescent="0.3">
      <c r="A1423" s="1">
        <v>45006</v>
      </c>
      <c r="B1423" t="s">
        <v>18</v>
      </c>
      <c r="C1423" t="s">
        <v>9</v>
      </c>
      <c r="D1423" t="s">
        <v>10</v>
      </c>
      <c r="E1423">
        <v>9717</v>
      </c>
      <c r="F1423">
        <v>5690</v>
      </c>
      <c r="G1423">
        <v>0</v>
      </c>
      <c r="H1423">
        <v>4027</v>
      </c>
      <c r="I1423" s="2">
        <f>sa_retail_sales[[#This Row],[Profit]] / sa_retail_sales[[#This Row],[Revenue]]</f>
        <v>0.41442832149840486</v>
      </c>
      <c r="J1423">
        <f xml:space="preserve"> YEAR(sa_retail_sales[[#This Row],[Order Date]])</f>
        <v>2023</v>
      </c>
    </row>
    <row r="1424" spans="1:10" x14ac:dyDescent="0.3">
      <c r="A1424" s="1">
        <v>44654</v>
      </c>
      <c r="B1424" t="s">
        <v>11</v>
      </c>
      <c r="C1424" t="s">
        <v>14</v>
      </c>
      <c r="D1424" t="s">
        <v>10</v>
      </c>
      <c r="E1424">
        <v>2751</v>
      </c>
      <c r="F1424">
        <v>4383</v>
      </c>
      <c r="G1424">
        <v>20</v>
      </c>
      <c r="H1424">
        <v>-1632</v>
      </c>
      <c r="I1424" s="2">
        <f>sa_retail_sales[[#This Row],[Profit]] / sa_retail_sales[[#This Row],[Revenue]]</f>
        <v>-0.59323882224645585</v>
      </c>
      <c r="J1424">
        <f xml:space="preserve"> YEAR(sa_retail_sales[[#This Row],[Order Date]])</f>
        <v>2022</v>
      </c>
    </row>
    <row r="1425" spans="1:10" x14ac:dyDescent="0.3">
      <c r="A1425" s="1">
        <v>44914</v>
      </c>
      <c r="B1425" t="s">
        <v>11</v>
      </c>
      <c r="C1425" t="s">
        <v>9</v>
      </c>
      <c r="D1425" t="s">
        <v>15</v>
      </c>
      <c r="E1425">
        <v>13449</v>
      </c>
      <c r="F1425">
        <v>1045</v>
      </c>
      <c r="G1425">
        <v>15</v>
      </c>
      <c r="H1425">
        <v>12404</v>
      </c>
      <c r="I1425" s="2">
        <f>sa_retail_sales[[#This Row],[Profit]] / sa_retail_sales[[#This Row],[Revenue]]</f>
        <v>0.92229905569187298</v>
      </c>
      <c r="J1425">
        <f xml:space="preserve"> YEAR(sa_retail_sales[[#This Row],[Order Date]])</f>
        <v>2022</v>
      </c>
    </row>
    <row r="1426" spans="1:10" x14ac:dyDescent="0.3">
      <c r="A1426" s="1">
        <v>45464</v>
      </c>
      <c r="B1426" t="s">
        <v>17</v>
      </c>
      <c r="C1426" t="s">
        <v>16</v>
      </c>
      <c r="D1426" t="s">
        <v>19</v>
      </c>
      <c r="E1426">
        <v>1304</v>
      </c>
      <c r="F1426">
        <v>9049</v>
      </c>
      <c r="G1426">
        <v>20</v>
      </c>
      <c r="H1426">
        <v>-7745</v>
      </c>
      <c r="I1426" s="2">
        <f>sa_retail_sales[[#This Row],[Profit]] / sa_retail_sales[[#This Row],[Revenue]]</f>
        <v>-5.9394171779141107</v>
      </c>
      <c r="J1426">
        <f xml:space="preserve"> YEAR(sa_retail_sales[[#This Row],[Order Date]])</f>
        <v>2024</v>
      </c>
    </row>
    <row r="1427" spans="1:10" x14ac:dyDescent="0.3">
      <c r="A1427" s="1">
        <v>45423</v>
      </c>
      <c r="B1427" t="s">
        <v>8</v>
      </c>
      <c r="C1427" t="s">
        <v>9</v>
      </c>
      <c r="D1427" t="s">
        <v>15</v>
      </c>
      <c r="E1427">
        <v>11143</v>
      </c>
      <c r="F1427">
        <v>11793</v>
      </c>
      <c r="G1427">
        <v>0</v>
      </c>
      <c r="H1427">
        <v>-650</v>
      </c>
      <c r="I1427" s="2">
        <f>sa_retail_sales[[#This Row],[Profit]] / sa_retail_sales[[#This Row],[Revenue]]</f>
        <v>-5.8332585479673335E-2</v>
      </c>
      <c r="J1427">
        <f xml:space="preserve"> YEAR(sa_retail_sales[[#This Row],[Order Date]])</f>
        <v>2024</v>
      </c>
    </row>
    <row r="1428" spans="1:10" x14ac:dyDescent="0.3">
      <c r="A1428" s="1">
        <v>44720</v>
      </c>
      <c r="B1428" t="s">
        <v>8</v>
      </c>
      <c r="C1428" t="s">
        <v>14</v>
      </c>
      <c r="D1428" t="s">
        <v>15</v>
      </c>
      <c r="E1428">
        <v>5131</v>
      </c>
      <c r="F1428">
        <v>1241</v>
      </c>
      <c r="G1428">
        <v>20</v>
      </c>
      <c r="H1428">
        <v>3890</v>
      </c>
      <c r="I1428" s="2">
        <f>sa_retail_sales[[#This Row],[Profit]] / sa_retail_sales[[#This Row],[Revenue]]</f>
        <v>0.75813681543558764</v>
      </c>
      <c r="J1428">
        <f xml:space="preserve"> YEAR(sa_retail_sales[[#This Row],[Order Date]])</f>
        <v>2022</v>
      </c>
    </row>
    <row r="1429" spans="1:10" x14ac:dyDescent="0.3">
      <c r="A1429" s="1">
        <v>45518</v>
      </c>
      <c r="B1429" t="s">
        <v>8</v>
      </c>
      <c r="C1429" t="s">
        <v>13</v>
      </c>
      <c r="D1429" t="s">
        <v>19</v>
      </c>
      <c r="E1429">
        <v>10083</v>
      </c>
      <c r="F1429">
        <v>4323</v>
      </c>
      <c r="G1429">
        <v>10</v>
      </c>
      <c r="H1429">
        <v>5760</v>
      </c>
      <c r="I1429" s="2">
        <f>sa_retail_sales[[#This Row],[Profit]] / sa_retail_sales[[#This Row],[Revenue]]</f>
        <v>0.57125855400178516</v>
      </c>
      <c r="J1429">
        <f xml:space="preserve"> YEAR(sa_retail_sales[[#This Row],[Order Date]])</f>
        <v>2024</v>
      </c>
    </row>
    <row r="1430" spans="1:10" x14ac:dyDescent="0.3">
      <c r="A1430" s="1">
        <v>44585</v>
      </c>
      <c r="B1430" t="s">
        <v>17</v>
      </c>
      <c r="C1430" t="s">
        <v>14</v>
      </c>
      <c r="D1430" t="s">
        <v>15</v>
      </c>
      <c r="E1430">
        <v>1735</v>
      </c>
      <c r="F1430">
        <v>2596</v>
      </c>
      <c r="G1430">
        <v>5</v>
      </c>
      <c r="H1430">
        <v>-861</v>
      </c>
      <c r="I1430" s="2">
        <f>sa_retail_sales[[#This Row],[Profit]] / sa_retail_sales[[#This Row],[Revenue]]</f>
        <v>-0.49625360230547549</v>
      </c>
      <c r="J1430">
        <f xml:space="preserve"> YEAR(sa_retail_sales[[#This Row],[Order Date]])</f>
        <v>2022</v>
      </c>
    </row>
    <row r="1431" spans="1:10" x14ac:dyDescent="0.3">
      <c r="A1431" s="1">
        <v>44965</v>
      </c>
      <c r="B1431" t="s">
        <v>17</v>
      </c>
      <c r="C1431" t="s">
        <v>9</v>
      </c>
      <c r="D1431" t="s">
        <v>10</v>
      </c>
      <c r="E1431">
        <v>7220</v>
      </c>
      <c r="F1431">
        <v>1239</v>
      </c>
      <c r="G1431">
        <v>10</v>
      </c>
      <c r="H1431">
        <v>5981</v>
      </c>
      <c r="I1431" s="2">
        <f>sa_retail_sales[[#This Row],[Profit]] / sa_retail_sales[[#This Row],[Revenue]]</f>
        <v>0.82839335180055407</v>
      </c>
      <c r="J1431">
        <f xml:space="preserve"> YEAR(sa_retail_sales[[#This Row],[Order Date]])</f>
        <v>2023</v>
      </c>
    </row>
    <row r="1432" spans="1:10" x14ac:dyDescent="0.3">
      <c r="A1432" s="1">
        <v>45366</v>
      </c>
      <c r="B1432" t="s">
        <v>8</v>
      </c>
      <c r="C1432" t="s">
        <v>9</v>
      </c>
      <c r="D1432" t="s">
        <v>12</v>
      </c>
      <c r="E1432">
        <v>12724</v>
      </c>
      <c r="F1432">
        <v>1910</v>
      </c>
      <c r="G1432">
        <v>5</v>
      </c>
      <c r="H1432">
        <v>10814</v>
      </c>
      <c r="I1432" s="2">
        <f>sa_retail_sales[[#This Row],[Profit]] / sa_retail_sales[[#This Row],[Revenue]]</f>
        <v>0.84988997170701042</v>
      </c>
      <c r="J1432">
        <f xml:space="preserve"> YEAR(sa_retail_sales[[#This Row],[Order Date]])</f>
        <v>2024</v>
      </c>
    </row>
    <row r="1433" spans="1:10" x14ac:dyDescent="0.3">
      <c r="A1433" s="1">
        <v>45077</v>
      </c>
      <c r="B1433" t="s">
        <v>17</v>
      </c>
      <c r="C1433" t="s">
        <v>14</v>
      </c>
      <c r="D1433" t="s">
        <v>12</v>
      </c>
      <c r="E1433">
        <v>11972</v>
      </c>
      <c r="F1433">
        <v>6600</v>
      </c>
      <c r="G1433">
        <v>20</v>
      </c>
      <c r="H1433">
        <v>5372</v>
      </c>
      <c r="I1433" s="2">
        <f>sa_retail_sales[[#This Row],[Profit]] / sa_retail_sales[[#This Row],[Revenue]]</f>
        <v>0.44871366521884398</v>
      </c>
      <c r="J1433">
        <f xml:space="preserve"> YEAR(sa_retail_sales[[#This Row],[Order Date]])</f>
        <v>2023</v>
      </c>
    </row>
    <row r="1434" spans="1:10" x14ac:dyDescent="0.3">
      <c r="A1434" s="1">
        <v>45293</v>
      </c>
      <c r="B1434" t="s">
        <v>17</v>
      </c>
      <c r="C1434" t="s">
        <v>9</v>
      </c>
      <c r="D1434" t="s">
        <v>15</v>
      </c>
      <c r="E1434">
        <v>7406</v>
      </c>
      <c r="F1434">
        <v>2025</v>
      </c>
      <c r="G1434">
        <v>15</v>
      </c>
      <c r="H1434">
        <v>5381</v>
      </c>
      <c r="I1434" s="2">
        <f>sa_retail_sales[[#This Row],[Profit]] / sa_retail_sales[[#This Row],[Revenue]]</f>
        <v>0.72657304887928709</v>
      </c>
      <c r="J1434">
        <f xml:space="preserve"> YEAR(sa_retail_sales[[#This Row],[Order Date]])</f>
        <v>2024</v>
      </c>
    </row>
    <row r="1435" spans="1:10" x14ac:dyDescent="0.3">
      <c r="A1435" s="1">
        <v>45093</v>
      </c>
      <c r="B1435" t="s">
        <v>17</v>
      </c>
      <c r="C1435" t="s">
        <v>16</v>
      </c>
      <c r="D1435" t="s">
        <v>19</v>
      </c>
      <c r="E1435">
        <v>6516</v>
      </c>
      <c r="F1435">
        <v>9476</v>
      </c>
      <c r="G1435">
        <v>20</v>
      </c>
      <c r="H1435">
        <v>-2960</v>
      </c>
      <c r="I1435" s="2">
        <f>sa_retail_sales[[#This Row],[Profit]] / sa_retail_sales[[#This Row],[Revenue]]</f>
        <v>-0.45426642111724985</v>
      </c>
      <c r="J1435">
        <f xml:space="preserve"> YEAR(sa_retail_sales[[#This Row],[Order Date]])</f>
        <v>2023</v>
      </c>
    </row>
    <row r="1436" spans="1:10" x14ac:dyDescent="0.3">
      <c r="A1436" s="1">
        <v>45517</v>
      </c>
      <c r="B1436" t="s">
        <v>8</v>
      </c>
      <c r="C1436" t="s">
        <v>14</v>
      </c>
      <c r="D1436" t="s">
        <v>19</v>
      </c>
      <c r="E1436">
        <v>14952</v>
      </c>
      <c r="F1436">
        <v>10079</v>
      </c>
      <c r="G1436">
        <v>0</v>
      </c>
      <c r="H1436">
        <v>4873</v>
      </c>
      <c r="I1436" s="2">
        <f>sa_retail_sales[[#This Row],[Profit]] / sa_retail_sales[[#This Row],[Revenue]]</f>
        <v>0.32590957731407172</v>
      </c>
      <c r="J1436">
        <f xml:space="preserve"> YEAR(sa_retail_sales[[#This Row],[Order Date]])</f>
        <v>2024</v>
      </c>
    </row>
    <row r="1437" spans="1:10" x14ac:dyDescent="0.3">
      <c r="A1437" s="1">
        <v>44713</v>
      </c>
      <c r="B1437" t="s">
        <v>8</v>
      </c>
      <c r="C1437" t="s">
        <v>13</v>
      </c>
      <c r="D1437" t="s">
        <v>10</v>
      </c>
      <c r="E1437">
        <v>13415</v>
      </c>
      <c r="F1437">
        <v>9828</v>
      </c>
      <c r="G1437">
        <v>20</v>
      </c>
      <c r="H1437">
        <v>3587</v>
      </c>
      <c r="I1437" s="2">
        <f>sa_retail_sales[[#This Row],[Profit]] / sa_retail_sales[[#This Row],[Revenue]]</f>
        <v>0.26738725307491612</v>
      </c>
      <c r="J1437">
        <f xml:space="preserve"> YEAR(sa_retail_sales[[#This Row],[Order Date]])</f>
        <v>2022</v>
      </c>
    </row>
    <row r="1438" spans="1:10" x14ac:dyDescent="0.3">
      <c r="A1438" s="1">
        <v>45508</v>
      </c>
      <c r="B1438" t="s">
        <v>8</v>
      </c>
      <c r="C1438" t="s">
        <v>14</v>
      </c>
      <c r="D1438" t="s">
        <v>19</v>
      </c>
      <c r="E1438">
        <v>13536</v>
      </c>
      <c r="F1438">
        <v>11629</v>
      </c>
      <c r="G1438">
        <v>5</v>
      </c>
      <c r="H1438">
        <v>1907</v>
      </c>
      <c r="I1438" s="2">
        <f>sa_retail_sales[[#This Row],[Profit]] / sa_retail_sales[[#This Row],[Revenue]]</f>
        <v>0.14088356973995272</v>
      </c>
      <c r="J1438">
        <f xml:space="preserve"> YEAR(sa_retail_sales[[#This Row],[Order Date]])</f>
        <v>2024</v>
      </c>
    </row>
    <row r="1439" spans="1:10" x14ac:dyDescent="0.3">
      <c r="A1439" s="1">
        <v>45169</v>
      </c>
      <c r="B1439" t="s">
        <v>17</v>
      </c>
      <c r="C1439" t="s">
        <v>16</v>
      </c>
      <c r="D1439" t="s">
        <v>19</v>
      </c>
      <c r="E1439">
        <v>4049</v>
      </c>
      <c r="F1439">
        <v>9153</v>
      </c>
      <c r="G1439">
        <v>10</v>
      </c>
      <c r="H1439">
        <v>-5104</v>
      </c>
      <c r="I1439" s="2">
        <f>sa_retail_sales[[#This Row],[Profit]] / sa_retail_sales[[#This Row],[Revenue]]</f>
        <v>-1.2605581625092614</v>
      </c>
      <c r="J1439">
        <f xml:space="preserve"> YEAR(sa_retail_sales[[#This Row],[Order Date]])</f>
        <v>2023</v>
      </c>
    </row>
    <row r="1440" spans="1:10" x14ac:dyDescent="0.3">
      <c r="A1440" s="1">
        <v>44981</v>
      </c>
      <c r="B1440" t="s">
        <v>8</v>
      </c>
      <c r="C1440" t="s">
        <v>16</v>
      </c>
      <c r="D1440" t="s">
        <v>10</v>
      </c>
      <c r="E1440">
        <v>12892</v>
      </c>
      <c r="F1440">
        <v>7487</v>
      </c>
      <c r="G1440">
        <v>15</v>
      </c>
      <c r="H1440">
        <v>5405</v>
      </c>
      <c r="I1440" s="2">
        <f>sa_retail_sales[[#This Row],[Profit]] / sa_retail_sales[[#This Row],[Revenue]]</f>
        <v>0.4192522494570276</v>
      </c>
      <c r="J1440">
        <f xml:space="preserve"> YEAR(sa_retail_sales[[#This Row],[Order Date]])</f>
        <v>2023</v>
      </c>
    </row>
    <row r="1441" spans="1:10" x14ac:dyDescent="0.3">
      <c r="A1441" s="1">
        <v>45427</v>
      </c>
      <c r="B1441" t="s">
        <v>17</v>
      </c>
      <c r="C1441" t="s">
        <v>16</v>
      </c>
      <c r="D1441" t="s">
        <v>15</v>
      </c>
      <c r="E1441">
        <v>8438</v>
      </c>
      <c r="F1441">
        <v>332</v>
      </c>
      <c r="G1441">
        <v>20</v>
      </c>
      <c r="H1441">
        <v>8106</v>
      </c>
      <c r="I1441" s="2">
        <f>sa_retail_sales[[#This Row],[Profit]] / sa_retail_sales[[#This Row],[Revenue]]</f>
        <v>0.96065418345579523</v>
      </c>
      <c r="J1441">
        <f xml:space="preserve"> YEAR(sa_retail_sales[[#This Row],[Order Date]])</f>
        <v>2024</v>
      </c>
    </row>
    <row r="1442" spans="1:10" x14ac:dyDescent="0.3">
      <c r="A1442" s="1">
        <v>45139</v>
      </c>
      <c r="B1442" t="s">
        <v>18</v>
      </c>
      <c r="C1442" t="s">
        <v>16</v>
      </c>
      <c r="D1442" t="s">
        <v>12</v>
      </c>
      <c r="E1442">
        <v>4641</v>
      </c>
      <c r="F1442">
        <v>6285</v>
      </c>
      <c r="G1442">
        <v>20</v>
      </c>
      <c r="H1442">
        <v>-1644</v>
      </c>
      <c r="I1442" s="2">
        <f>sa_retail_sales[[#This Row],[Profit]] / sa_retail_sales[[#This Row],[Revenue]]</f>
        <v>-0.35423400129282484</v>
      </c>
      <c r="J1442">
        <f xml:space="preserve"> YEAR(sa_retail_sales[[#This Row],[Order Date]])</f>
        <v>2023</v>
      </c>
    </row>
    <row r="1443" spans="1:10" x14ac:dyDescent="0.3">
      <c r="A1443" s="1">
        <v>44896</v>
      </c>
      <c r="B1443" t="s">
        <v>17</v>
      </c>
      <c r="C1443" t="s">
        <v>16</v>
      </c>
      <c r="D1443" t="s">
        <v>10</v>
      </c>
      <c r="E1443">
        <v>7466</v>
      </c>
      <c r="F1443">
        <v>3714</v>
      </c>
      <c r="G1443">
        <v>10</v>
      </c>
      <c r="H1443">
        <v>3752</v>
      </c>
      <c r="I1443" s="2">
        <f>sa_retail_sales[[#This Row],[Profit]] / sa_retail_sales[[#This Row],[Revenue]]</f>
        <v>0.50254487007768556</v>
      </c>
      <c r="J1443">
        <f xml:space="preserve"> YEAR(sa_retail_sales[[#This Row],[Order Date]])</f>
        <v>2022</v>
      </c>
    </row>
    <row r="1444" spans="1:10" x14ac:dyDescent="0.3">
      <c r="A1444" s="1">
        <v>45493</v>
      </c>
      <c r="B1444" t="s">
        <v>11</v>
      </c>
      <c r="C1444" t="s">
        <v>13</v>
      </c>
      <c r="D1444" t="s">
        <v>15</v>
      </c>
      <c r="E1444">
        <v>10046</v>
      </c>
      <c r="F1444">
        <v>1456</v>
      </c>
      <c r="G1444">
        <v>15</v>
      </c>
      <c r="H1444">
        <v>8590</v>
      </c>
      <c r="I1444" s="2">
        <f>sa_retail_sales[[#This Row],[Profit]] / sa_retail_sales[[#This Row],[Revenue]]</f>
        <v>0.8550666932112283</v>
      </c>
      <c r="J1444">
        <f xml:space="preserve"> YEAR(sa_retail_sales[[#This Row],[Order Date]])</f>
        <v>2024</v>
      </c>
    </row>
    <row r="1445" spans="1:10" x14ac:dyDescent="0.3">
      <c r="A1445" s="1">
        <v>44856</v>
      </c>
      <c r="B1445" t="s">
        <v>8</v>
      </c>
      <c r="C1445" t="s">
        <v>9</v>
      </c>
      <c r="D1445" t="s">
        <v>10</v>
      </c>
      <c r="E1445">
        <v>5835</v>
      </c>
      <c r="F1445">
        <v>3426</v>
      </c>
      <c r="G1445">
        <v>20</v>
      </c>
      <c r="H1445">
        <v>2409</v>
      </c>
      <c r="I1445" s="2">
        <f>sa_retail_sales[[#This Row],[Profit]] / sa_retail_sales[[#This Row],[Revenue]]</f>
        <v>0.41285347043701798</v>
      </c>
      <c r="J1445">
        <f xml:space="preserve"> YEAR(sa_retail_sales[[#This Row],[Order Date]])</f>
        <v>2022</v>
      </c>
    </row>
    <row r="1446" spans="1:10" x14ac:dyDescent="0.3">
      <c r="A1446" s="1">
        <v>45316</v>
      </c>
      <c r="B1446" t="s">
        <v>8</v>
      </c>
      <c r="C1446" t="s">
        <v>16</v>
      </c>
      <c r="D1446" t="s">
        <v>15</v>
      </c>
      <c r="E1446">
        <v>5577</v>
      </c>
      <c r="F1446">
        <v>8552</v>
      </c>
      <c r="G1446">
        <v>20</v>
      </c>
      <c r="H1446">
        <v>-2975</v>
      </c>
      <c r="I1446" s="2">
        <f>sa_retail_sales[[#This Row],[Profit]] / sa_retail_sales[[#This Row],[Revenue]]</f>
        <v>-0.53344091805630267</v>
      </c>
      <c r="J1446">
        <f xml:space="preserve"> YEAR(sa_retail_sales[[#This Row],[Order Date]])</f>
        <v>2024</v>
      </c>
    </row>
    <row r="1447" spans="1:10" x14ac:dyDescent="0.3">
      <c r="A1447" s="1">
        <v>44747</v>
      </c>
      <c r="B1447" t="s">
        <v>11</v>
      </c>
      <c r="C1447" t="s">
        <v>16</v>
      </c>
      <c r="D1447" t="s">
        <v>10</v>
      </c>
      <c r="E1447">
        <v>13747</v>
      </c>
      <c r="F1447">
        <v>1843</v>
      </c>
      <c r="G1447">
        <v>5</v>
      </c>
      <c r="H1447">
        <v>11904</v>
      </c>
      <c r="I1447" s="2">
        <f>sa_retail_sales[[#This Row],[Profit]] / sa_retail_sales[[#This Row],[Revenue]]</f>
        <v>0.86593438568414927</v>
      </c>
      <c r="J1447">
        <f xml:space="preserve"> YEAR(sa_retail_sales[[#This Row],[Order Date]])</f>
        <v>2022</v>
      </c>
    </row>
    <row r="1448" spans="1:10" x14ac:dyDescent="0.3">
      <c r="A1448" s="1">
        <v>45198</v>
      </c>
      <c r="B1448" t="s">
        <v>17</v>
      </c>
      <c r="C1448" t="s">
        <v>14</v>
      </c>
      <c r="D1448" t="s">
        <v>15</v>
      </c>
      <c r="E1448">
        <v>6111</v>
      </c>
      <c r="F1448">
        <v>571</v>
      </c>
      <c r="G1448">
        <v>5</v>
      </c>
      <c r="H1448">
        <v>5540</v>
      </c>
      <c r="I1448" s="2">
        <f>sa_retail_sales[[#This Row],[Profit]] / sa_retail_sales[[#This Row],[Revenue]]</f>
        <v>0.90656193748977254</v>
      </c>
      <c r="J1448">
        <f xml:space="preserve"> YEAR(sa_retail_sales[[#This Row],[Order Date]])</f>
        <v>2023</v>
      </c>
    </row>
    <row r="1449" spans="1:10" x14ac:dyDescent="0.3">
      <c r="A1449" s="1">
        <v>45091</v>
      </c>
      <c r="B1449" t="s">
        <v>18</v>
      </c>
      <c r="C1449" t="s">
        <v>13</v>
      </c>
      <c r="D1449" t="s">
        <v>10</v>
      </c>
      <c r="E1449">
        <v>10528</v>
      </c>
      <c r="F1449">
        <v>5595</v>
      </c>
      <c r="G1449">
        <v>0</v>
      </c>
      <c r="H1449">
        <v>4933</v>
      </c>
      <c r="I1449" s="2">
        <f>sa_retail_sales[[#This Row],[Profit]] / sa_retail_sales[[#This Row],[Revenue]]</f>
        <v>0.46856003039513677</v>
      </c>
      <c r="J1449">
        <f xml:space="preserve"> YEAR(sa_retail_sales[[#This Row],[Order Date]])</f>
        <v>2023</v>
      </c>
    </row>
    <row r="1450" spans="1:10" x14ac:dyDescent="0.3">
      <c r="A1450" s="1">
        <v>44582</v>
      </c>
      <c r="B1450" t="s">
        <v>11</v>
      </c>
      <c r="C1450" t="s">
        <v>13</v>
      </c>
      <c r="D1450" t="s">
        <v>15</v>
      </c>
      <c r="E1450">
        <v>8589</v>
      </c>
      <c r="F1450">
        <v>4376</v>
      </c>
      <c r="G1450">
        <v>10</v>
      </c>
      <c r="H1450">
        <v>4213</v>
      </c>
      <c r="I1450" s="2">
        <f>sa_retail_sales[[#This Row],[Profit]] / sa_retail_sales[[#This Row],[Revenue]]</f>
        <v>0.49051111887297705</v>
      </c>
      <c r="J1450">
        <f xml:space="preserve"> YEAR(sa_retail_sales[[#This Row],[Order Date]])</f>
        <v>2022</v>
      </c>
    </row>
    <row r="1451" spans="1:10" x14ac:dyDescent="0.3">
      <c r="A1451" s="1">
        <v>45472</v>
      </c>
      <c r="B1451" t="s">
        <v>11</v>
      </c>
      <c r="C1451" t="s">
        <v>9</v>
      </c>
      <c r="D1451" t="s">
        <v>10</v>
      </c>
      <c r="E1451">
        <v>3392</v>
      </c>
      <c r="F1451">
        <v>11880</v>
      </c>
      <c r="G1451">
        <v>15</v>
      </c>
      <c r="H1451">
        <v>-8488</v>
      </c>
      <c r="I1451" s="2">
        <f>sa_retail_sales[[#This Row],[Profit]] / sa_retail_sales[[#This Row],[Revenue]]</f>
        <v>-2.5023584905660377</v>
      </c>
      <c r="J1451">
        <f xml:space="preserve"> YEAR(sa_retail_sales[[#This Row],[Order Date]])</f>
        <v>2024</v>
      </c>
    </row>
    <row r="1452" spans="1:10" x14ac:dyDescent="0.3">
      <c r="A1452" s="1">
        <v>45428</v>
      </c>
      <c r="B1452" t="s">
        <v>17</v>
      </c>
      <c r="C1452" t="s">
        <v>13</v>
      </c>
      <c r="D1452" t="s">
        <v>12</v>
      </c>
      <c r="E1452">
        <v>11188</v>
      </c>
      <c r="F1452">
        <v>6202</v>
      </c>
      <c r="G1452">
        <v>20</v>
      </c>
      <c r="H1452">
        <v>4986</v>
      </c>
      <c r="I1452" s="2">
        <f>sa_retail_sales[[#This Row],[Profit]] / sa_retail_sales[[#This Row],[Revenue]]</f>
        <v>0.44565606006435465</v>
      </c>
      <c r="J1452">
        <f xml:space="preserve"> YEAR(sa_retail_sales[[#This Row],[Order Date]])</f>
        <v>2024</v>
      </c>
    </row>
    <row r="1453" spans="1:10" x14ac:dyDescent="0.3">
      <c r="A1453" s="1">
        <v>45355</v>
      </c>
      <c r="B1453" t="s">
        <v>8</v>
      </c>
      <c r="C1453" t="s">
        <v>14</v>
      </c>
      <c r="D1453" t="s">
        <v>12</v>
      </c>
      <c r="E1453">
        <v>11275</v>
      </c>
      <c r="F1453">
        <v>11244</v>
      </c>
      <c r="G1453">
        <v>20</v>
      </c>
      <c r="H1453">
        <v>31</v>
      </c>
      <c r="I1453" s="2">
        <f>sa_retail_sales[[#This Row],[Profit]] / sa_retail_sales[[#This Row],[Revenue]]</f>
        <v>2.7494456762749446E-3</v>
      </c>
      <c r="J1453">
        <f xml:space="preserve"> YEAR(sa_retail_sales[[#This Row],[Order Date]])</f>
        <v>2024</v>
      </c>
    </row>
    <row r="1454" spans="1:10" x14ac:dyDescent="0.3">
      <c r="A1454" s="1">
        <v>44661</v>
      </c>
      <c r="B1454" t="s">
        <v>17</v>
      </c>
      <c r="C1454" t="s">
        <v>14</v>
      </c>
      <c r="D1454" t="s">
        <v>19</v>
      </c>
      <c r="E1454">
        <v>11250</v>
      </c>
      <c r="F1454">
        <v>3009</v>
      </c>
      <c r="G1454">
        <v>0</v>
      </c>
      <c r="H1454">
        <v>8241</v>
      </c>
      <c r="I1454" s="2">
        <f>sa_retail_sales[[#This Row],[Profit]] / sa_retail_sales[[#This Row],[Revenue]]</f>
        <v>0.73253333333333337</v>
      </c>
      <c r="J1454">
        <f xml:space="preserve"> YEAR(sa_retail_sales[[#This Row],[Order Date]])</f>
        <v>2022</v>
      </c>
    </row>
    <row r="1455" spans="1:10" x14ac:dyDescent="0.3">
      <c r="A1455" s="1">
        <v>45313</v>
      </c>
      <c r="B1455" t="s">
        <v>11</v>
      </c>
      <c r="C1455" t="s">
        <v>9</v>
      </c>
      <c r="D1455" t="s">
        <v>15</v>
      </c>
      <c r="E1455">
        <v>6077</v>
      </c>
      <c r="F1455">
        <v>9646</v>
      </c>
      <c r="G1455">
        <v>20</v>
      </c>
      <c r="H1455">
        <v>-3569</v>
      </c>
      <c r="I1455" s="2">
        <f>sa_retail_sales[[#This Row],[Profit]] / sa_retail_sales[[#This Row],[Revenue]]</f>
        <v>-0.58729636333717294</v>
      </c>
      <c r="J1455">
        <f xml:space="preserve"> YEAR(sa_retail_sales[[#This Row],[Order Date]])</f>
        <v>2024</v>
      </c>
    </row>
    <row r="1456" spans="1:10" x14ac:dyDescent="0.3">
      <c r="A1456" s="1">
        <v>45039</v>
      </c>
      <c r="B1456" t="s">
        <v>11</v>
      </c>
      <c r="C1456" t="s">
        <v>14</v>
      </c>
      <c r="D1456" t="s">
        <v>10</v>
      </c>
      <c r="E1456">
        <v>4118</v>
      </c>
      <c r="F1456">
        <v>5521</v>
      </c>
      <c r="G1456">
        <v>10</v>
      </c>
      <c r="H1456">
        <v>-1403</v>
      </c>
      <c r="I1456" s="2">
        <f>sa_retail_sales[[#This Row],[Profit]] / sa_retail_sales[[#This Row],[Revenue]]</f>
        <v>-0.34069936862554639</v>
      </c>
      <c r="J1456">
        <f xml:space="preserve"> YEAR(sa_retail_sales[[#This Row],[Order Date]])</f>
        <v>2023</v>
      </c>
    </row>
    <row r="1457" spans="1:10" x14ac:dyDescent="0.3">
      <c r="A1457" s="1">
        <v>45501</v>
      </c>
      <c r="B1457" t="s">
        <v>8</v>
      </c>
      <c r="C1457" t="s">
        <v>16</v>
      </c>
      <c r="D1457" t="s">
        <v>15</v>
      </c>
      <c r="E1457">
        <v>2059</v>
      </c>
      <c r="F1457">
        <v>10237</v>
      </c>
      <c r="G1457">
        <v>0</v>
      </c>
      <c r="H1457">
        <v>-8178</v>
      </c>
      <c r="I1457" s="2">
        <f>sa_retail_sales[[#This Row],[Profit]] / sa_retail_sales[[#This Row],[Revenue]]</f>
        <v>-3.971830985915493</v>
      </c>
      <c r="J1457">
        <f xml:space="preserve"> YEAR(sa_retail_sales[[#This Row],[Order Date]])</f>
        <v>2024</v>
      </c>
    </row>
    <row r="1458" spans="1:10" x14ac:dyDescent="0.3">
      <c r="A1458" s="1">
        <v>45087</v>
      </c>
      <c r="B1458" t="s">
        <v>8</v>
      </c>
      <c r="C1458" t="s">
        <v>16</v>
      </c>
      <c r="D1458" t="s">
        <v>12</v>
      </c>
      <c r="E1458">
        <v>7183</v>
      </c>
      <c r="F1458">
        <v>11924</v>
      </c>
      <c r="G1458">
        <v>10</v>
      </c>
      <c r="H1458">
        <v>-4741</v>
      </c>
      <c r="I1458" s="2">
        <f>sa_retail_sales[[#This Row],[Profit]] / sa_retail_sales[[#This Row],[Revenue]]</f>
        <v>-0.66003062787136291</v>
      </c>
      <c r="J1458">
        <f xml:space="preserve"> YEAR(sa_retail_sales[[#This Row],[Order Date]])</f>
        <v>2023</v>
      </c>
    </row>
    <row r="1459" spans="1:10" x14ac:dyDescent="0.3">
      <c r="A1459" s="1">
        <v>44895</v>
      </c>
      <c r="B1459" t="s">
        <v>8</v>
      </c>
      <c r="C1459" t="s">
        <v>14</v>
      </c>
      <c r="D1459" t="s">
        <v>15</v>
      </c>
      <c r="E1459">
        <v>2007</v>
      </c>
      <c r="F1459">
        <v>8829</v>
      </c>
      <c r="G1459">
        <v>0</v>
      </c>
      <c r="H1459">
        <v>-6822</v>
      </c>
      <c r="I1459" s="2">
        <f>sa_retail_sales[[#This Row],[Profit]] / sa_retail_sales[[#This Row],[Revenue]]</f>
        <v>-3.399103139013453</v>
      </c>
      <c r="J1459">
        <f xml:space="preserve"> YEAR(sa_retail_sales[[#This Row],[Order Date]])</f>
        <v>2022</v>
      </c>
    </row>
    <row r="1460" spans="1:10" x14ac:dyDescent="0.3">
      <c r="A1460" s="1">
        <v>44563</v>
      </c>
      <c r="B1460" t="s">
        <v>17</v>
      </c>
      <c r="C1460" t="s">
        <v>9</v>
      </c>
      <c r="D1460" t="s">
        <v>10</v>
      </c>
      <c r="E1460">
        <v>12763</v>
      </c>
      <c r="F1460">
        <v>7022</v>
      </c>
      <c r="G1460">
        <v>20</v>
      </c>
      <c r="H1460">
        <v>5741</v>
      </c>
      <c r="I1460" s="2">
        <f>sa_retail_sales[[#This Row],[Profit]] / sa_retail_sales[[#This Row],[Revenue]]</f>
        <v>0.44981587401081252</v>
      </c>
      <c r="J1460">
        <f xml:space="preserve"> YEAR(sa_retail_sales[[#This Row],[Order Date]])</f>
        <v>2022</v>
      </c>
    </row>
    <row r="1461" spans="1:10" x14ac:dyDescent="0.3">
      <c r="A1461" s="1">
        <v>44936</v>
      </c>
      <c r="B1461" t="s">
        <v>8</v>
      </c>
      <c r="C1461" t="s">
        <v>13</v>
      </c>
      <c r="D1461" t="s">
        <v>15</v>
      </c>
      <c r="E1461">
        <v>2563</v>
      </c>
      <c r="F1461">
        <v>8501</v>
      </c>
      <c r="G1461">
        <v>0</v>
      </c>
      <c r="H1461">
        <v>-5938</v>
      </c>
      <c r="I1461" s="2">
        <f>sa_retail_sales[[#This Row],[Profit]] / sa_retail_sales[[#This Row],[Revenue]]</f>
        <v>-2.3168162309793212</v>
      </c>
      <c r="J1461">
        <f xml:space="preserve"> YEAR(sa_retail_sales[[#This Row],[Order Date]])</f>
        <v>2023</v>
      </c>
    </row>
    <row r="1462" spans="1:10" x14ac:dyDescent="0.3">
      <c r="A1462" s="1">
        <v>44854</v>
      </c>
      <c r="B1462" t="s">
        <v>11</v>
      </c>
      <c r="C1462" t="s">
        <v>9</v>
      </c>
      <c r="D1462" t="s">
        <v>10</v>
      </c>
      <c r="E1462">
        <v>4142</v>
      </c>
      <c r="F1462">
        <v>4444</v>
      </c>
      <c r="G1462">
        <v>5</v>
      </c>
      <c r="H1462">
        <v>-302</v>
      </c>
      <c r="I1462" s="2">
        <f>sa_retail_sales[[#This Row],[Profit]] / sa_retail_sales[[#This Row],[Revenue]]</f>
        <v>-7.291163689039111E-2</v>
      </c>
      <c r="J1462">
        <f xml:space="preserve"> YEAR(sa_retail_sales[[#This Row],[Order Date]])</f>
        <v>2022</v>
      </c>
    </row>
    <row r="1463" spans="1:10" x14ac:dyDescent="0.3">
      <c r="A1463" s="1">
        <v>45398</v>
      </c>
      <c r="B1463" t="s">
        <v>11</v>
      </c>
      <c r="C1463" t="s">
        <v>13</v>
      </c>
      <c r="D1463" t="s">
        <v>12</v>
      </c>
      <c r="E1463">
        <v>2500</v>
      </c>
      <c r="F1463">
        <v>5906</v>
      </c>
      <c r="G1463">
        <v>15</v>
      </c>
      <c r="H1463">
        <v>-3406</v>
      </c>
      <c r="I1463" s="2">
        <f>sa_retail_sales[[#This Row],[Profit]] / sa_retail_sales[[#This Row],[Revenue]]</f>
        <v>-1.3624000000000001</v>
      </c>
      <c r="J1463">
        <f xml:space="preserve"> YEAR(sa_retail_sales[[#This Row],[Order Date]])</f>
        <v>2024</v>
      </c>
    </row>
    <row r="1464" spans="1:10" x14ac:dyDescent="0.3">
      <c r="A1464" s="1">
        <v>45566</v>
      </c>
      <c r="B1464" t="s">
        <v>18</v>
      </c>
      <c r="C1464" t="s">
        <v>14</v>
      </c>
      <c r="D1464" t="s">
        <v>12</v>
      </c>
      <c r="E1464">
        <v>14761</v>
      </c>
      <c r="F1464">
        <v>7066</v>
      </c>
      <c r="G1464">
        <v>20</v>
      </c>
      <c r="H1464">
        <v>7695</v>
      </c>
      <c r="I1464" s="2">
        <f>sa_retail_sales[[#This Row],[Profit]] / sa_retail_sales[[#This Row],[Revenue]]</f>
        <v>0.52130614457015112</v>
      </c>
      <c r="J1464">
        <f xml:space="preserve"> YEAR(sa_retail_sales[[#This Row],[Order Date]])</f>
        <v>2024</v>
      </c>
    </row>
    <row r="1465" spans="1:10" x14ac:dyDescent="0.3">
      <c r="A1465" s="1">
        <v>45114</v>
      </c>
      <c r="B1465" t="s">
        <v>17</v>
      </c>
      <c r="C1465" t="s">
        <v>14</v>
      </c>
      <c r="D1465" t="s">
        <v>12</v>
      </c>
      <c r="E1465">
        <v>13699</v>
      </c>
      <c r="F1465">
        <v>1030</v>
      </c>
      <c r="G1465">
        <v>15</v>
      </c>
      <c r="H1465">
        <v>12669</v>
      </c>
      <c r="I1465" s="2">
        <f>sa_retail_sales[[#This Row],[Profit]] / sa_retail_sales[[#This Row],[Revenue]]</f>
        <v>0.92481203007518797</v>
      </c>
      <c r="J1465">
        <f xml:space="preserve"> YEAR(sa_retail_sales[[#This Row],[Order Date]])</f>
        <v>2023</v>
      </c>
    </row>
    <row r="1466" spans="1:10" x14ac:dyDescent="0.3">
      <c r="A1466" s="1">
        <v>44879</v>
      </c>
      <c r="B1466" t="s">
        <v>18</v>
      </c>
      <c r="C1466" t="s">
        <v>16</v>
      </c>
      <c r="D1466" t="s">
        <v>19</v>
      </c>
      <c r="E1466">
        <v>1794</v>
      </c>
      <c r="F1466">
        <v>5190</v>
      </c>
      <c r="G1466">
        <v>20</v>
      </c>
      <c r="H1466">
        <v>-3396</v>
      </c>
      <c r="I1466" s="2">
        <f>sa_retail_sales[[#This Row],[Profit]] / sa_retail_sales[[#This Row],[Revenue]]</f>
        <v>-1.8929765886287626</v>
      </c>
      <c r="J1466">
        <f xml:space="preserve"> YEAR(sa_retail_sales[[#This Row],[Order Date]])</f>
        <v>2022</v>
      </c>
    </row>
    <row r="1467" spans="1:10" x14ac:dyDescent="0.3">
      <c r="A1467" s="1">
        <v>44942</v>
      </c>
      <c r="B1467" t="s">
        <v>11</v>
      </c>
      <c r="C1467" t="s">
        <v>13</v>
      </c>
      <c r="D1467" t="s">
        <v>12</v>
      </c>
      <c r="E1467">
        <v>4565</v>
      </c>
      <c r="F1467">
        <v>1948</v>
      </c>
      <c r="G1467">
        <v>15</v>
      </c>
      <c r="H1467">
        <v>2617</v>
      </c>
      <c r="I1467" s="2">
        <f>sa_retail_sales[[#This Row],[Profit]] / sa_retail_sales[[#This Row],[Revenue]]</f>
        <v>0.57327491785323115</v>
      </c>
      <c r="J1467">
        <f xml:space="preserve"> YEAR(sa_retail_sales[[#This Row],[Order Date]])</f>
        <v>2023</v>
      </c>
    </row>
    <row r="1468" spans="1:10" x14ac:dyDescent="0.3">
      <c r="A1468" s="1">
        <v>44575</v>
      </c>
      <c r="B1468" t="s">
        <v>18</v>
      </c>
      <c r="C1468" t="s">
        <v>9</v>
      </c>
      <c r="D1468" t="s">
        <v>15</v>
      </c>
      <c r="E1468">
        <v>14590</v>
      </c>
      <c r="F1468">
        <v>4528</v>
      </c>
      <c r="G1468">
        <v>5</v>
      </c>
      <c r="H1468">
        <v>10062</v>
      </c>
      <c r="I1468" s="2">
        <f>sa_retail_sales[[#This Row],[Profit]] / sa_retail_sales[[#This Row],[Revenue]]</f>
        <v>0.68965044551062371</v>
      </c>
      <c r="J1468">
        <f xml:space="preserve"> YEAR(sa_retail_sales[[#This Row],[Order Date]])</f>
        <v>2022</v>
      </c>
    </row>
    <row r="1469" spans="1:10" x14ac:dyDescent="0.3">
      <c r="A1469" s="1">
        <v>45065</v>
      </c>
      <c r="B1469" t="s">
        <v>11</v>
      </c>
      <c r="C1469" t="s">
        <v>14</v>
      </c>
      <c r="D1469" t="s">
        <v>19</v>
      </c>
      <c r="E1469">
        <v>11444</v>
      </c>
      <c r="F1469">
        <v>2430</v>
      </c>
      <c r="G1469">
        <v>15</v>
      </c>
      <c r="H1469">
        <v>9014</v>
      </c>
      <c r="I1469" s="2">
        <f>sa_retail_sales[[#This Row],[Profit]] / sa_retail_sales[[#This Row],[Revenue]]</f>
        <v>0.78766165676336941</v>
      </c>
      <c r="J1469">
        <f xml:space="preserve"> YEAR(sa_retail_sales[[#This Row],[Order Date]])</f>
        <v>2023</v>
      </c>
    </row>
    <row r="1470" spans="1:10" x14ac:dyDescent="0.3">
      <c r="A1470" s="1">
        <v>44792</v>
      </c>
      <c r="B1470" t="s">
        <v>18</v>
      </c>
      <c r="C1470" t="s">
        <v>9</v>
      </c>
      <c r="D1470" t="s">
        <v>12</v>
      </c>
      <c r="E1470">
        <v>8514</v>
      </c>
      <c r="F1470">
        <v>10888</v>
      </c>
      <c r="G1470">
        <v>0</v>
      </c>
      <c r="H1470">
        <v>-2374</v>
      </c>
      <c r="I1470" s="2">
        <f>sa_retail_sales[[#This Row],[Profit]] / sa_retail_sales[[#This Row],[Revenue]]</f>
        <v>-0.27883486023020909</v>
      </c>
      <c r="J1470">
        <f xml:space="preserve"> YEAR(sa_retail_sales[[#This Row],[Order Date]])</f>
        <v>2022</v>
      </c>
    </row>
    <row r="1471" spans="1:10" x14ac:dyDescent="0.3">
      <c r="A1471" s="1">
        <v>44691</v>
      </c>
      <c r="B1471" t="s">
        <v>8</v>
      </c>
      <c r="C1471" t="s">
        <v>16</v>
      </c>
      <c r="D1471" t="s">
        <v>15</v>
      </c>
      <c r="E1471">
        <v>10445</v>
      </c>
      <c r="F1471">
        <v>4666</v>
      </c>
      <c r="G1471">
        <v>15</v>
      </c>
      <c r="H1471">
        <v>5779</v>
      </c>
      <c r="I1471" s="2">
        <f>sa_retail_sales[[#This Row],[Profit]] / sa_retail_sales[[#This Row],[Revenue]]</f>
        <v>0.55327908089995215</v>
      </c>
      <c r="J1471">
        <f xml:space="preserve"> YEAR(sa_retail_sales[[#This Row],[Order Date]])</f>
        <v>2022</v>
      </c>
    </row>
    <row r="1472" spans="1:10" x14ac:dyDescent="0.3">
      <c r="A1472" s="1">
        <v>45399</v>
      </c>
      <c r="B1472" t="s">
        <v>18</v>
      </c>
      <c r="C1472" t="s">
        <v>13</v>
      </c>
      <c r="D1472" t="s">
        <v>15</v>
      </c>
      <c r="E1472">
        <v>12902</v>
      </c>
      <c r="F1472">
        <v>1806</v>
      </c>
      <c r="G1472">
        <v>20</v>
      </c>
      <c r="H1472">
        <v>11096</v>
      </c>
      <c r="I1472" s="2">
        <f>sa_retail_sales[[#This Row],[Profit]] / sa_retail_sales[[#This Row],[Revenue]]</f>
        <v>0.86002170206169581</v>
      </c>
      <c r="J1472">
        <f xml:space="preserve"> YEAR(sa_retail_sales[[#This Row],[Order Date]])</f>
        <v>2024</v>
      </c>
    </row>
    <row r="1473" spans="1:10" x14ac:dyDescent="0.3">
      <c r="A1473" s="1">
        <v>45452</v>
      </c>
      <c r="B1473" t="s">
        <v>8</v>
      </c>
      <c r="C1473" t="s">
        <v>13</v>
      </c>
      <c r="D1473" t="s">
        <v>15</v>
      </c>
      <c r="E1473">
        <v>2103</v>
      </c>
      <c r="F1473">
        <v>2458</v>
      </c>
      <c r="G1473">
        <v>10</v>
      </c>
      <c r="H1473">
        <v>-355</v>
      </c>
      <c r="I1473" s="2">
        <f>sa_retail_sales[[#This Row],[Profit]] / sa_retail_sales[[#This Row],[Revenue]]</f>
        <v>-0.16880646695197338</v>
      </c>
      <c r="J1473">
        <f xml:space="preserve"> YEAR(sa_retail_sales[[#This Row],[Order Date]])</f>
        <v>2024</v>
      </c>
    </row>
    <row r="1474" spans="1:10" x14ac:dyDescent="0.3">
      <c r="A1474" s="1">
        <v>44589</v>
      </c>
      <c r="B1474" t="s">
        <v>8</v>
      </c>
      <c r="C1474" t="s">
        <v>14</v>
      </c>
      <c r="D1474" t="s">
        <v>10</v>
      </c>
      <c r="E1474">
        <v>1822</v>
      </c>
      <c r="F1474">
        <v>3216</v>
      </c>
      <c r="G1474">
        <v>15</v>
      </c>
      <c r="H1474">
        <v>-1394</v>
      </c>
      <c r="I1474" s="2">
        <f>sa_retail_sales[[#This Row],[Profit]] / sa_retail_sales[[#This Row],[Revenue]]</f>
        <v>-0.76509330406147091</v>
      </c>
      <c r="J1474">
        <f xml:space="preserve"> YEAR(sa_retail_sales[[#This Row],[Order Date]])</f>
        <v>2022</v>
      </c>
    </row>
    <row r="1475" spans="1:10" x14ac:dyDescent="0.3">
      <c r="A1475" s="1">
        <v>44627</v>
      </c>
      <c r="B1475" t="s">
        <v>17</v>
      </c>
      <c r="C1475" t="s">
        <v>13</v>
      </c>
      <c r="D1475" t="s">
        <v>19</v>
      </c>
      <c r="E1475">
        <v>6456</v>
      </c>
      <c r="F1475">
        <v>3529</v>
      </c>
      <c r="G1475">
        <v>15</v>
      </c>
      <c r="H1475">
        <v>2927</v>
      </c>
      <c r="I1475" s="2">
        <f>sa_retail_sales[[#This Row],[Profit]] / sa_retail_sales[[#This Row],[Revenue]]</f>
        <v>0.45337670384138784</v>
      </c>
      <c r="J1475">
        <f xml:space="preserve"> YEAR(sa_retail_sales[[#This Row],[Order Date]])</f>
        <v>2022</v>
      </c>
    </row>
    <row r="1476" spans="1:10" x14ac:dyDescent="0.3">
      <c r="A1476" s="1">
        <v>44822</v>
      </c>
      <c r="B1476" t="s">
        <v>8</v>
      </c>
      <c r="C1476" t="s">
        <v>14</v>
      </c>
      <c r="D1476" t="s">
        <v>15</v>
      </c>
      <c r="E1476">
        <v>2941</v>
      </c>
      <c r="F1476">
        <v>10158</v>
      </c>
      <c r="G1476">
        <v>15</v>
      </c>
      <c r="H1476">
        <v>-7217</v>
      </c>
      <c r="I1476" s="2">
        <f>sa_retail_sales[[#This Row],[Profit]] / sa_retail_sales[[#This Row],[Revenue]]</f>
        <v>-2.4539272356341382</v>
      </c>
      <c r="J1476">
        <f xml:space="preserve"> YEAR(sa_retail_sales[[#This Row],[Order Date]])</f>
        <v>2022</v>
      </c>
    </row>
    <row r="1477" spans="1:10" x14ac:dyDescent="0.3">
      <c r="A1477" s="1">
        <v>45021</v>
      </c>
      <c r="B1477" t="s">
        <v>8</v>
      </c>
      <c r="C1477" t="s">
        <v>16</v>
      </c>
      <c r="D1477" t="s">
        <v>10</v>
      </c>
      <c r="E1477">
        <v>1598</v>
      </c>
      <c r="F1477">
        <v>6565</v>
      </c>
      <c r="G1477">
        <v>20</v>
      </c>
      <c r="H1477">
        <v>-4967</v>
      </c>
      <c r="I1477" s="2">
        <f>sa_retail_sales[[#This Row],[Profit]] / sa_retail_sales[[#This Row],[Revenue]]</f>
        <v>-3.1082603254067585</v>
      </c>
      <c r="J1477">
        <f xml:space="preserve"> YEAR(sa_retail_sales[[#This Row],[Order Date]])</f>
        <v>2023</v>
      </c>
    </row>
    <row r="1478" spans="1:10" x14ac:dyDescent="0.3">
      <c r="A1478" s="1">
        <v>44862</v>
      </c>
      <c r="B1478" t="s">
        <v>18</v>
      </c>
      <c r="C1478" t="s">
        <v>13</v>
      </c>
      <c r="D1478" t="s">
        <v>12</v>
      </c>
      <c r="E1478">
        <v>5573</v>
      </c>
      <c r="F1478">
        <v>4436</v>
      </c>
      <c r="G1478">
        <v>15</v>
      </c>
      <c r="H1478">
        <v>1137</v>
      </c>
      <c r="I1478" s="2">
        <f>sa_retail_sales[[#This Row],[Profit]] / sa_retail_sales[[#This Row],[Revenue]]</f>
        <v>0.20401937914947066</v>
      </c>
      <c r="J1478">
        <f xml:space="preserve"> YEAR(sa_retail_sales[[#This Row],[Order Date]])</f>
        <v>2022</v>
      </c>
    </row>
    <row r="1479" spans="1:10" x14ac:dyDescent="0.3">
      <c r="A1479" s="1">
        <v>45480</v>
      </c>
      <c r="B1479" t="s">
        <v>11</v>
      </c>
      <c r="C1479" t="s">
        <v>14</v>
      </c>
      <c r="D1479" t="s">
        <v>15</v>
      </c>
      <c r="E1479">
        <v>10197</v>
      </c>
      <c r="F1479">
        <v>11461</v>
      </c>
      <c r="G1479">
        <v>20</v>
      </c>
      <c r="H1479">
        <v>-1264</v>
      </c>
      <c r="I1479" s="2">
        <f>sa_retail_sales[[#This Row],[Profit]] / sa_retail_sales[[#This Row],[Revenue]]</f>
        <v>-0.12395802687064823</v>
      </c>
      <c r="J1479">
        <f xml:space="preserve"> YEAR(sa_retail_sales[[#This Row],[Order Date]])</f>
        <v>2024</v>
      </c>
    </row>
    <row r="1480" spans="1:10" x14ac:dyDescent="0.3">
      <c r="A1480" s="1">
        <v>44848</v>
      </c>
      <c r="B1480" t="s">
        <v>17</v>
      </c>
      <c r="C1480" t="s">
        <v>9</v>
      </c>
      <c r="D1480" t="s">
        <v>10</v>
      </c>
      <c r="E1480">
        <v>9818</v>
      </c>
      <c r="F1480">
        <v>2989</v>
      </c>
      <c r="G1480">
        <v>20</v>
      </c>
      <c r="H1480">
        <v>6829</v>
      </c>
      <c r="I1480" s="2">
        <f>sa_retail_sales[[#This Row],[Profit]] / sa_retail_sales[[#This Row],[Revenue]]</f>
        <v>0.6955591770217967</v>
      </c>
      <c r="J1480">
        <f xml:space="preserve"> YEAR(sa_retail_sales[[#This Row],[Order Date]])</f>
        <v>2022</v>
      </c>
    </row>
    <row r="1481" spans="1:10" x14ac:dyDescent="0.3">
      <c r="A1481" s="1">
        <v>45595</v>
      </c>
      <c r="B1481" t="s">
        <v>8</v>
      </c>
      <c r="C1481" t="s">
        <v>14</v>
      </c>
      <c r="D1481" t="s">
        <v>15</v>
      </c>
      <c r="E1481">
        <v>8988</v>
      </c>
      <c r="F1481">
        <v>7490</v>
      </c>
      <c r="G1481">
        <v>10</v>
      </c>
      <c r="H1481">
        <v>1498</v>
      </c>
      <c r="I1481" s="2">
        <f>sa_retail_sales[[#This Row],[Profit]] / sa_retail_sales[[#This Row],[Revenue]]</f>
        <v>0.16666666666666666</v>
      </c>
      <c r="J1481">
        <f xml:space="preserve"> YEAR(sa_retail_sales[[#This Row],[Order Date]])</f>
        <v>2024</v>
      </c>
    </row>
    <row r="1482" spans="1:10" x14ac:dyDescent="0.3">
      <c r="A1482" s="1">
        <v>45191</v>
      </c>
      <c r="B1482" t="s">
        <v>17</v>
      </c>
      <c r="C1482" t="s">
        <v>13</v>
      </c>
      <c r="D1482" t="s">
        <v>19</v>
      </c>
      <c r="E1482">
        <v>11741</v>
      </c>
      <c r="F1482">
        <v>10818</v>
      </c>
      <c r="G1482">
        <v>0</v>
      </c>
      <c r="H1482">
        <v>923</v>
      </c>
      <c r="I1482" s="2">
        <f>sa_retail_sales[[#This Row],[Profit]] / sa_retail_sales[[#This Row],[Revenue]]</f>
        <v>7.8613406013116435E-2</v>
      </c>
      <c r="J1482">
        <f xml:space="preserve"> YEAR(sa_retail_sales[[#This Row],[Order Date]])</f>
        <v>2023</v>
      </c>
    </row>
    <row r="1483" spans="1:10" x14ac:dyDescent="0.3">
      <c r="A1483" s="1">
        <v>44831</v>
      </c>
      <c r="B1483" t="s">
        <v>18</v>
      </c>
      <c r="C1483" t="s">
        <v>16</v>
      </c>
      <c r="D1483" t="s">
        <v>19</v>
      </c>
      <c r="E1483">
        <v>10917</v>
      </c>
      <c r="F1483">
        <v>3110</v>
      </c>
      <c r="G1483">
        <v>20</v>
      </c>
      <c r="H1483">
        <v>7807</v>
      </c>
      <c r="I1483" s="2">
        <f>sa_retail_sales[[#This Row],[Profit]] / sa_retail_sales[[#This Row],[Revenue]]</f>
        <v>0.71512320234496651</v>
      </c>
      <c r="J1483">
        <f xml:space="preserve"> YEAR(sa_retail_sales[[#This Row],[Order Date]])</f>
        <v>2022</v>
      </c>
    </row>
    <row r="1484" spans="1:10" x14ac:dyDescent="0.3">
      <c r="A1484" s="1">
        <v>45153</v>
      </c>
      <c r="B1484" t="s">
        <v>8</v>
      </c>
      <c r="C1484" t="s">
        <v>13</v>
      </c>
      <c r="D1484" t="s">
        <v>12</v>
      </c>
      <c r="E1484">
        <v>13850</v>
      </c>
      <c r="F1484">
        <v>11008</v>
      </c>
      <c r="G1484">
        <v>5</v>
      </c>
      <c r="H1484">
        <v>2842</v>
      </c>
      <c r="I1484" s="2">
        <f>sa_retail_sales[[#This Row],[Profit]] / sa_retail_sales[[#This Row],[Revenue]]</f>
        <v>0.20519855595667871</v>
      </c>
      <c r="J1484">
        <f xml:space="preserve"> YEAR(sa_retail_sales[[#This Row],[Order Date]])</f>
        <v>2023</v>
      </c>
    </row>
    <row r="1485" spans="1:10" x14ac:dyDescent="0.3">
      <c r="A1485" s="1">
        <v>45405</v>
      </c>
      <c r="B1485" t="s">
        <v>18</v>
      </c>
      <c r="C1485" t="s">
        <v>13</v>
      </c>
      <c r="D1485" t="s">
        <v>15</v>
      </c>
      <c r="E1485">
        <v>13046</v>
      </c>
      <c r="F1485">
        <v>11963</v>
      </c>
      <c r="G1485">
        <v>15</v>
      </c>
      <c r="H1485">
        <v>1083</v>
      </c>
      <c r="I1485" s="2">
        <f>sa_retail_sales[[#This Row],[Profit]] / sa_retail_sales[[#This Row],[Revenue]]</f>
        <v>8.3013950636210337E-2</v>
      </c>
      <c r="J1485">
        <f xml:space="preserve"> YEAR(sa_retail_sales[[#This Row],[Order Date]])</f>
        <v>2024</v>
      </c>
    </row>
    <row r="1486" spans="1:10" x14ac:dyDescent="0.3">
      <c r="A1486" s="1">
        <v>45423</v>
      </c>
      <c r="B1486" t="s">
        <v>17</v>
      </c>
      <c r="C1486" t="s">
        <v>14</v>
      </c>
      <c r="D1486" t="s">
        <v>10</v>
      </c>
      <c r="E1486">
        <v>4287</v>
      </c>
      <c r="F1486">
        <v>6452</v>
      </c>
      <c r="G1486">
        <v>5</v>
      </c>
      <c r="H1486">
        <v>-2165</v>
      </c>
      <c r="I1486" s="2">
        <f>sa_retail_sales[[#This Row],[Profit]] / sa_retail_sales[[#This Row],[Revenue]]</f>
        <v>-0.50501516211803121</v>
      </c>
      <c r="J1486">
        <f xml:space="preserve"> YEAR(sa_retail_sales[[#This Row],[Order Date]])</f>
        <v>2024</v>
      </c>
    </row>
    <row r="1487" spans="1:10" x14ac:dyDescent="0.3">
      <c r="A1487" s="1">
        <v>44694</v>
      </c>
      <c r="B1487" t="s">
        <v>18</v>
      </c>
      <c r="C1487" t="s">
        <v>9</v>
      </c>
      <c r="D1487" t="s">
        <v>12</v>
      </c>
      <c r="E1487">
        <v>14842</v>
      </c>
      <c r="F1487">
        <v>312</v>
      </c>
      <c r="G1487">
        <v>15</v>
      </c>
      <c r="H1487">
        <v>14530</v>
      </c>
      <c r="I1487" s="2">
        <f>sa_retail_sales[[#This Row],[Profit]] / sa_retail_sales[[#This Row],[Revenue]]</f>
        <v>0.97897857431612989</v>
      </c>
      <c r="J1487">
        <f xml:space="preserve"> YEAR(sa_retail_sales[[#This Row],[Order Date]])</f>
        <v>2022</v>
      </c>
    </row>
    <row r="1488" spans="1:10" x14ac:dyDescent="0.3">
      <c r="A1488" s="1">
        <v>45533</v>
      </c>
      <c r="B1488" t="s">
        <v>17</v>
      </c>
      <c r="C1488" t="s">
        <v>13</v>
      </c>
      <c r="D1488" t="s">
        <v>15</v>
      </c>
      <c r="E1488">
        <v>2596</v>
      </c>
      <c r="F1488">
        <v>11462</v>
      </c>
      <c r="G1488">
        <v>10</v>
      </c>
      <c r="H1488">
        <v>-8866</v>
      </c>
      <c r="I1488" s="2">
        <f>sa_retail_sales[[#This Row],[Profit]] / sa_retail_sales[[#This Row],[Revenue]]</f>
        <v>-3.4152542372881354</v>
      </c>
      <c r="J1488">
        <f xml:space="preserve"> YEAR(sa_retail_sales[[#This Row],[Order Date]])</f>
        <v>2024</v>
      </c>
    </row>
    <row r="1489" spans="1:10" x14ac:dyDescent="0.3">
      <c r="A1489" s="1">
        <v>45074</v>
      </c>
      <c r="B1489" t="s">
        <v>18</v>
      </c>
      <c r="C1489" t="s">
        <v>9</v>
      </c>
      <c r="D1489" t="s">
        <v>12</v>
      </c>
      <c r="E1489">
        <v>12301</v>
      </c>
      <c r="F1489">
        <v>6238</v>
      </c>
      <c r="G1489">
        <v>20</v>
      </c>
      <c r="H1489">
        <v>6063</v>
      </c>
      <c r="I1489" s="2">
        <f>sa_retail_sales[[#This Row],[Profit]] / sa_retail_sales[[#This Row],[Revenue]]</f>
        <v>0.49288675717421349</v>
      </c>
      <c r="J1489">
        <f xml:space="preserve"> YEAR(sa_retail_sales[[#This Row],[Order Date]])</f>
        <v>2023</v>
      </c>
    </row>
    <row r="1490" spans="1:10" x14ac:dyDescent="0.3">
      <c r="A1490" s="1">
        <v>44874</v>
      </c>
      <c r="B1490" t="s">
        <v>17</v>
      </c>
      <c r="C1490" t="s">
        <v>14</v>
      </c>
      <c r="D1490" t="s">
        <v>10</v>
      </c>
      <c r="E1490">
        <v>2708</v>
      </c>
      <c r="F1490">
        <v>8299</v>
      </c>
      <c r="G1490">
        <v>0</v>
      </c>
      <c r="H1490">
        <v>-5591</v>
      </c>
      <c r="I1490" s="2">
        <f>sa_retail_sales[[#This Row],[Profit]] / sa_retail_sales[[#This Row],[Revenue]]</f>
        <v>-2.0646233382570163</v>
      </c>
      <c r="J1490">
        <f xml:space="preserve"> YEAR(sa_retail_sales[[#This Row],[Order Date]])</f>
        <v>2022</v>
      </c>
    </row>
    <row r="1491" spans="1:10" x14ac:dyDescent="0.3">
      <c r="A1491" s="1">
        <v>45137</v>
      </c>
      <c r="B1491" t="s">
        <v>11</v>
      </c>
      <c r="C1491" t="s">
        <v>9</v>
      </c>
      <c r="D1491" t="s">
        <v>12</v>
      </c>
      <c r="E1491">
        <v>6488</v>
      </c>
      <c r="F1491">
        <v>7519</v>
      </c>
      <c r="G1491">
        <v>20</v>
      </c>
      <c r="H1491">
        <v>-1031</v>
      </c>
      <c r="I1491" s="2">
        <f>sa_retail_sales[[#This Row],[Profit]] / sa_retail_sales[[#This Row],[Revenue]]</f>
        <v>-0.15890875462392109</v>
      </c>
      <c r="J1491">
        <f xml:space="preserve"> YEAR(sa_retail_sales[[#This Row],[Order Date]])</f>
        <v>2023</v>
      </c>
    </row>
    <row r="1492" spans="1:10" x14ac:dyDescent="0.3">
      <c r="A1492" s="1">
        <v>45447</v>
      </c>
      <c r="B1492" t="s">
        <v>18</v>
      </c>
      <c r="C1492" t="s">
        <v>14</v>
      </c>
      <c r="D1492" t="s">
        <v>12</v>
      </c>
      <c r="E1492">
        <v>675</v>
      </c>
      <c r="F1492">
        <v>5628</v>
      </c>
      <c r="G1492">
        <v>15</v>
      </c>
      <c r="H1492">
        <v>-4953</v>
      </c>
      <c r="I1492" s="2">
        <f>sa_retail_sales[[#This Row],[Profit]] / sa_retail_sales[[#This Row],[Revenue]]</f>
        <v>-7.3377777777777782</v>
      </c>
      <c r="J1492">
        <f xml:space="preserve"> YEAR(sa_retail_sales[[#This Row],[Order Date]])</f>
        <v>2024</v>
      </c>
    </row>
    <row r="1493" spans="1:10" x14ac:dyDescent="0.3">
      <c r="A1493" s="1">
        <v>45248</v>
      </c>
      <c r="B1493" t="s">
        <v>18</v>
      </c>
      <c r="C1493" t="s">
        <v>16</v>
      </c>
      <c r="D1493" t="s">
        <v>12</v>
      </c>
      <c r="E1493">
        <v>7669</v>
      </c>
      <c r="F1493">
        <v>3921</v>
      </c>
      <c r="G1493">
        <v>0</v>
      </c>
      <c r="H1493">
        <v>3748</v>
      </c>
      <c r="I1493" s="2">
        <f>sa_retail_sales[[#This Row],[Profit]] / sa_retail_sales[[#This Row],[Revenue]]</f>
        <v>0.48872082409701395</v>
      </c>
      <c r="J1493">
        <f xml:space="preserve"> YEAR(sa_retail_sales[[#This Row],[Order Date]])</f>
        <v>2023</v>
      </c>
    </row>
    <row r="1494" spans="1:10" x14ac:dyDescent="0.3">
      <c r="A1494" s="1">
        <v>44726</v>
      </c>
      <c r="B1494" t="s">
        <v>11</v>
      </c>
      <c r="C1494" t="s">
        <v>9</v>
      </c>
      <c r="D1494" t="s">
        <v>15</v>
      </c>
      <c r="E1494">
        <v>13788</v>
      </c>
      <c r="F1494">
        <v>3983</v>
      </c>
      <c r="G1494">
        <v>20</v>
      </c>
      <c r="H1494">
        <v>9805</v>
      </c>
      <c r="I1494" s="2">
        <f>sa_retail_sales[[#This Row],[Profit]] / sa_retail_sales[[#This Row],[Revenue]]</f>
        <v>0.71112561647809691</v>
      </c>
      <c r="J1494">
        <f xml:space="preserve"> YEAR(sa_retail_sales[[#This Row],[Order Date]])</f>
        <v>2022</v>
      </c>
    </row>
    <row r="1495" spans="1:10" x14ac:dyDescent="0.3">
      <c r="A1495" s="1">
        <v>44866</v>
      </c>
      <c r="B1495" t="s">
        <v>11</v>
      </c>
      <c r="C1495" t="s">
        <v>9</v>
      </c>
      <c r="D1495" t="s">
        <v>10</v>
      </c>
      <c r="E1495">
        <v>6514</v>
      </c>
      <c r="F1495">
        <v>8172</v>
      </c>
      <c r="G1495">
        <v>0</v>
      </c>
      <c r="H1495">
        <v>-1658</v>
      </c>
      <c r="I1495" s="2">
        <f>sa_retail_sales[[#This Row],[Profit]] / sa_retail_sales[[#This Row],[Revenue]]</f>
        <v>-0.25452870739944733</v>
      </c>
      <c r="J1495">
        <f xml:space="preserve"> YEAR(sa_retail_sales[[#This Row],[Order Date]])</f>
        <v>2022</v>
      </c>
    </row>
    <row r="1496" spans="1:10" x14ac:dyDescent="0.3">
      <c r="A1496" s="1">
        <v>44717</v>
      </c>
      <c r="B1496" t="s">
        <v>18</v>
      </c>
      <c r="C1496" t="s">
        <v>16</v>
      </c>
      <c r="D1496" t="s">
        <v>19</v>
      </c>
      <c r="E1496">
        <v>11194</v>
      </c>
      <c r="F1496">
        <v>11965</v>
      </c>
      <c r="G1496">
        <v>15</v>
      </c>
      <c r="H1496">
        <v>-771</v>
      </c>
      <c r="I1496" s="2">
        <f>sa_retail_sales[[#This Row],[Profit]] / sa_retail_sales[[#This Row],[Revenue]]</f>
        <v>-6.8876183669823121E-2</v>
      </c>
      <c r="J1496">
        <f xml:space="preserve"> YEAR(sa_retail_sales[[#This Row],[Order Date]])</f>
        <v>2022</v>
      </c>
    </row>
    <row r="1497" spans="1:10" x14ac:dyDescent="0.3">
      <c r="A1497" s="1">
        <v>45181</v>
      </c>
      <c r="B1497" t="s">
        <v>11</v>
      </c>
      <c r="C1497" t="s">
        <v>9</v>
      </c>
      <c r="D1497" t="s">
        <v>15</v>
      </c>
      <c r="E1497">
        <v>12691</v>
      </c>
      <c r="F1497">
        <v>5610</v>
      </c>
      <c r="G1497">
        <v>10</v>
      </c>
      <c r="H1497">
        <v>7081</v>
      </c>
      <c r="I1497" s="2">
        <f>sa_retail_sales[[#This Row],[Profit]] / sa_retail_sales[[#This Row],[Revenue]]</f>
        <v>0.55795445591363957</v>
      </c>
      <c r="J1497">
        <f xml:space="preserve"> YEAR(sa_retail_sales[[#This Row],[Order Date]])</f>
        <v>2023</v>
      </c>
    </row>
    <row r="1498" spans="1:10" x14ac:dyDescent="0.3">
      <c r="A1498" s="1">
        <v>45518</v>
      </c>
      <c r="B1498" t="s">
        <v>8</v>
      </c>
      <c r="C1498" t="s">
        <v>16</v>
      </c>
      <c r="D1498" t="s">
        <v>19</v>
      </c>
      <c r="E1498">
        <v>2167</v>
      </c>
      <c r="F1498">
        <v>11614</v>
      </c>
      <c r="G1498">
        <v>10</v>
      </c>
      <c r="H1498">
        <v>-9447</v>
      </c>
      <c r="I1498" s="2">
        <f>sa_retail_sales[[#This Row],[Profit]] / sa_retail_sales[[#This Row],[Revenue]]</f>
        <v>-4.359483156437471</v>
      </c>
      <c r="J1498">
        <f xml:space="preserve"> YEAR(sa_retail_sales[[#This Row],[Order Date]])</f>
        <v>2024</v>
      </c>
    </row>
    <row r="1499" spans="1:10" x14ac:dyDescent="0.3">
      <c r="A1499" s="1">
        <v>44895</v>
      </c>
      <c r="B1499" t="s">
        <v>17</v>
      </c>
      <c r="C1499" t="s">
        <v>13</v>
      </c>
      <c r="D1499" t="s">
        <v>19</v>
      </c>
      <c r="E1499">
        <v>13063</v>
      </c>
      <c r="F1499">
        <v>11956</v>
      </c>
      <c r="G1499">
        <v>20</v>
      </c>
      <c r="H1499">
        <v>1107</v>
      </c>
      <c r="I1499" s="2">
        <f>sa_retail_sales[[#This Row],[Profit]] / sa_retail_sales[[#This Row],[Revenue]]</f>
        <v>8.4743167725637294E-2</v>
      </c>
      <c r="J1499">
        <f xml:space="preserve"> YEAR(sa_retail_sales[[#This Row],[Order Date]])</f>
        <v>2022</v>
      </c>
    </row>
    <row r="1500" spans="1:10" x14ac:dyDescent="0.3">
      <c r="A1500" s="1">
        <v>45530</v>
      </c>
      <c r="B1500" t="s">
        <v>17</v>
      </c>
      <c r="C1500" t="s">
        <v>14</v>
      </c>
      <c r="D1500" t="s">
        <v>15</v>
      </c>
      <c r="E1500">
        <v>11237</v>
      </c>
      <c r="F1500">
        <v>952</v>
      </c>
      <c r="G1500">
        <v>5</v>
      </c>
      <c r="H1500">
        <v>10285</v>
      </c>
      <c r="I1500" s="2">
        <f>sa_retail_sales[[#This Row],[Profit]] / sa_retail_sales[[#This Row],[Revenue]]</f>
        <v>0.91527987897125562</v>
      </c>
      <c r="J1500">
        <f xml:space="preserve"> YEAR(sa_retail_sales[[#This Row],[Order Date]])</f>
        <v>2024</v>
      </c>
    </row>
    <row r="1501" spans="1:10" x14ac:dyDescent="0.3">
      <c r="A1501" s="1">
        <v>45072</v>
      </c>
      <c r="B1501" t="s">
        <v>17</v>
      </c>
      <c r="C1501" t="s">
        <v>16</v>
      </c>
      <c r="D1501" t="s">
        <v>15</v>
      </c>
      <c r="E1501">
        <v>9367</v>
      </c>
      <c r="F1501">
        <v>6099</v>
      </c>
      <c r="G1501">
        <v>15</v>
      </c>
      <c r="H1501">
        <v>3268</v>
      </c>
      <c r="I1501" s="2">
        <f>sa_retail_sales[[#This Row],[Profit]] / sa_retail_sales[[#This Row],[Revenue]]</f>
        <v>0.34888438133874239</v>
      </c>
      <c r="J1501">
        <f xml:space="preserve"> YEAR(sa_retail_sales[[#This Row],[Order Date]])</f>
        <v>2023</v>
      </c>
    </row>
    <row r="1502" spans="1:10" x14ac:dyDescent="0.3">
      <c r="A1502" s="1">
        <v>45605</v>
      </c>
      <c r="B1502" t="s">
        <v>8</v>
      </c>
      <c r="C1502" t="s">
        <v>9</v>
      </c>
      <c r="D1502" t="s">
        <v>10</v>
      </c>
      <c r="E1502">
        <v>2323</v>
      </c>
      <c r="F1502">
        <v>9112</v>
      </c>
      <c r="G1502">
        <v>20</v>
      </c>
      <c r="H1502">
        <v>-6789</v>
      </c>
      <c r="I1502" s="2">
        <f>sa_retail_sales[[#This Row],[Profit]] / sa_retail_sales[[#This Row],[Revenue]]</f>
        <v>-2.9225139905294877</v>
      </c>
      <c r="J1502">
        <f xml:space="preserve"> YEAR(sa_retail_sales[[#This Row],[Order Date]])</f>
        <v>2024</v>
      </c>
    </row>
    <row r="1503" spans="1:10" x14ac:dyDescent="0.3">
      <c r="A1503" s="1">
        <v>44843</v>
      </c>
      <c r="B1503" t="s">
        <v>11</v>
      </c>
      <c r="C1503" t="s">
        <v>16</v>
      </c>
      <c r="D1503" t="s">
        <v>10</v>
      </c>
      <c r="E1503">
        <v>5647</v>
      </c>
      <c r="F1503">
        <v>4090</v>
      </c>
      <c r="G1503">
        <v>20</v>
      </c>
      <c r="H1503">
        <v>1557</v>
      </c>
      <c r="I1503" s="2">
        <f>sa_retail_sales[[#This Row],[Profit]] / sa_retail_sales[[#This Row],[Revenue]]</f>
        <v>0.27572162210023021</v>
      </c>
      <c r="J1503">
        <f xml:space="preserve"> YEAR(sa_retail_sales[[#This Row],[Order Date]])</f>
        <v>2022</v>
      </c>
    </row>
    <row r="1504" spans="1:10" x14ac:dyDescent="0.3">
      <c r="A1504" s="1">
        <v>45358</v>
      </c>
      <c r="B1504" t="s">
        <v>11</v>
      </c>
      <c r="C1504" t="s">
        <v>9</v>
      </c>
      <c r="D1504" t="s">
        <v>12</v>
      </c>
      <c r="E1504">
        <v>1856</v>
      </c>
      <c r="F1504">
        <v>1945</v>
      </c>
      <c r="G1504">
        <v>10</v>
      </c>
      <c r="H1504">
        <v>-89</v>
      </c>
      <c r="I1504" s="2">
        <f>sa_retail_sales[[#This Row],[Profit]] / sa_retail_sales[[#This Row],[Revenue]]</f>
        <v>-4.7952586206896554E-2</v>
      </c>
      <c r="J1504">
        <f xml:space="preserve"> YEAR(sa_retail_sales[[#This Row],[Order Date]])</f>
        <v>2024</v>
      </c>
    </row>
    <row r="1505" spans="1:10" x14ac:dyDescent="0.3">
      <c r="A1505" s="1">
        <v>45586</v>
      </c>
      <c r="B1505" t="s">
        <v>18</v>
      </c>
      <c r="C1505" t="s">
        <v>13</v>
      </c>
      <c r="D1505" t="s">
        <v>19</v>
      </c>
      <c r="E1505">
        <v>3572</v>
      </c>
      <c r="F1505">
        <v>10735</v>
      </c>
      <c r="G1505">
        <v>0</v>
      </c>
      <c r="H1505">
        <v>-7163</v>
      </c>
      <c r="I1505" s="2">
        <f>sa_retail_sales[[#This Row],[Profit]] / sa_retail_sales[[#This Row],[Revenue]]</f>
        <v>-2.0053191489361701</v>
      </c>
      <c r="J1505">
        <f xml:space="preserve"> YEAR(sa_retail_sales[[#This Row],[Order Date]])</f>
        <v>2024</v>
      </c>
    </row>
    <row r="1506" spans="1:10" x14ac:dyDescent="0.3">
      <c r="A1506" s="1">
        <v>44680</v>
      </c>
      <c r="B1506" t="s">
        <v>11</v>
      </c>
      <c r="C1506" t="s">
        <v>16</v>
      </c>
      <c r="D1506" t="s">
        <v>10</v>
      </c>
      <c r="E1506">
        <v>3759</v>
      </c>
      <c r="F1506">
        <v>4812</v>
      </c>
      <c r="G1506">
        <v>15</v>
      </c>
      <c r="H1506">
        <v>-1053</v>
      </c>
      <c r="I1506" s="2">
        <f>sa_retail_sales[[#This Row],[Profit]] / sa_retail_sales[[#This Row],[Revenue]]</f>
        <v>-0.28012769353551475</v>
      </c>
      <c r="J1506">
        <f xml:space="preserve"> YEAR(sa_retail_sales[[#This Row],[Order Date]])</f>
        <v>2022</v>
      </c>
    </row>
    <row r="1507" spans="1:10" x14ac:dyDescent="0.3">
      <c r="A1507" s="1">
        <v>45620</v>
      </c>
      <c r="B1507" t="s">
        <v>18</v>
      </c>
      <c r="C1507" t="s">
        <v>13</v>
      </c>
      <c r="D1507" t="s">
        <v>12</v>
      </c>
      <c r="E1507">
        <v>6699</v>
      </c>
      <c r="F1507">
        <v>5059</v>
      </c>
      <c r="G1507">
        <v>0</v>
      </c>
      <c r="H1507">
        <v>1640</v>
      </c>
      <c r="I1507" s="2">
        <f>sa_retail_sales[[#This Row],[Profit]] / sa_retail_sales[[#This Row],[Revenue]]</f>
        <v>0.24481265860576204</v>
      </c>
      <c r="J1507">
        <f xml:space="preserve"> YEAR(sa_retail_sales[[#This Row],[Order Date]])</f>
        <v>2024</v>
      </c>
    </row>
    <row r="1508" spans="1:10" x14ac:dyDescent="0.3">
      <c r="A1508" s="1">
        <v>44759</v>
      </c>
      <c r="B1508" t="s">
        <v>8</v>
      </c>
      <c r="C1508" t="s">
        <v>14</v>
      </c>
      <c r="D1508" t="s">
        <v>10</v>
      </c>
      <c r="E1508">
        <v>1046</v>
      </c>
      <c r="F1508">
        <v>11983</v>
      </c>
      <c r="G1508">
        <v>15</v>
      </c>
      <c r="H1508">
        <v>-10937</v>
      </c>
      <c r="I1508" s="2">
        <f>sa_retail_sales[[#This Row],[Profit]] / sa_retail_sales[[#This Row],[Revenue]]</f>
        <v>-10.45602294455067</v>
      </c>
      <c r="J1508">
        <f xml:space="preserve"> YEAR(sa_retail_sales[[#This Row],[Order Date]])</f>
        <v>2022</v>
      </c>
    </row>
    <row r="1509" spans="1:10" x14ac:dyDescent="0.3">
      <c r="A1509" s="1">
        <v>45046</v>
      </c>
      <c r="B1509" t="s">
        <v>17</v>
      </c>
      <c r="C1509" t="s">
        <v>9</v>
      </c>
      <c r="D1509" t="s">
        <v>15</v>
      </c>
      <c r="E1509">
        <v>5731</v>
      </c>
      <c r="F1509">
        <v>6174</v>
      </c>
      <c r="G1509">
        <v>5</v>
      </c>
      <c r="H1509">
        <v>-443</v>
      </c>
      <c r="I1509" s="2">
        <f>sa_retail_sales[[#This Row],[Profit]] / sa_retail_sales[[#This Row],[Revenue]]</f>
        <v>-7.7298900715407431E-2</v>
      </c>
      <c r="J1509">
        <f xml:space="preserve"> YEAR(sa_retail_sales[[#This Row],[Order Date]])</f>
        <v>2023</v>
      </c>
    </row>
    <row r="1510" spans="1:10" x14ac:dyDescent="0.3">
      <c r="A1510" s="1">
        <v>45644</v>
      </c>
      <c r="B1510" t="s">
        <v>17</v>
      </c>
      <c r="C1510" t="s">
        <v>9</v>
      </c>
      <c r="D1510" t="s">
        <v>10</v>
      </c>
      <c r="E1510">
        <v>8465</v>
      </c>
      <c r="F1510">
        <v>3988</v>
      </c>
      <c r="G1510">
        <v>10</v>
      </c>
      <c r="H1510">
        <v>4477</v>
      </c>
      <c r="I1510" s="2">
        <f>sa_retail_sales[[#This Row],[Profit]] / sa_retail_sales[[#This Row],[Revenue]]</f>
        <v>0.52888363851151798</v>
      </c>
      <c r="J1510">
        <f xml:space="preserve"> YEAR(sa_retail_sales[[#This Row],[Order Date]])</f>
        <v>2024</v>
      </c>
    </row>
    <row r="1511" spans="1:10" x14ac:dyDescent="0.3">
      <c r="A1511" s="1">
        <v>45398</v>
      </c>
      <c r="B1511" t="s">
        <v>17</v>
      </c>
      <c r="C1511" t="s">
        <v>13</v>
      </c>
      <c r="D1511" t="s">
        <v>19</v>
      </c>
      <c r="E1511">
        <v>2583</v>
      </c>
      <c r="F1511">
        <v>7989</v>
      </c>
      <c r="G1511">
        <v>5</v>
      </c>
      <c r="H1511">
        <v>-5406</v>
      </c>
      <c r="I1511" s="2">
        <f>sa_retail_sales[[#This Row],[Profit]] / sa_retail_sales[[#This Row],[Revenue]]</f>
        <v>-2.0929152148664345</v>
      </c>
      <c r="J1511">
        <f xml:space="preserve"> YEAR(sa_retail_sales[[#This Row],[Order Date]])</f>
        <v>2024</v>
      </c>
    </row>
    <row r="1512" spans="1:10" x14ac:dyDescent="0.3">
      <c r="A1512" s="1">
        <v>45570</v>
      </c>
      <c r="B1512" t="s">
        <v>11</v>
      </c>
      <c r="C1512" t="s">
        <v>14</v>
      </c>
      <c r="D1512" t="s">
        <v>10</v>
      </c>
      <c r="E1512">
        <v>2540</v>
      </c>
      <c r="F1512">
        <v>1679</v>
      </c>
      <c r="G1512">
        <v>20</v>
      </c>
      <c r="H1512">
        <v>861</v>
      </c>
      <c r="I1512" s="2">
        <f>sa_retail_sales[[#This Row],[Profit]] / sa_retail_sales[[#This Row],[Revenue]]</f>
        <v>0.33897637795275593</v>
      </c>
      <c r="J1512">
        <f xml:space="preserve"> YEAR(sa_retail_sales[[#This Row],[Order Date]])</f>
        <v>2024</v>
      </c>
    </row>
    <row r="1513" spans="1:10" x14ac:dyDescent="0.3">
      <c r="A1513" s="1">
        <v>45252</v>
      </c>
      <c r="B1513" t="s">
        <v>18</v>
      </c>
      <c r="C1513" t="s">
        <v>16</v>
      </c>
      <c r="D1513" t="s">
        <v>19</v>
      </c>
      <c r="E1513">
        <v>5034</v>
      </c>
      <c r="F1513">
        <v>4543</v>
      </c>
      <c r="G1513">
        <v>10</v>
      </c>
      <c r="H1513">
        <v>491</v>
      </c>
      <c r="I1513" s="2">
        <f>sa_retail_sales[[#This Row],[Profit]] / sa_retail_sales[[#This Row],[Revenue]]</f>
        <v>9.7536750099324596E-2</v>
      </c>
      <c r="J1513">
        <f xml:space="preserve"> YEAR(sa_retail_sales[[#This Row],[Order Date]])</f>
        <v>2023</v>
      </c>
    </row>
    <row r="1514" spans="1:10" x14ac:dyDescent="0.3">
      <c r="A1514" s="1">
        <v>45597</v>
      </c>
      <c r="B1514" t="s">
        <v>18</v>
      </c>
      <c r="C1514" t="s">
        <v>16</v>
      </c>
      <c r="D1514" t="s">
        <v>15</v>
      </c>
      <c r="E1514">
        <v>2252</v>
      </c>
      <c r="F1514">
        <v>10537</v>
      </c>
      <c r="G1514">
        <v>20</v>
      </c>
      <c r="H1514">
        <v>-8285</v>
      </c>
      <c r="I1514" s="2">
        <f>sa_retail_sales[[#This Row],[Profit]] / sa_retail_sales[[#This Row],[Revenue]]</f>
        <v>-3.6789520426287745</v>
      </c>
      <c r="J1514">
        <f xml:space="preserve"> YEAR(sa_retail_sales[[#This Row],[Order Date]])</f>
        <v>2024</v>
      </c>
    </row>
    <row r="1515" spans="1:10" x14ac:dyDescent="0.3">
      <c r="A1515" s="1">
        <v>45051</v>
      </c>
      <c r="B1515" t="s">
        <v>8</v>
      </c>
      <c r="C1515" t="s">
        <v>9</v>
      </c>
      <c r="D1515" t="s">
        <v>19</v>
      </c>
      <c r="E1515">
        <v>10307</v>
      </c>
      <c r="F1515">
        <v>11540</v>
      </c>
      <c r="G1515">
        <v>5</v>
      </c>
      <c r="H1515">
        <v>-1233</v>
      </c>
      <c r="I1515" s="2">
        <f>sa_retail_sales[[#This Row],[Profit]] / sa_retail_sales[[#This Row],[Revenue]]</f>
        <v>-0.11962743766372368</v>
      </c>
      <c r="J1515">
        <f xml:space="preserve"> YEAR(sa_retail_sales[[#This Row],[Order Date]])</f>
        <v>2023</v>
      </c>
    </row>
    <row r="1516" spans="1:10" x14ac:dyDescent="0.3">
      <c r="A1516" s="1">
        <v>44837</v>
      </c>
      <c r="B1516" t="s">
        <v>11</v>
      </c>
      <c r="C1516" t="s">
        <v>13</v>
      </c>
      <c r="D1516" t="s">
        <v>10</v>
      </c>
      <c r="E1516">
        <v>2349</v>
      </c>
      <c r="F1516">
        <v>9880</v>
      </c>
      <c r="G1516">
        <v>15</v>
      </c>
      <c r="H1516">
        <v>-7531</v>
      </c>
      <c r="I1516" s="2">
        <f>sa_retail_sales[[#This Row],[Profit]] / sa_retail_sales[[#This Row],[Revenue]]</f>
        <v>-3.2060451255853555</v>
      </c>
      <c r="J1516">
        <f xml:space="preserve"> YEAR(sa_retail_sales[[#This Row],[Order Date]])</f>
        <v>2022</v>
      </c>
    </row>
    <row r="1517" spans="1:10" x14ac:dyDescent="0.3">
      <c r="A1517" s="1">
        <v>45254</v>
      </c>
      <c r="B1517" t="s">
        <v>8</v>
      </c>
      <c r="C1517" t="s">
        <v>13</v>
      </c>
      <c r="D1517" t="s">
        <v>12</v>
      </c>
      <c r="E1517">
        <v>3142</v>
      </c>
      <c r="F1517">
        <v>6807</v>
      </c>
      <c r="G1517">
        <v>20</v>
      </c>
      <c r="H1517">
        <v>-3665</v>
      </c>
      <c r="I1517" s="2">
        <f>sa_retail_sales[[#This Row],[Profit]] / sa_retail_sales[[#This Row],[Revenue]]</f>
        <v>-1.1664544875875238</v>
      </c>
      <c r="J1517">
        <f xml:space="preserve"> YEAR(sa_retail_sales[[#This Row],[Order Date]])</f>
        <v>2023</v>
      </c>
    </row>
    <row r="1518" spans="1:10" x14ac:dyDescent="0.3">
      <c r="A1518" s="1">
        <v>44803</v>
      </c>
      <c r="B1518" t="s">
        <v>18</v>
      </c>
      <c r="C1518" t="s">
        <v>16</v>
      </c>
      <c r="D1518" t="s">
        <v>15</v>
      </c>
      <c r="E1518">
        <v>2100</v>
      </c>
      <c r="F1518">
        <v>8119</v>
      </c>
      <c r="G1518">
        <v>0</v>
      </c>
      <c r="H1518">
        <v>-6019</v>
      </c>
      <c r="I1518" s="2">
        <f>sa_retail_sales[[#This Row],[Profit]] / sa_retail_sales[[#This Row],[Revenue]]</f>
        <v>-2.8661904761904764</v>
      </c>
      <c r="J1518">
        <f xml:space="preserve"> YEAR(sa_retail_sales[[#This Row],[Order Date]])</f>
        <v>2022</v>
      </c>
    </row>
    <row r="1519" spans="1:10" x14ac:dyDescent="0.3">
      <c r="A1519" s="1">
        <v>44687</v>
      </c>
      <c r="B1519" t="s">
        <v>18</v>
      </c>
      <c r="C1519" t="s">
        <v>14</v>
      </c>
      <c r="D1519" t="s">
        <v>10</v>
      </c>
      <c r="E1519">
        <v>12088</v>
      </c>
      <c r="F1519">
        <v>8893</v>
      </c>
      <c r="G1519">
        <v>15</v>
      </c>
      <c r="H1519">
        <v>3195</v>
      </c>
      <c r="I1519" s="2">
        <f>sa_retail_sales[[#This Row],[Profit]] / sa_retail_sales[[#This Row],[Revenue]]</f>
        <v>0.26431171409662474</v>
      </c>
      <c r="J1519">
        <f xml:space="preserve"> YEAR(sa_retail_sales[[#This Row],[Order Date]])</f>
        <v>2022</v>
      </c>
    </row>
    <row r="1520" spans="1:10" x14ac:dyDescent="0.3">
      <c r="A1520" s="1">
        <v>44778</v>
      </c>
      <c r="B1520" t="s">
        <v>17</v>
      </c>
      <c r="C1520" t="s">
        <v>14</v>
      </c>
      <c r="D1520" t="s">
        <v>15</v>
      </c>
      <c r="E1520">
        <v>14451</v>
      </c>
      <c r="F1520">
        <v>2953</v>
      </c>
      <c r="G1520">
        <v>15</v>
      </c>
      <c r="H1520">
        <v>11498</v>
      </c>
      <c r="I1520" s="2">
        <f>sa_retail_sales[[#This Row],[Profit]] / sa_retail_sales[[#This Row],[Revenue]]</f>
        <v>0.79565427998062421</v>
      </c>
      <c r="J1520">
        <f xml:space="preserve"> YEAR(sa_retail_sales[[#This Row],[Order Date]])</f>
        <v>2022</v>
      </c>
    </row>
    <row r="1521" spans="1:10" x14ac:dyDescent="0.3">
      <c r="A1521" s="1">
        <v>45624</v>
      </c>
      <c r="B1521" t="s">
        <v>11</v>
      </c>
      <c r="C1521" t="s">
        <v>16</v>
      </c>
      <c r="D1521" t="s">
        <v>15</v>
      </c>
      <c r="E1521">
        <v>4902</v>
      </c>
      <c r="F1521">
        <v>5911</v>
      </c>
      <c r="G1521">
        <v>5</v>
      </c>
      <c r="H1521">
        <v>-1009</v>
      </c>
      <c r="I1521" s="2">
        <f>sa_retail_sales[[#This Row],[Profit]] / sa_retail_sales[[#This Row],[Revenue]]</f>
        <v>-0.20583435332517339</v>
      </c>
      <c r="J1521">
        <f xml:space="preserve"> YEAR(sa_retail_sales[[#This Row],[Order Date]])</f>
        <v>2024</v>
      </c>
    </row>
    <row r="1522" spans="1:10" x14ac:dyDescent="0.3">
      <c r="A1522" s="1">
        <v>45056</v>
      </c>
      <c r="B1522" t="s">
        <v>18</v>
      </c>
      <c r="C1522" t="s">
        <v>16</v>
      </c>
      <c r="D1522" t="s">
        <v>10</v>
      </c>
      <c r="E1522">
        <v>12297</v>
      </c>
      <c r="F1522">
        <v>6427</v>
      </c>
      <c r="G1522">
        <v>5</v>
      </c>
      <c r="H1522">
        <v>5870</v>
      </c>
      <c r="I1522" s="2">
        <f>sa_retail_sales[[#This Row],[Profit]] / sa_retail_sales[[#This Row],[Revenue]]</f>
        <v>0.47735219972350978</v>
      </c>
      <c r="J1522">
        <f xml:space="preserve"> YEAR(sa_retail_sales[[#This Row],[Order Date]])</f>
        <v>2023</v>
      </c>
    </row>
    <row r="1523" spans="1:10" x14ac:dyDescent="0.3">
      <c r="A1523" s="1">
        <v>44988</v>
      </c>
      <c r="B1523" t="s">
        <v>17</v>
      </c>
      <c r="C1523" t="s">
        <v>13</v>
      </c>
      <c r="D1523" t="s">
        <v>10</v>
      </c>
      <c r="E1523">
        <v>4299</v>
      </c>
      <c r="F1523">
        <v>4223</v>
      </c>
      <c r="G1523">
        <v>10</v>
      </c>
      <c r="H1523">
        <v>76</v>
      </c>
      <c r="I1523" s="2">
        <f>sa_retail_sales[[#This Row],[Profit]] / sa_retail_sales[[#This Row],[Revenue]]</f>
        <v>1.767852989067225E-2</v>
      </c>
      <c r="J1523">
        <f xml:space="preserve"> YEAR(sa_retail_sales[[#This Row],[Order Date]])</f>
        <v>2023</v>
      </c>
    </row>
    <row r="1524" spans="1:10" x14ac:dyDescent="0.3">
      <c r="A1524" s="1">
        <v>45480</v>
      </c>
      <c r="B1524" t="s">
        <v>11</v>
      </c>
      <c r="C1524" t="s">
        <v>14</v>
      </c>
      <c r="D1524" t="s">
        <v>12</v>
      </c>
      <c r="E1524">
        <v>1118</v>
      </c>
      <c r="F1524">
        <v>8759</v>
      </c>
      <c r="G1524">
        <v>10</v>
      </c>
      <c r="H1524">
        <v>-7641</v>
      </c>
      <c r="I1524" s="2">
        <f>sa_retail_sales[[#This Row],[Profit]] / sa_retail_sales[[#This Row],[Revenue]]</f>
        <v>-6.8345259391771016</v>
      </c>
      <c r="J1524">
        <f xml:space="preserve"> YEAR(sa_retail_sales[[#This Row],[Order Date]])</f>
        <v>2024</v>
      </c>
    </row>
    <row r="1525" spans="1:10" x14ac:dyDescent="0.3">
      <c r="A1525" s="1">
        <v>44712</v>
      </c>
      <c r="B1525" t="s">
        <v>8</v>
      </c>
      <c r="C1525" t="s">
        <v>16</v>
      </c>
      <c r="D1525" t="s">
        <v>15</v>
      </c>
      <c r="E1525">
        <v>1632</v>
      </c>
      <c r="F1525">
        <v>6212</v>
      </c>
      <c r="G1525">
        <v>0</v>
      </c>
      <c r="H1525">
        <v>-4580</v>
      </c>
      <c r="I1525" s="2">
        <f>sa_retail_sales[[#This Row],[Profit]] / sa_retail_sales[[#This Row],[Revenue]]</f>
        <v>-2.8063725490196076</v>
      </c>
      <c r="J1525">
        <f xml:space="preserve"> YEAR(sa_retail_sales[[#This Row],[Order Date]])</f>
        <v>2022</v>
      </c>
    </row>
    <row r="1526" spans="1:10" x14ac:dyDescent="0.3">
      <c r="A1526" s="1">
        <v>44945</v>
      </c>
      <c r="B1526" t="s">
        <v>11</v>
      </c>
      <c r="C1526" t="s">
        <v>16</v>
      </c>
      <c r="D1526" t="s">
        <v>15</v>
      </c>
      <c r="E1526">
        <v>5991</v>
      </c>
      <c r="F1526">
        <v>5430</v>
      </c>
      <c r="G1526">
        <v>15</v>
      </c>
      <c r="H1526">
        <v>561</v>
      </c>
      <c r="I1526" s="2">
        <f>sa_retail_sales[[#This Row],[Profit]] / sa_retail_sales[[#This Row],[Revenue]]</f>
        <v>9.3640460691036556E-2</v>
      </c>
      <c r="J1526">
        <f xml:space="preserve"> YEAR(sa_retail_sales[[#This Row],[Order Date]])</f>
        <v>2023</v>
      </c>
    </row>
    <row r="1527" spans="1:10" x14ac:dyDescent="0.3">
      <c r="A1527" s="1">
        <v>44869</v>
      </c>
      <c r="B1527" t="s">
        <v>11</v>
      </c>
      <c r="C1527" t="s">
        <v>9</v>
      </c>
      <c r="D1527" t="s">
        <v>10</v>
      </c>
      <c r="E1527">
        <v>14167</v>
      </c>
      <c r="F1527">
        <v>5739</v>
      </c>
      <c r="G1527">
        <v>0</v>
      </c>
      <c r="H1527">
        <v>8428</v>
      </c>
      <c r="I1527" s="2">
        <f>sa_retail_sales[[#This Row],[Profit]] / sa_retail_sales[[#This Row],[Revenue]]</f>
        <v>0.59490364932589823</v>
      </c>
      <c r="J1527">
        <f xml:space="preserve"> YEAR(sa_retail_sales[[#This Row],[Order Date]])</f>
        <v>2022</v>
      </c>
    </row>
    <row r="1528" spans="1:10" x14ac:dyDescent="0.3">
      <c r="A1528" s="1">
        <v>45307</v>
      </c>
      <c r="B1528" t="s">
        <v>18</v>
      </c>
      <c r="C1528" t="s">
        <v>16</v>
      </c>
      <c r="D1528" t="s">
        <v>19</v>
      </c>
      <c r="E1528">
        <v>6295</v>
      </c>
      <c r="F1528">
        <v>8180</v>
      </c>
      <c r="G1528">
        <v>0</v>
      </c>
      <c r="H1528">
        <v>-1885</v>
      </c>
      <c r="I1528" s="2">
        <f>sa_retail_sales[[#This Row],[Profit]] / sa_retail_sales[[#This Row],[Revenue]]</f>
        <v>-0.29944400317712472</v>
      </c>
      <c r="J1528">
        <f xml:space="preserve"> YEAR(sa_retail_sales[[#This Row],[Order Date]])</f>
        <v>2024</v>
      </c>
    </row>
    <row r="1529" spans="1:10" x14ac:dyDescent="0.3">
      <c r="A1529" s="1">
        <v>45453</v>
      </c>
      <c r="B1529" t="s">
        <v>18</v>
      </c>
      <c r="C1529" t="s">
        <v>16</v>
      </c>
      <c r="D1529" t="s">
        <v>10</v>
      </c>
      <c r="E1529">
        <v>10807</v>
      </c>
      <c r="F1529">
        <v>6749</v>
      </c>
      <c r="G1529">
        <v>5</v>
      </c>
      <c r="H1529">
        <v>4058</v>
      </c>
      <c r="I1529" s="2">
        <f>sa_retail_sales[[#This Row],[Profit]] / sa_retail_sales[[#This Row],[Revenue]]</f>
        <v>0.3754973628203942</v>
      </c>
      <c r="J1529">
        <f xml:space="preserve"> YEAR(sa_retail_sales[[#This Row],[Order Date]])</f>
        <v>2024</v>
      </c>
    </row>
    <row r="1530" spans="1:10" x14ac:dyDescent="0.3">
      <c r="A1530" s="1">
        <v>44936</v>
      </c>
      <c r="B1530" t="s">
        <v>11</v>
      </c>
      <c r="C1530" t="s">
        <v>14</v>
      </c>
      <c r="D1530" t="s">
        <v>15</v>
      </c>
      <c r="E1530">
        <v>11031</v>
      </c>
      <c r="F1530">
        <v>2025</v>
      </c>
      <c r="G1530">
        <v>0</v>
      </c>
      <c r="H1530">
        <v>9006</v>
      </c>
      <c r="I1530" s="2">
        <f>sa_retail_sales[[#This Row],[Profit]] / sa_retail_sales[[#This Row],[Revenue]]</f>
        <v>0.81642643459341857</v>
      </c>
      <c r="J1530">
        <f xml:space="preserve"> YEAR(sa_retail_sales[[#This Row],[Order Date]])</f>
        <v>2023</v>
      </c>
    </row>
    <row r="1531" spans="1:10" x14ac:dyDescent="0.3">
      <c r="A1531" s="1">
        <v>45593</v>
      </c>
      <c r="B1531" t="s">
        <v>18</v>
      </c>
      <c r="C1531" t="s">
        <v>13</v>
      </c>
      <c r="D1531" t="s">
        <v>10</v>
      </c>
      <c r="E1531">
        <v>11431</v>
      </c>
      <c r="F1531">
        <v>9604</v>
      </c>
      <c r="G1531">
        <v>0</v>
      </c>
      <c r="H1531">
        <v>1827</v>
      </c>
      <c r="I1531" s="2">
        <f>sa_retail_sales[[#This Row],[Profit]] / sa_retail_sales[[#This Row],[Revenue]]</f>
        <v>0.15982853643600733</v>
      </c>
      <c r="J1531">
        <f xml:space="preserve"> YEAR(sa_retail_sales[[#This Row],[Order Date]])</f>
        <v>2024</v>
      </c>
    </row>
    <row r="1532" spans="1:10" x14ac:dyDescent="0.3">
      <c r="A1532" s="1">
        <v>44690</v>
      </c>
      <c r="B1532" t="s">
        <v>18</v>
      </c>
      <c r="C1532" t="s">
        <v>14</v>
      </c>
      <c r="D1532" t="s">
        <v>12</v>
      </c>
      <c r="E1532">
        <v>12968</v>
      </c>
      <c r="F1532">
        <v>7822</v>
      </c>
      <c r="G1532">
        <v>20</v>
      </c>
      <c r="H1532">
        <v>5146</v>
      </c>
      <c r="I1532" s="2">
        <f>sa_retail_sales[[#This Row],[Profit]] / sa_retail_sales[[#This Row],[Revenue]]</f>
        <v>0.39682294879703889</v>
      </c>
      <c r="J1532">
        <f xml:space="preserve"> YEAR(sa_retail_sales[[#This Row],[Order Date]])</f>
        <v>2022</v>
      </c>
    </row>
    <row r="1533" spans="1:10" x14ac:dyDescent="0.3">
      <c r="A1533" s="1">
        <v>45576</v>
      </c>
      <c r="B1533" t="s">
        <v>18</v>
      </c>
      <c r="C1533" t="s">
        <v>13</v>
      </c>
      <c r="D1533" t="s">
        <v>19</v>
      </c>
      <c r="E1533">
        <v>8133</v>
      </c>
      <c r="F1533">
        <v>11167</v>
      </c>
      <c r="G1533">
        <v>10</v>
      </c>
      <c r="H1533">
        <v>-3034</v>
      </c>
      <c r="I1533" s="2">
        <f>sa_retail_sales[[#This Row],[Profit]] / sa_retail_sales[[#This Row],[Revenue]]</f>
        <v>-0.37304807574080906</v>
      </c>
      <c r="J1533">
        <f xml:space="preserve"> YEAR(sa_retail_sales[[#This Row],[Order Date]])</f>
        <v>2024</v>
      </c>
    </row>
    <row r="1534" spans="1:10" x14ac:dyDescent="0.3">
      <c r="A1534" s="1">
        <v>45230</v>
      </c>
      <c r="B1534" t="s">
        <v>17</v>
      </c>
      <c r="C1534" t="s">
        <v>9</v>
      </c>
      <c r="D1534" t="s">
        <v>10</v>
      </c>
      <c r="E1534">
        <v>1987</v>
      </c>
      <c r="F1534">
        <v>5084</v>
      </c>
      <c r="G1534">
        <v>10</v>
      </c>
      <c r="H1534">
        <v>-3097</v>
      </c>
      <c r="I1534" s="2">
        <f>sa_retail_sales[[#This Row],[Profit]] / sa_retail_sales[[#This Row],[Revenue]]</f>
        <v>-1.5586311021640664</v>
      </c>
      <c r="J1534">
        <f xml:space="preserve"> YEAR(sa_retail_sales[[#This Row],[Order Date]])</f>
        <v>2023</v>
      </c>
    </row>
    <row r="1535" spans="1:10" x14ac:dyDescent="0.3">
      <c r="A1535" s="1">
        <v>45078</v>
      </c>
      <c r="B1535" t="s">
        <v>17</v>
      </c>
      <c r="C1535" t="s">
        <v>16</v>
      </c>
      <c r="D1535" t="s">
        <v>12</v>
      </c>
      <c r="E1535">
        <v>8348</v>
      </c>
      <c r="F1535">
        <v>9772</v>
      </c>
      <c r="G1535">
        <v>15</v>
      </c>
      <c r="H1535">
        <v>-1424</v>
      </c>
      <c r="I1535" s="2">
        <f>sa_retail_sales[[#This Row],[Profit]] / sa_retail_sales[[#This Row],[Revenue]]</f>
        <v>-0.17057977958792525</v>
      </c>
      <c r="J1535">
        <f xml:space="preserve"> YEAR(sa_retail_sales[[#This Row],[Order Date]])</f>
        <v>2023</v>
      </c>
    </row>
    <row r="1536" spans="1:10" x14ac:dyDescent="0.3">
      <c r="A1536" s="1">
        <v>44647</v>
      </c>
      <c r="B1536" t="s">
        <v>11</v>
      </c>
      <c r="C1536" t="s">
        <v>9</v>
      </c>
      <c r="D1536" t="s">
        <v>15</v>
      </c>
      <c r="E1536">
        <v>5509</v>
      </c>
      <c r="F1536">
        <v>1532</v>
      </c>
      <c r="G1536">
        <v>10</v>
      </c>
      <c r="H1536">
        <v>3977</v>
      </c>
      <c r="I1536" s="2">
        <f>sa_retail_sales[[#This Row],[Profit]] / sa_retail_sales[[#This Row],[Revenue]]</f>
        <v>0.72190960246868763</v>
      </c>
      <c r="J1536">
        <f xml:space="preserve"> YEAR(sa_retail_sales[[#This Row],[Order Date]])</f>
        <v>2022</v>
      </c>
    </row>
    <row r="1537" spans="1:10" x14ac:dyDescent="0.3">
      <c r="A1537" s="1">
        <v>44872</v>
      </c>
      <c r="B1537" t="s">
        <v>18</v>
      </c>
      <c r="C1537" t="s">
        <v>13</v>
      </c>
      <c r="D1537" t="s">
        <v>10</v>
      </c>
      <c r="E1537">
        <v>10249</v>
      </c>
      <c r="F1537">
        <v>10355</v>
      </c>
      <c r="G1537">
        <v>15</v>
      </c>
      <c r="H1537">
        <v>-106</v>
      </c>
      <c r="I1537" s="2">
        <f>sa_retail_sales[[#This Row],[Profit]] / sa_retail_sales[[#This Row],[Revenue]]</f>
        <v>-1.0342472436335253E-2</v>
      </c>
      <c r="J1537">
        <f xml:space="preserve"> YEAR(sa_retail_sales[[#This Row],[Order Date]])</f>
        <v>2022</v>
      </c>
    </row>
    <row r="1538" spans="1:10" x14ac:dyDescent="0.3">
      <c r="A1538" s="1">
        <v>44988</v>
      </c>
      <c r="B1538" t="s">
        <v>17</v>
      </c>
      <c r="C1538" t="s">
        <v>14</v>
      </c>
      <c r="D1538" t="s">
        <v>15</v>
      </c>
      <c r="E1538">
        <v>2613</v>
      </c>
      <c r="F1538">
        <v>9108</v>
      </c>
      <c r="G1538">
        <v>20</v>
      </c>
      <c r="H1538">
        <v>-6495</v>
      </c>
      <c r="I1538" s="2">
        <f>sa_retail_sales[[#This Row],[Profit]] / sa_retail_sales[[#This Row],[Revenue]]</f>
        <v>-2.4856486796785302</v>
      </c>
      <c r="J1538">
        <f xml:space="preserve"> YEAR(sa_retail_sales[[#This Row],[Order Date]])</f>
        <v>2023</v>
      </c>
    </row>
    <row r="1539" spans="1:10" x14ac:dyDescent="0.3">
      <c r="A1539" s="1">
        <v>44675</v>
      </c>
      <c r="B1539" t="s">
        <v>11</v>
      </c>
      <c r="C1539" t="s">
        <v>14</v>
      </c>
      <c r="D1539" t="s">
        <v>12</v>
      </c>
      <c r="E1539">
        <v>1544</v>
      </c>
      <c r="F1539">
        <v>8638</v>
      </c>
      <c r="G1539">
        <v>10</v>
      </c>
      <c r="H1539">
        <v>-7094</v>
      </c>
      <c r="I1539" s="2">
        <f>sa_retail_sales[[#This Row],[Profit]] / sa_retail_sales[[#This Row],[Revenue]]</f>
        <v>-4.5945595854922283</v>
      </c>
      <c r="J1539">
        <f xml:space="preserve"> YEAR(sa_retail_sales[[#This Row],[Order Date]])</f>
        <v>2022</v>
      </c>
    </row>
    <row r="1540" spans="1:10" x14ac:dyDescent="0.3">
      <c r="A1540" s="1">
        <v>44864</v>
      </c>
      <c r="B1540" t="s">
        <v>18</v>
      </c>
      <c r="C1540" t="s">
        <v>9</v>
      </c>
      <c r="D1540" t="s">
        <v>15</v>
      </c>
      <c r="E1540">
        <v>14423</v>
      </c>
      <c r="F1540">
        <v>7746</v>
      </c>
      <c r="G1540">
        <v>20</v>
      </c>
      <c r="H1540">
        <v>6677</v>
      </c>
      <c r="I1540" s="2">
        <f>sa_retail_sales[[#This Row],[Profit]] / sa_retail_sales[[#This Row],[Revenue]]</f>
        <v>0.46294113568605699</v>
      </c>
      <c r="J1540">
        <f xml:space="preserve"> YEAR(sa_retail_sales[[#This Row],[Order Date]])</f>
        <v>2022</v>
      </c>
    </row>
    <row r="1541" spans="1:10" x14ac:dyDescent="0.3">
      <c r="A1541" s="1">
        <v>45305</v>
      </c>
      <c r="B1541" t="s">
        <v>8</v>
      </c>
      <c r="C1541" t="s">
        <v>13</v>
      </c>
      <c r="D1541" t="s">
        <v>12</v>
      </c>
      <c r="E1541">
        <v>2931</v>
      </c>
      <c r="F1541">
        <v>4916</v>
      </c>
      <c r="G1541">
        <v>10</v>
      </c>
      <c r="H1541">
        <v>-1985</v>
      </c>
      <c r="I1541" s="2">
        <f>sa_retail_sales[[#This Row],[Profit]] / sa_retail_sales[[#This Row],[Revenue]]</f>
        <v>-0.67724326168543159</v>
      </c>
      <c r="J1541">
        <f xml:space="preserve"> YEAR(sa_retail_sales[[#This Row],[Order Date]])</f>
        <v>2024</v>
      </c>
    </row>
    <row r="1542" spans="1:10" x14ac:dyDescent="0.3">
      <c r="A1542" s="1">
        <v>45149</v>
      </c>
      <c r="B1542" t="s">
        <v>18</v>
      </c>
      <c r="C1542" t="s">
        <v>9</v>
      </c>
      <c r="D1542" t="s">
        <v>12</v>
      </c>
      <c r="E1542">
        <v>8479</v>
      </c>
      <c r="F1542">
        <v>5025</v>
      </c>
      <c r="G1542">
        <v>10</v>
      </c>
      <c r="H1542">
        <v>3454</v>
      </c>
      <c r="I1542" s="2">
        <f>sa_retail_sales[[#This Row],[Profit]] / sa_retail_sales[[#This Row],[Revenue]]</f>
        <v>0.40735935841490739</v>
      </c>
      <c r="J1542">
        <f xml:space="preserve"> YEAR(sa_retail_sales[[#This Row],[Order Date]])</f>
        <v>2023</v>
      </c>
    </row>
    <row r="1543" spans="1:10" x14ac:dyDescent="0.3">
      <c r="A1543" s="1">
        <v>45548</v>
      </c>
      <c r="B1543" t="s">
        <v>18</v>
      </c>
      <c r="C1543" t="s">
        <v>9</v>
      </c>
      <c r="D1543" t="s">
        <v>12</v>
      </c>
      <c r="E1543">
        <v>14426</v>
      </c>
      <c r="F1543">
        <v>3977</v>
      </c>
      <c r="G1543">
        <v>20</v>
      </c>
      <c r="H1543">
        <v>10449</v>
      </c>
      <c r="I1543" s="2">
        <f>sa_retail_sales[[#This Row],[Profit]] / sa_retail_sales[[#This Row],[Revenue]]</f>
        <v>0.72431720504644392</v>
      </c>
      <c r="J1543">
        <f xml:space="preserve"> YEAR(sa_retail_sales[[#This Row],[Order Date]])</f>
        <v>2024</v>
      </c>
    </row>
    <row r="1544" spans="1:10" x14ac:dyDescent="0.3">
      <c r="A1544" s="1">
        <v>44906</v>
      </c>
      <c r="B1544" t="s">
        <v>17</v>
      </c>
      <c r="C1544" t="s">
        <v>16</v>
      </c>
      <c r="D1544" t="s">
        <v>10</v>
      </c>
      <c r="E1544">
        <v>2082</v>
      </c>
      <c r="F1544">
        <v>6587</v>
      </c>
      <c r="G1544">
        <v>0</v>
      </c>
      <c r="H1544">
        <v>-4505</v>
      </c>
      <c r="I1544" s="2">
        <f>sa_retail_sales[[#This Row],[Profit]] / sa_retail_sales[[#This Row],[Revenue]]</f>
        <v>-2.1637848222862632</v>
      </c>
      <c r="J1544">
        <f xml:space="preserve"> YEAR(sa_retail_sales[[#This Row],[Order Date]])</f>
        <v>2022</v>
      </c>
    </row>
    <row r="1545" spans="1:10" x14ac:dyDescent="0.3">
      <c r="A1545" s="1">
        <v>45375</v>
      </c>
      <c r="B1545" t="s">
        <v>11</v>
      </c>
      <c r="C1545" t="s">
        <v>9</v>
      </c>
      <c r="D1545" t="s">
        <v>15</v>
      </c>
      <c r="E1545">
        <v>14874</v>
      </c>
      <c r="F1545">
        <v>8780</v>
      </c>
      <c r="G1545">
        <v>0</v>
      </c>
      <c r="H1545">
        <v>6094</v>
      </c>
      <c r="I1545" s="2">
        <f>sa_retail_sales[[#This Row],[Profit]] / sa_retail_sales[[#This Row],[Revenue]]</f>
        <v>0.40970821567836491</v>
      </c>
      <c r="J1545">
        <f xml:space="preserve"> YEAR(sa_retail_sales[[#This Row],[Order Date]])</f>
        <v>2024</v>
      </c>
    </row>
    <row r="1546" spans="1:10" x14ac:dyDescent="0.3">
      <c r="A1546" s="1">
        <v>45362</v>
      </c>
      <c r="B1546" t="s">
        <v>11</v>
      </c>
      <c r="C1546" t="s">
        <v>16</v>
      </c>
      <c r="D1546" t="s">
        <v>15</v>
      </c>
      <c r="E1546">
        <v>1808</v>
      </c>
      <c r="F1546">
        <v>1709</v>
      </c>
      <c r="G1546">
        <v>0</v>
      </c>
      <c r="H1546">
        <v>99</v>
      </c>
      <c r="I1546" s="2">
        <f>sa_retail_sales[[#This Row],[Profit]] / sa_retail_sales[[#This Row],[Revenue]]</f>
        <v>5.4756637168141595E-2</v>
      </c>
      <c r="J1546">
        <f xml:space="preserve"> YEAR(sa_retail_sales[[#This Row],[Order Date]])</f>
        <v>2024</v>
      </c>
    </row>
    <row r="1547" spans="1:10" x14ac:dyDescent="0.3">
      <c r="A1547" s="1">
        <v>45586</v>
      </c>
      <c r="B1547" t="s">
        <v>17</v>
      </c>
      <c r="C1547" t="s">
        <v>16</v>
      </c>
      <c r="D1547" t="s">
        <v>19</v>
      </c>
      <c r="E1547">
        <v>5417</v>
      </c>
      <c r="F1547">
        <v>8505</v>
      </c>
      <c r="G1547">
        <v>0</v>
      </c>
      <c r="H1547">
        <v>-3088</v>
      </c>
      <c r="I1547" s="2">
        <f>sa_retail_sales[[#This Row],[Profit]] / sa_retail_sales[[#This Row],[Revenue]]</f>
        <v>-0.57005722724755403</v>
      </c>
      <c r="J1547">
        <f xml:space="preserve"> YEAR(sa_retail_sales[[#This Row],[Order Date]])</f>
        <v>2024</v>
      </c>
    </row>
    <row r="1548" spans="1:10" x14ac:dyDescent="0.3">
      <c r="A1548" s="1">
        <v>45638</v>
      </c>
      <c r="B1548" t="s">
        <v>18</v>
      </c>
      <c r="C1548" t="s">
        <v>14</v>
      </c>
      <c r="D1548" t="s">
        <v>19</v>
      </c>
      <c r="E1548">
        <v>9293</v>
      </c>
      <c r="F1548">
        <v>556</v>
      </c>
      <c r="G1548">
        <v>10</v>
      </c>
      <c r="H1548">
        <v>8737</v>
      </c>
      <c r="I1548" s="2">
        <f>sa_retail_sales[[#This Row],[Profit]] / sa_retail_sales[[#This Row],[Revenue]]</f>
        <v>0.94017002044549658</v>
      </c>
      <c r="J1548">
        <f xml:space="preserve"> YEAR(sa_retail_sales[[#This Row],[Order Date]])</f>
        <v>2024</v>
      </c>
    </row>
    <row r="1549" spans="1:10" x14ac:dyDescent="0.3">
      <c r="A1549" s="1">
        <v>45654</v>
      </c>
      <c r="B1549" t="s">
        <v>8</v>
      </c>
      <c r="C1549" t="s">
        <v>16</v>
      </c>
      <c r="D1549" t="s">
        <v>19</v>
      </c>
      <c r="E1549">
        <v>2120</v>
      </c>
      <c r="F1549">
        <v>2021</v>
      </c>
      <c r="G1549">
        <v>5</v>
      </c>
      <c r="H1549">
        <v>99</v>
      </c>
      <c r="I1549" s="2">
        <f>sa_retail_sales[[#This Row],[Profit]] / sa_retail_sales[[#This Row],[Revenue]]</f>
        <v>4.6698113207547166E-2</v>
      </c>
      <c r="J1549">
        <f xml:space="preserve"> YEAR(sa_retail_sales[[#This Row],[Order Date]])</f>
        <v>2024</v>
      </c>
    </row>
    <row r="1550" spans="1:10" x14ac:dyDescent="0.3">
      <c r="A1550" s="1">
        <v>44922</v>
      </c>
      <c r="B1550" t="s">
        <v>18</v>
      </c>
      <c r="C1550" t="s">
        <v>16</v>
      </c>
      <c r="D1550" t="s">
        <v>19</v>
      </c>
      <c r="E1550">
        <v>13572</v>
      </c>
      <c r="F1550">
        <v>1723</v>
      </c>
      <c r="G1550">
        <v>20</v>
      </c>
      <c r="H1550">
        <v>11849</v>
      </c>
      <c r="I1550" s="2">
        <f>sa_retail_sales[[#This Row],[Profit]] / sa_retail_sales[[#This Row],[Revenue]]</f>
        <v>0.87304745063365752</v>
      </c>
      <c r="J1550">
        <f xml:space="preserve"> YEAR(sa_retail_sales[[#This Row],[Order Date]])</f>
        <v>2022</v>
      </c>
    </row>
    <row r="1551" spans="1:10" x14ac:dyDescent="0.3">
      <c r="A1551" s="1">
        <v>45571</v>
      </c>
      <c r="B1551" t="s">
        <v>18</v>
      </c>
      <c r="C1551" t="s">
        <v>14</v>
      </c>
      <c r="D1551" t="s">
        <v>15</v>
      </c>
      <c r="E1551">
        <v>8003</v>
      </c>
      <c r="F1551">
        <v>5253</v>
      </c>
      <c r="G1551">
        <v>5</v>
      </c>
      <c r="H1551">
        <v>2750</v>
      </c>
      <c r="I1551" s="2">
        <f>sa_retail_sales[[#This Row],[Profit]] / sa_retail_sales[[#This Row],[Revenue]]</f>
        <v>0.34362114207172312</v>
      </c>
      <c r="J1551">
        <f xml:space="preserve"> YEAR(sa_retail_sales[[#This Row],[Order Date]])</f>
        <v>2024</v>
      </c>
    </row>
    <row r="1552" spans="1:10" x14ac:dyDescent="0.3">
      <c r="A1552" s="1">
        <v>45265</v>
      </c>
      <c r="B1552" t="s">
        <v>8</v>
      </c>
      <c r="C1552" t="s">
        <v>9</v>
      </c>
      <c r="D1552" t="s">
        <v>12</v>
      </c>
      <c r="E1552">
        <v>13999</v>
      </c>
      <c r="F1552">
        <v>3290</v>
      </c>
      <c r="G1552">
        <v>5</v>
      </c>
      <c r="H1552">
        <v>10709</v>
      </c>
      <c r="I1552" s="2">
        <f>sa_retail_sales[[#This Row],[Profit]] / sa_retail_sales[[#This Row],[Revenue]]</f>
        <v>0.76498321308664907</v>
      </c>
      <c r="J1552">
        <f xml:space="preserve"> YEAR(sa_retail_sales[[#This Row],[Order Date]])</f>
        <v>2023</v>
      </c>
    </row>
    <row r="1553" spans="1:10" x14ac:dyDescent="0.3">
      <c r="A1553" s="1">
        <v>45136</v>
      </c>
      <c r="B1553" t="s">
        <v>17</v>
      </c>
      <c r="C1553" t="s">
        <v>13</v>
      </c>
      <c r="D1553" t="s">
        <v>12</v>
      </c>
      <c r="E1553">
        <v>5266</v>
      </c>
      <c r="F1553">
        <v>1495</v>
      </c>
      <c r="G1553">
        <v>15</v>
      </c>
      <c r="H1553">
        <v>3771</v>
      </c>
      <c r="I1553" s="2">
        <f>sa_retail_sales[[#This Row],[Profit]] / sa_retail_sales[[#This Row],[Revenue]]</f>
        <v>0.71610330421572355</v>
      </c>
      <c r="J1553">
        <f xml:space="preserve"> YEAR(sa_retail_sales[[#This Row],[Order Date]])</f>
        <v>2023</v>
      </c>
    </row>
    <row r="1554" spans="1:10" x14ac:dyDescent="0.3">
      <c r="A1554" s="1">
        <v>45249</v>
      </c>
      <c r="B1554" t="s">
        <v>11</v>
      </c>
      <c r="C1554" t="s">
        <v>13</v>
      </c>
      <c r="D1554" t="s">
        <v>10</v>
      </c>
      <c r="E1554">
        <v>5862</v>
      </c>
      <c r="F1554">
        <v>4859</v>
      </c>
      <c r="G1554">
        <v>0</v>
      </c>
      <c r="H1554">
        <v>1003</v>
      </c>
      <c r="I1554" s="2">
        <f>sa_retail_sales[[#This Row],[Profit]] / sa_retail_sales[[#This Row],[Revenue]]</f>
        <v>0.17110201296485841</v>
      </c>
      <c r="J1554">
        <f xml:space="preserve"> YEAR(sa_retail_sales[[#This Row],[Order Date]])</f>
        <v>2023</v>
      </c>
    </row>
    <row r="1555" spans="1:10" x14ac:dyDescent="0.3">
      <c r="A1555" s="1">
        <v>45342</v>
      </c>
      <c r="B1555" t="s">
        <v>17</v>
      </c>
      <c r="C1555" t="s">
        <v>13</v>
      </c>
      <c r="D1555" t="s">
        <v>12</v>
      </c>
      <c r="E1555">
        <v>5692</v>
      </c>
      <c r="F1555">
        <v>4665</v>
      </c>
      <c r="G1555">
        <v>10</v>
      </c>
      <c r="H1555">
        <v>1027</v>
      </c>
      <c r="I1555" s="2">
        <f>sa_retail_sales[[#This Row],[Profit]] / sa_retail_sales[[#This Row],[Revenue]]</f>
        <v>0.18042867182009839</v>
      </c>
      <c r="J1555">
        <f xml:space="preserve"> YEAR(sa_retail_sales[[#This Row],[Order Date]])</f>
        <v>2024</v>
      </c>
    </row>
    <row r="1556" spans="1:10" x14ac:dyDescent="0.3">
      <c r="A1556" s="1">
        <v>45146</v>
      </c>
      <c r="B1556" t="s">
        <v>17</v>
      </c>
      <c r="C1556" t="s">
        <v>9</v>
      </c>
      <c r="D1556" t="s">
        <v>15</v>
      </c>
      <c r="E1556">
        <v>7122</v>
      </c>
      <c r="F1556">
        <v>1544</v>
      </c>
      <c r="G1556">
        <v>0</v>
      </c>
      <c r="H1556">
        <v>5578</v>
      </c>
      <c r="I1556" s="2">
        <f>sa_retail_sales[[#This Row],[Profit]] / sa_retail_sales[[#This Row],[Revenue]]</f>
        <v>0.78320696433586068</v>
      </c>
      <c r="J1556">
        <f xml:space="preserve"> YEAR(sa_retail_sales[[#This Row],[Order Date]])</f>
        <v>2023</v>
      </c>
    </row>
    <row r="1557" spans="1:10" x14ac:dyDescent="0.3">
      <c r="A1557" s="1">
        <v>45150</v>
      </c>
      <c r="B1557" t="s">
        <v>18</v>
      </c>
      <c r="C1557" t="s">
        <v>16</v>
      </c>
      <c r="D1557" t="s">
        <v>15</v>
      </c>
      <c r="E1557">
        <v>6593</v>
      </c>
      <c r="F1557">
        <v>11715</v>
      </c>
      <c r="G1557">
        <v>0</v>
      </c>
      <c r="H1557">
        <v>-5122</v>
      </c>
      <c r="I1557" s="2">
        <f>sa_retail_sales[[#This Row],[Profit]] / sa_retail_sales[[#This Row],[Revenue]]</f>
        <v>-0.77688457454876381</v>
      </c>
      <c r="J1557">
        <f xml:space="preserve"> YEAR(sa_retail_sales[[#This Row],[Order Date]])</f>
        <v>2023</v>
      </c>
    </row>
    <row r="1558" spans="1:10" x14ac:dyDescent="0.3">
      <c r="A1558" s="1">
        <v>45050</v>
      </c>
      <c r="B1558" t="s">
        <v>11</v>
      </c>
      <c r="C1558" t="s">
        <v>13</v>
      </c>
      <c r="D1558" t="s">
        <v>15</v>
      </c>
      <c r="E1558">
        <v>7204</v>
      </c>
      <c r="F1558">
        <v>7066</v>
      </c>
      <c r="G1558">
        <v>5</v>
      </c>
      <c r="H1558">
        <v>138</v>
      </c>
      <c r="I1558" s="2">
        <f>sa_retail_sales[[#This Row],[Profit]] / sa_retail_sales[[#This Row],[Revenue]]</f>
        <v>1.9156024430871738E-2</v>
      </c>
      <c r="J1558">
        <f xml:space="preserve"> YEAR(sa_retail_sales[[#This Row],[Order Date]])</f>
        <v>2023</v>
      </c>
    </row>
    <row r="1559" spans="1:10" x14ac:dyDescent="0.3">
      <c r="A1559" s="1">
        <v>45532</v>
      </c>
      <c r="B1559" t="s">
        <v>11</v>
      </c>
      <c r="C1559" t="s">
        <v>9</v>
      </c>
      <c r="D1559" t="s">
        <v>10</v>
      </c>
      <c r="E1559">
        <v>600</v>
      </c>
      <c r="F1559">
        <v>5602</v>
      </c>
      <c r="G1559">
        <v>15</v>
      </c>
      <c r="H1559">
        <v>-5002</v>
      </c>
      <c r="I1559" s="2">
        <f>sa_retail_sales[[#This Row],[Profit]] / sa_retail_sales[[#This Row],[Revenue]]</f>
        <v>-8.336666666666666</v>
      </c>
      <c r="J1559">
        <f xml:space="preserve"> YEAR(sa_retail_sales[[#This Row],[Order Date]])</f>
        <v>2024</v>
      </c>
    </row>
    <row r="1560" spans="1:10" x14ac:dyDescent="0.3">
      <c r="A1560" s="1">
        <v>45055</v>
      </c>
      <c r="B1560" t="s">
        <v>17</v>
      </c>
      <c r="C1560" t="s">
        <v>16</v>
      </c>
      <c r="D1560" t="s">
        <v>19</v>
      </c>
      <c r="E1560">
        <v>7157</v>
      </c>
      <c r="F1560">
        <v>11962</v>
      </c>
      <c r="G1560">
        <v>0</v>
      </c>
      <c r="H1560">
        <v>-4805</v>
      </c>
      <c r="I1560" s="2">
        <f>sa_retail_sales[[#This Row],[Profit]] / sa_retail_sales[[#This Row],[Revenue]]</f>
        <v>-0.67137068604163752</v>
      </c>
      <c r="J1560">
        <f xml:space="preserve"> YEAR(sa_retail_sales[[#This Row],[Order Date]])</f>
        <v>2023</v>
      </c>
    </row>
    <row r="1561" spans="1:10" x14ac:dyDescent="0.3">
      <c r="A1561" s="1">
        <v>44580</v>
      </c>
      <c r="B1561" t="s">
        <v>8</v>
      </c>
      <c r="C1561" t="s">
        <v>14</v>
      </c>
      <c r="D1561" t="s">
        <v>12</v>
      </c>
      <c r="E1561">
        <v>6375</v>
      </c>
      <c r="F1561">
        <v>1606</v>
      </c>
      <c r="G1561">
        <v>20</v>
      </c>
      <c r="H1561">
        <v>4769</v>
      </c>
      <c r="I1561" s="2">
        <f>sa_retail_sales[[#This Row],[Profit]] / sa_retail_sales[[#This Row],[Revenue]]</f>
        <v>0.74807843137254904</v>
      </c>
      <c r="J1561">
        <f xml:space="preserve"> YEAR(sa_retail_sales[[#This Row],[Order Date]])</f>
        <v>2022</v>
      </c>
    </row>
    <row r="1562" spans="1:10" x14ac:dyDescent="0.3">
      <c r="A1562" s="1">
        <v>44958</v>
      </c>
      <c r="B1562" t="s">
        <v>17</v>
      </c>
      <c r="C1562" t="s">
        <v>13</v>
      </c>
      <c r="D1562" t="s">
        <v>15</v>
      </c>
      <c r="E1562">
        <v>4771</v>
      </c>
      <c r="F1562">
        <v>10613</v>
      </c>
      <c r="G1562">
        <v>20</v>
      </c>
      <c r="H1562">
        <v>-5842</v>
      </c>
      <c r="I1562" s="2">
        <f>sa_retail_sales[[#This Row],[Profit]] / sa_retail_sales[[#This Row],[Revenue]]</f>
        <v>-1.2244812408300147</v>
      </c>
      <c r="J1562">
        <f xml:space="preserve"> YEAR(sa_retail_sales[[#This Row],[Order Date]])</f>
        <v>2023</v>
      </c>
    </row>
    <row r="1563" spans="1:10" x14ac:dyDescent="0.3">
      <c r="A1563" s="1">
        <v>45562</v>
      </c>
      <c r="B1563" t="s">
        <v>8</v>
      </c>
      <c r="C1563" t="s">
        <v>16</v>
      </c>
      <c r="D1563" t="s">
        <v>15</v>
      </c>
      <c r="E1563">
        <v>737</v>
      </c>
      <c r="F1563">
        <v>2702</v>
      </c>
      <c r="G1563">
        <v>0</v>
      </c>
      <c r="H1563">
        <v>-1965</v>
      </c>
      <c r="I1563" s="2">
        <f>sa_retail_sales[[#This Row],[Profit]] / sa_retail_sales[[#This Row],[Revenue]]</f>
        <v>-2.666214382632293</v>
      </c>
      <c r="J1563">
        <f xml:space="preserve"> YEAR(sa_retail_sales[[#This Row],[Order Date]])</f>
        <v>2024</v>
      </c>
    </row>
    <row r="1564" spans="1:10" x14ac:dyDescent="0.3">
      <c r="A1564" s="1">
        <v>45412</v>
      </c>
      <c r="B1564" t="s">
        <v>11</v>
      </c>
      <c r="C1564" t="s">
        <v>13</v>
      </c>
      <c r="D1564" t="s">
        <v>19</v>
      </c>
      <c r="E1564">
        <v>7726</v>
      </c>
      <c r="F1564">
        <v>796</v>
      </c>
      <c r="G1564">
        <v>5</v>
      </c>
      <c r="H1564">
        <v>6930</v>
      </c>
      <c r="I1564" s="2">
        <f>sa_retail_sales[[#This Row],[Profit]] / sa_retail_sales[[#This Row],[Revenue]]</f>
        <v>0.89697126585555265</v>
      </c>
      <c r="J1564">
        <f xml:space="preserve"> YEAR(sa_retail_sales[[#This Row],[Order Date]])</f>
        <v>2024</v>
      </c>
    </row>
    <row r="1565" spans="1:10" x14ac:dyDescent="0.3">
      <c r="A1565" s="1">
        <v>45383</v>
      </c>
      <c r="B1565" t="s">
        <v>17</v>
      </c>
      <c r="C1565" t="s">
        <v>13</v>
      </c>
      <c r="D1565" t="s">
        <v>15</v>
      </c>
      <c r="E1565">
        <v>8532</v>
      </c>
      <c r="F1565">
        <v>3699</v>
      </c>
      <c r="G1565">
        <v>5</v>
      </c>
      <c r="H1565">
        <v>4833</v>
      </c>
      <c r="I1565" s="2">
        <f>sa_retail_sales[[#This Row],[Profit]] / sa_retail_sales[[#This Row],[Revenue]]</f>
        <v>0.56645569620253167</v>
      </c>
      <c r="J1565">
        <f xml:space="preserve"> YEAR(sa_retail_sales[[#This Row],[Order Date]])</f>
        <v>2024</v>
      </c>
    </row>
    <row r="1566" spans="1:10" x14ac:dyDescent="0.3">
      <c r="A1566" s="1">
        <v>45016</v>
      </c>
      <c r="B1566" t="s">
        <v>18</v>
      </c>
      <c r="C1566" t="s">
        <v>13</v>
      </c>
      <c r="D1566" t="s">
        <v>12</v>
      </c>
      <c r="E1566">
        <v>5718</v>
      </c>
      <c r="F1566">
        <v>1209</v>
      </c>
      <c r="G1566">
        <v>10</v>
      </c>
      <c r="H1566">
        <v>4509</v>
      </c>
      <c r="I1566" s="2">
        <f>sa_retail_sales[[#This Row],[Profit]] / sa_retail_sales[[#This Row],[Revenue]]</f>
        <v>0.78856243441762852</v>
      </c>
      <c r="J1566">
        <f xml:space="preserve"> YEAR(sa_retail_sales[[#This Row],[Order Date]])</f>
        <v>2023</v>
      </c>
    </row>
    <row r="1567" spans="1:10" x14ac:dyDescent="0.3">
      <c r="A1567" s="1">
        <v>45286</v>
      </c>
      <c r="B1567" t="s">
        <v>17</v>
      </c>
      <c r="C1567" t="s">
        <v>16</v>
      </c>
      <c r="D1567" t="s">
        <v>10</v>
      </c>
      <c r="E1567">
        <v>4525</v>
      </c>
      <c r="F1567">
        <v>672</v>
      </c>
      <c r="G1567">
        <v>15</v>
      </c>
      <c r="H1567">
        <v>3853</v>
      </c>
      <c r="I1567" s="2">
        <f>sa_retail_sales[[#This Row],[Profit]] / sa_retail_sales[[#This Row],[Revenue]]</f>
        <v>0.85149171270718227</v>
      </c>
      <c r="J1567">
        <f xml:space="preserve"> YEAR(sa_retail_sales[[#This Row],[Order Date]])</f>
        <v>2023</v>
      </c>
    </row>
    <row r="1568" spans="1:10" x14ac:dyDescent="0.3">
      <c r="A1568" s="1">
        <v>45650</v>
      </c>
      <c r="B1568" t="s">
        <v>11</v>
      </c>
      <c r="C1568" t="s">
        <v>9</v>
      </c>
      <c r="D1568" t="s">
        <v>15</v>
      </c>
      <c r="E1568">
        <v>11610</v>
      </c>
      <c r="F1568">
        <v>6536</v>
      </c>
      <c r="G1568">
        <v>5</v>
      </c>
      <c r="H1568">
        <v>5074</v>
      </c>
      <c r="I1568" s="2">
        <f>sa_retail_sales[[#This Row],[Profit]] / sa_retail_sales[[#This Row],[Revenue]]</f>
        <v>0.43703703703703706</v>
      </c>
      <c r="J1568">
        <f xml:space="preserve"> YEAR(sa_retail_sales[[#This Row],[Order Date]])</f>
        <v>2024</v>
      </c>
    </row>
    <row r="1569" spans="1:10" x14ac:dyDescent="0.3">
      <c r="A1569" s="1">
        <v>45272</v>
      </c>
      <c r="B1569" t="s">
        <v>18</v>
      </c>
      <c r="C1569" t="s">
        <v>16</v>
      </c>
      <c r="D1569" t="s">
        <v>12</v>
      </c>
      <c r="E1569">
        <v>6573</v>
      </c>
      <c r="F1569">
        <v>1644</v>
      </c>
      <c r="G1569">
        <v>10</v>
      </c>
      <c r="H1569">
        <v>4929</v>
      </c>
      <c r="I1569" s="2">
        <f>sa_retail_sales[[#This Row],[Profit]] / sa_retail_sales[[#This Row],[Revenue]]</f>
        <v>0.74988589685075313</v>
      </c>
      <c r="J1569">
        <f xml:space="preserve"> YEAR(sa_retail_sales[[#This Row],[Order Date]])</f>
        <v>2023</v>
      </c>
    </row>
    <row r="1570" spans="1:10" x14ac:dyDescent="0.3">
      <c r="A1570" s="1">
        <v>44704</v>
      </c>
      <c r="B1570" t="s">
        <v>18</v>
      </c>
      <c r="C1570" t="s">
        <v>13</v>
      </c>
      <c r="D1570" t="s">
        <v>15</v>
      </c>
      <c r="E1570">
        <v>3042</v>
      </c>
      <c r="F1570">
        <v>8815</v>
      </c>
      <c r="G1570">
        <v>20</v>
      </c>
      <c r="H1570">
        <v>-5773</v>
      </c>
      <c r="I1570" s="2">
        <f>sa_retail_sales[[#This Row],[Profit]] / sa_retail_sales[[#This Row],[Revenue]]</f>
        <v>-1.8977646285338594</v>
      </c>
      <c r="J1570">
        <f xml:space="preserve"> YEAR(sa_retail_sales[[#This Row],[Order Date]])</f>
        <v>2022</v>
      </c>
    </row>
    <row r="1571" spans="1:10" x14ac:dyDescent="0.3">
      <c r="A1571" s="1">
        <v>45478</v>
      </c>
      <c r="B1571" t="s">
        <v>8</v>
      </c>
      <c r="C1571" t="s">
        <v>16</v>
      </c>
      <c r="D1571" t="s">
        <v>19</v>
      </c>
      <c r="E1571">
        <v>10695</v>
      </c>
      <c r="F1571">
        <v>2731</v>
      </c>
      <c r="G1571">
        <v>20</v>
      </c>
      <c r="H1571">
        <v>7964</v>
      </c>
      <c r="I1571" s="2">
        <f>sa_retail_sales[[#This Row],[Profit]] / sa_retail_sales[[#This Row],[Revenue]]</f>
        <v>0.7446470313230481</v>
      </c>
      <c r="J1571">
        <f xml:space="preserve"> YEAR(sa_retail_sales[[#This Row],[Order Date]])</f>
        <v>2024</v>
      </c>
    </row>
    <row r="1572" spans="1:10" x14ac:dyDescent="0.3">
      <c r="A1572" s="1">
        <v>45389</v>
      </c>
      <c r="B1572" t="s">
        <v>18</v>
      </c>
      <c r="C1572" t="s">
        <v>14</v>
      </c>
      <c r="D1572" t="s">
        <v>15</v>
      </c>
      <c r="E1572">
        <v>2037</v>
      </c>
      <c r="F1572">
        <v>4970</v>
      </c>
      <c r="G1572">
        <v>20</v>
      </c>
      <c r="H1572">
        <v>-2933</v>
      </c>
      <c r="I1572" s="2">
        <f>sa_retail_sales[[#This Row],[Profit]] / sa_retail_sales[[#This Row],[Revenue]]</f>
        <v>-1.4398625429553265</v>
      </c>
      <c r="J1572">
        <f xml:space="preserve"> YEAR(sa_retail_sales[[#This Row],[Order Date]])</f>
        <v>2024</v>
      </c>
    </row>
    <row r="1573" spans="1:10" x14ac:dyDescent="0.3">
      <c r="A1573" s="1">
        <v>45166</v>
      </c>
      <c r="B1573" t="s">
        <v>18</v>
      </c>
      <c r="C1573" t="s">
        <v>9</v>
      </c>
      <c r="D1573" t="s">
        <v>15</v>
      </c>
      <c r="E1573">
        <v>1254</v>
      </c>
      <c r="F1573">
        <v>3084</v>
      </c>
      <c r="G1573">
        <v>0</v>
      </c>
      <c r="H1573">
        <v>-1830</v>
      </c>
      <c r="I1573" s="2">
        <f>sa_retail_sales[[#This Row],[Profit]] / sa_retail_sales[[#This Row],[Revenue]]</f>
        <v>-1.4593301435406698</v>
      </c>
      <c r="J1573">
        <f xml:space="preserve"> YEAR(sa_retail_sales[[#This Row],[Order Date]])</f>
        <v>2023</v>
      </c>
    </row>
    <row r="1574" spans="1:10" x14ac:dyDescent="0.3">
      <c r="A1574" s="1">
        <v>44866</v>
      </c>
      <c r="B1574" t="s">
        <v>17</v>
      </c>
      <c r="C1574" t="s">
        <v>16</v>
      </c>
      <c r="D1574" t="s">
        <v>10</v>
      </c>
      <c r="E1574">
        <v>12060</v>
      </c>
      <c r="F1574">
        <v>10885</v>
      </c>
      <c r="G1574">
        <v>15</v>
      </c>
      <c r="H1574">
        <v>1175</v>
      </c>
      <c r="I1574" s="2">
        <f>sa_retail_sales[[#This Row],[Profit]] / sa_retail_sales[[#This Row],[Revenue]]</f>
        <v>9.7429519071310117E-2</v>
      </c>
      <c r="J1574">
        <f xml:space="preserve"> YEAR(sa_retail_sales[[#This Row],[Order Date]])</f>
        <v>2022</v>
      </c>
    </row>
    <row r="1575" spans="1:10" x14ac:dyDescent="0.3">
      <c r="A1575" s="1">
        <v>45297</v>
      </c>
      <c r="B1575" t="s">
        <v>11</v>
      </c>
      <c r="C1575" t="s">
        <v>14</v>
      </c>
      <c r="D1575" t="s">
        <v>19</v>
      </c>
      <c r="E1575">
        <v>10950</v>
      </c>
      <c r="F1575">
        <v>9707</v>
      </c>
      <c r="G1575">
        <v>10</v>
      </c>
      <c r="H1575">
        <v>1243</v>
      </c>
      <c r="I1575" s="2">
        <f>sa_retail_sales[[#This Row],[Profit]] / sa_retail_sales[[#This Row],[Revenue]]</f>
        <v>0.11351598173515982</v>
      </c>
      <c r="J1575">
        <f xml:space="preserve"> YEAR(sa_retail_sales[[#This Row],[Order Date]])</f>
        <v>2024</v>
      </c>
    </row>
    <row r="1576" spans="1:10" x14ac:dyDescent="0.3">
      <c r="A1576" s="1">
        <v>44852</v>
      </c>
      <c r="B1576" t="s">
        <v>8</v>
      </c>
      <c r="C1576" t="s">
        <v>9</v>
      </c>
      <c r="D1576" t="s">
        <v>19</v>
      </c>
      <c r="E1576">
        <v>13934</v>
      </c>
      <c r="F1576">
        <v>1995</v>
      </c>
      <c r="G1576">
        <v>15</v>
      </c>
      <c r="H1576">
        <v>11939</v>
      </c>
      <c r="I1576" s="2">
        <f>sa_retail_sales[[#This Row],[Profit]] / sa_retail_sales[[#This Row],[Revenue]]</f>
        <v>0.85682503229510554</v>
      </c>
      <c r="J1576">
        <f xml:space="preserve"> YEAR(sa_retail_sales[[#This Row],[Order Date]])</f>
        <v>2022</v>
      </c>
    </row>
    <row r="1577" spans="1:10" x14ac:dyDescent="0.3">
      <c r="A1577" s="1">
        <v>44663</v>
      </c>
      <c r="B1577" t="s">
        <v>17</v>
      </c>
      <c r="C1577" t="s">
        <v>14</v>
      </c>
      <c r="D1577" t="s">
        <v>10</v>
      </c>
      <c r="E1577">
        <v>7896</v>
      </c>
      <c r="F1577">
        <v>2207</v>
      </c>
      <c r="G1577">
        <v>0</v>
      </c>
      <c r="H1577">
        <v>5689</v>
      </c>
      <c r="I1577" s="2">
        <f>sa_retail_sales[[#This Row],[Profit]] / sa_retail_sales[[#This Row],[Revenue]]</f>
        <v>0.72049138804457957</v>
      </c>
      <c r="J1577">
        <f xml:space="preserve"> YEAR(sa_retail_sales[[#This Row],[Order Date]])</f>
        <v>2022</v>
      </c>
    </row>
    <row r="1578" spans="1:10" x14ac:dyDescent="0.3">
      <c r="A1578" s="1">
        <v>45428</v>
      </c>
      <c r="B1578" t="s">
        <v>18</v>
      </c>
      <c r="C1578" t="s">
        <v>9</v>
      </c>
      <c r="D1578" t="s">
        <v>15</v>
      </c>
      <c r="E1578">
        <v>12357</v>
      </c>
      <c r="F1578">
        <v>5114</v>
      </c>
      <c r="G1578">
        <v>10</v>
      </c>
      <c r="H1578">
        <v>7243</v>
      </c>
      <c r="I1578" s="2">
        <f>sa_retail_sales[[#This Row],[Profit]] / sa_retail_sales[[#This Row],[Revenue]]</f>
        <v>0.58614550457230719</v>
      </c>
      <c r="J1578">
        <f xml:space="preserve"> YEAR(sa_retail_sales[[#This Row],[Order Date]])</f>
        <v>2024</v>
      </c>
    </row>
    <row r="1579" spans="1:10" x14ac:dyDescent="0.3">
      <c r="A1579" s="1">
        <v>45529</v>
      </c>
      <c r="B1579" t="s">
        <v>18</v>
      </c>
      <c r="C1579" t="s">
        <v>16</v>
      </c>
      <c r="D1579" t="s">
        <v>12</v>
      </c>
      <c r="E1579">
        <v>8323</v>
      </c>
      <c r="F1579">
        <v>1080</v>
      </c>
      <c r="G1579">
        <v>10</v>
      </c>
      <c r="H1579">
        <v>7243</v>
      </c>
      <c r="I1579" s="2">
        <f>sa_retail_sales[[#This Row],[Profit]] / sa_retail_sales[[#This Row],[Revenue]]</f>
        <v>0.87023909647963471</v>
      </c>
      <c r="J1579">
        <f xml:space="preserve"> YEAR(sa_retail_sales[[#This Row],[Order Date]])</f>
        <v>2024</v>
      </c>
    </row>
    <row r="1580" spans="1:10" x14ac:dyDescent="0.3">
      <c r="A1580" s="1">
        <v>45535</v>
      </c>
      <c r="B1580" t="s">
        <v>8</v>
      </c>
      <c r="C1580" t="s">
        <v>14</v>
      </c>
      <c r="D1580" t="s">
        <v>19</v>
      </c>
      <c r="E1580">
        <v>6007</v>
      </c>
      <c r="F1580">
        <v>1319</v>
      </c>
      <c r="G1580">
        <v>5</v>
      </c>
      <c r="H1580">
        <v>4688</v>
      </c>
      <c r="I1580" s="2">
        <f>sa_retail_sales[[#This Row],[Profit]] / sa_retail_sales[[#This Row],[Revenue]]</f>
        <v>0.78042284001997675</v>
      </c>
      <c r="J1580">
        <f xml:space="preserve"> YEAR(sa_retail_sales[[#This Row],[Order Date]])</f>
        <v>2024</v>
      </c>
    </row>
    <row r="1581" spans="1:10" x14ac:dyDescent="0.3">
      <c r="A1581" s="1">
        <v>45403</v>
      </c>
      <c r="B1581" t="s">
        <v>11</v>
      </c>
      <c r="C1581" t="s">
        <v>13</v>
      </c>
      <c r="D1581" t="s">
        <v>19</v>
      </c>
      <c r="E1581">
        <v>4735</v>
      </c>
      <c r="F1581">
        <v>11757</v>
      </c>
      <c r="G1581">
        <v>15</v>
      </c>
      <c r="H1581">
        <v>-7022</v>
      </c>
      <c r="I1581" s="2">
        <f>sa_retail_sales[[#This Row],[Profit]] / sa_retail_sales[[#This Row],[Revenue]]</f>
        <v>-1.482998944033791</v>
      </c>
      <c r="J1581">
        <f xml:space="preserve"> YEAR(sa_retail_sales[[#This Row],[Order Date]])</f>
        <v>2024</v>
      </c>
    </row>
    <row r="1582" spans="1:10" x14ac:dyDescent="0.3">
      <c r="A1582" s="1">
        <v>45523</v>
      </c>
      <c r="B1582" t="s">
        <v>8</v>
      </c>
      <c r="C1582" t="s">
        <v>14</v>
      </c>
      <c r="D1582" t="s">
        <v>15</v>
      </c>
      <c r="E1582">
        <v>1040</v>
      </c>
      <c r="F1582">
        <v>1703</v>
      </c>
      <c r="G1582">
        <v>15</v>
      </c>
      <c r="H1582">
        <v>-663</v>
      </c>
      <c r="I1582" s="2">
        <f>sa_retail_sales[[#This Row],[Profit]] / sa_retail_sales[[#This Row],[Revenue]]</f>
        <v>-0.63749999999999996</v>
      </c>
      <c r="J1582">
        <f xml:space="preserve"> YEAR(sa_retail_sales[[#This Row],[Order Date]])</f>
        <v>2024</v>
      </c>
    </row>
    <row r="1583" spans="1:10" x14ac:dyDescent="0.3">
      <c r="A1583" s="1">
        <v>45503</v>
      </c>
      <c r="B1583" t="s">
        <v>17</v>
      </c>
      <c r="C1583" t="s">
        <v>9</v>
      </c>
      <c r="D1583" t="s">
        <v>15</v>
      </c>
      <c r="E1583">
        <v>6010</v>
      </c>
      <c r="F1583">
        <v>1726</v>
      </c>
      <c r="G1583">
        <v>5</v>
      </c>
      <c r="H1583">
        <v>4284</v>
      </c>
      <c r="I1583" s="2">
        <f>sa_retail_sales[[#This Row],[Profit]] / sa_retail_sales[[#This Row],[Revenue]]</f>
        <v>0.71281198003327784</v>
      </c>
      <c r="J1583">
        <f xml:space="preserve"> YEAR(sa_retail_sales[[#This Row],[Order Date]])</f>
        <v>2024</v>
      </c>
    </row>
    <row r="1584" spans="1:10" x14ac:dyDescent="0.3">
      <c r="A1584" s="1">
        <v>45588</v>
      </c>
      <c r="B1584" t="s">
        <v>8</v>
      </c>
      <c r="C1584" t="s">
        <v>16</v>
      </c>
      <c r="D1584" t="s">
        <v>19</v>
      </c>
      <c r="E1584">
        <v>8961</v>
      </c>
      <c r="F1584">
        <v>9155</v>
      </c>
      <c r="G1584">
        <v>20</v>
      </c>
      <c r="H1584">
        <v>-194</v>
      </c>
      <c r="I1584" s="2">
        <f>sa_retail_sales[[#This Row],[Profit]] / sa_retail_sales[[#This Row],[Revenue]]</f>
        <v>-2.1649369490012275E-2</v>
      </c>
      <c r="J1584">
        <f xml:space="preserve"> YEAR(sa_retail_sales[[#This Row],[Order Date]])</f>
        <v>2024</v>
      </c>
    </row>
    <row r="1585" spans="1:10" x14ac:dyDescent="0.3">
      <c r="A1585" s="1">
        <v>44646</v>
      </c>
      <c r="B1585" t="s">
        <v>18</v>
      </c>
      <c r="C1585" t="s">
        <v>9</v>
      </c>
      <c r="D1585" t="s">
        <v>15</v>
      </c>
      <c r="E1585">
        <v>8426</v>
      </c>
      <c r="F1585">
        <v>6168</v>
      </c>
      <c r="G1585">
        <v>0</v>
      </c>
      <c r="H1585">
        <v>2258</v>
      </c>
      <c r="I1585" s="2">
        <f>sa_retail_sales[[#This Row],[Profit]] / sa_retail_sales[[#This Row],[Revenue]]</f>
        <v>0.26798006171374317</v>
      </c>
      <c r="J1585">
        <f xml:space="preserve"> YEAR(sa_retail_sales[[#This Row],[Order Date]])</f>
        <v>2022</v>
      </c>
    </row>
    <row r="1586" spans="1:10" x14ac:dyDescent="0.3">
      <c r="A1586" s="1">
        <v>44889</v>
      </c>
      <c r="B1586" t="s">
        <v>17</v>
      </c>
      <c r="C1586" t="s">
        <v>14</v>
      </c>
      <c r="D1586" t="s">
        <v>12</v>
      </c>
      <c r="E1586">
        <v>5631</v>
      </c>
      <c r="F1586">
        <v>11139</v>
      </c>
      <c r="G1586">
        <v>15</v>
      </c>
      <c r="H1586">
        <v>-5508</v>
      </c>
      <c r="I1586" s="2">
        <f>sa_retail_sales[[#This Row],[Profit]] / sa_retail_sales[[#This Row],[Revenue]]</f>
        <v>-0.97815663292488009</v>
      </c>
      <c r="J1586">
        <f xml:space="preserve"> YEAR(sa_retail_sales[[#This Row],[Order Date]])</f>
        <v>2022</v>
      </c>
    </row>
    <row r="1587" spans="1:10" x14ac:dyDescent="0.3">
      <c r="A1587" s="1">
        <v>45377</v>
      </c>
      <c r="B1587" t="s">
        <v>18</v>
      </c>
      <c r="C1587" t="s">
        <v>14</v>
      </c>
      <c r="D1587" t="s">
        <v>19</v>
      </c>
      <c r="E1587">
        <v>14678</v>
      </c>
      <c r="F1587">
        <v>310</v>
      </c>
      <c r="G1587">
        <v>5</v>
      </c>
      <c r="H1587">
        <v>14368</v>
      </c>
      <c r="I1587" s="2">
        <f>sa_retail_sales[[#This Row],[Profit]] / sa_retail_sales[[#This Row],[Revenue]]</f>
        <v>0.97887995639732939</v>
      </c>
      <c r="J1587">
        <f xml:space="preserve"> YEAR(sa_retail_sales[[#This Row],[Order Date]])</f>
        <v>2024</v>
      </c>
    </row>
    <row r="1588" spans="1:10" x14ac:dyDescent="0.3">
      <c r="A1588" s="1">
        <v>45015</v>
      </c>
      <c r="B1588" t="s">
        <v>11</v>
      </c>
      <c r="C1588" t="s">
        <v>13</v>
      </c>
      <c r="D1588" t="s">
        <v>12</v>
      </c>
      <c r="E1588">
        <v>12152</v>
      </c>
      <c r="F1588">
        <v>6630</v>
      </c>
      <c r="G1588">
        <v>10</v>
      </c>
      <c r="H1588">
        <v>5522</v>
      </c>
      <c r="I1588" s="2">
        <f>sa_retail_sales[[#This Row],[Profit]] / sa_retail_sales[[#This Row],[Revenue]]</f>
        <v>0.4544107965766952</v>
      </c>
      <c r="J1588">
        <f xml:space="preserve"> YEAR(sa_retail_sales[[#This Row],[Order Date]])</f>
        <v>2023</v>
      </c>
    </row>
    <row r="1589" spans="1:10" x14ac:dyDescent="0.3">
      <c r="A1589" s="1">
        <v>45190</v>
      </c>
      <c r="B1589" t="s">
        <v>18</v>
      </c>
      <c r="C1589" t="s">
        <v>16</v>
      </c>
      <c r="D1589" t="s">
        <v>12</v>
      </c>
      <c r="E1589">
        <v>12100</v>
      </c>
      <c r="F1589">
        <v>9530</v>
      </c>
      <c r="G1589">
        <v>5</v>
      </c>
      <c r="H1589">
        <v>2570</v>
      </c>
      <c r="I1589" s="2">
        <f>sa_retail_sales[[#This Row],[Profit]] / sa_retail_sales[[#This Row],[Revenue]]</f>
        <v>0.21239669421487603</v>
      </c>
      <c r="J1589">
        <f xml:space="preserve"> YEAR(sa_retail_sales[[#This Row],[Order Date]])</f>
        <v>2023</v>
      </c>
    </row>
    <row r="1590" spans="1:10" x14ac:dyDescent="0.3">
      <c r="A1590" s="1">
        <v>45226</v>
      </c>
      <c r="B1590" t="s">
        <v>18</v>
      </c>
      <c r="C1590" t="s">
        <v>16</v>
      </c>
      <c r="D1590" t="s">
        <v>15</v>
      </c>
      <c r="E1590">
        <v>9197</v>
      </c>
      <c r="F1590">
        <v>3125</v>
      </c>
      <c r="G1590">
        <v>20</v>
      </c>
      <c r="H1590">
        <v>6072</v>
      </c>
      <c r="I1590" s="2">
        <f>sa_retail_sales[[#This Row],[Profit]] / sa_retail_sales[[#This Row],[Revenue]]</f>
        <v>0.66021528759378056</v>
      </c>
      <c r="J1590">
        <f xml:space="preserve"> YEAR(sa_retail_sales[[#This Row],[Order Date]])</f>
        <v>2023</v>
      </c>
    </row>
    <row r="1591" spans="1:10" x14ac:dyDescent="0.3">
      <c r="A1591" s="1">
        <v>44573</v>
      </c>
      <c r="B1591" t="s">
        <v>8</v>
      </c>
      <c r="C1591" t="s">
        <v>14</v>
      </c>
      <c r="D1591" t="s">
        <v>12</v>
      </c>
      <c r="E1591">
        <v>1629</v>
      </c>
      <c r="F1591">
        <v>7764</v>
      </c>
      <c r="G1591">
        <v>0</v>
      </c>
      <c r="H1591">
        <v>-6135</v>
      </c>
      <c r="I1591" s="2">
        <f>sa_retail_sales[[#This Row],[Profit]] / sa_retail_sales[[#This Row],[Revenue]]</f>
        <v>-3.7661141804788212</v>
      </c>
      <c r="J1591">
        <f xml:space="preserve"> YEAR(sa_retail_sales[[#This Row],[Order Date]])</f>
        <v>2022</v>
      </c>
    </row>
    <row r="1592" spans="1:10" x14ac:dyDescent="0.3">
      <c r="A1592" s="1">
        <v>44865</v>
      </c>
      <c r="B1592" t="s">
        <v>18</v>
      </c>
      <c r="C1592" t="s">
        <v>16</v>
      </c>
      <c r="D1592" t="s">
        <v>15</v>
      </c>
      <c r="E1592">
        <v>10771</v>
      </c>
      <c r="F1592">
        <v>3303</v>
      </c>
      <c r="G1592">
        <v>20</v>
      </c>
      <c r="H1592">
        <v>7468</v>
      </c>
      <c r="I1592" s="2">
        <f>sa_retail_sales[[#This Row],[Profit]] / sa_retail_sales[[#This Row],[Revenue]]</f>
        <v>0.69334323646829454</v>
      </c>
      <c r="J1592">
        <f xml:space="preserve"> YEAR(sa_retail_sales[[#This Row],[Order Date]])</f>
        <v>2022</v>
      </c>
    </row>
    <row r="1593" spans="1:10" x14ac:dyDescent="0.3">
      <c r="A1593" s="1">
        <v>45536</v>
      </c>
      <c r="B1593" t="s">
        <v>17</v>
      </c>
      <c r="C1593" t="s">
        <v>13</v>
      </c>
      <c r="D1593" t="s">
        <v>10</v>
      </c>
      <c r="E1593">
        <v>3645</v>
      </c>
      <c r="F1593">
        <v>9567</v>
      </c>
      <c r="G1593">
        <v>10</v>
      </c>
      <c r="H1593">
        <v>-5922</v>
      </c>
      <c r="I1593" s="2">
        <f>sa_retail_sales[[#This Row],[Profit]] / sa_retail_sales[[#This Row],[Revenue]]</f>
        <v>-1.6246913580246913</v>
      </c>
      <c r="J1593">
        <f xml:space="preserve"> YEAR(sa_retail_sales[[#This Row],[Order Date]])</f>
        <v>2024</v>
      </c>
    </row>
    <row r="1594" spans="1:10" x14ac:dyDescent="0.3">
      <c r="A1594" s="1">
        <v>45344</v>
      </c>
      <c r="B1594" t="s">
        <v>17</v>
      </c>
      <c r="C1594" t="s">
        <v>9</v>
      </c>
      <c r="D1594" t="s">
        <v>15</v>
      </c>
      <c r="E1594">
        <v>11934</v>
      </c>
      <c r="F1594">
        <v>7495</v>
      </c>
      <c r="G1594">
        <v>10</v>
      </c>
      <c r="H1594">
        <v>4439</v>
      </c>
      <c r="I1594" s="2">
        <f>sa_retail_sales[[#This Row],[Profit]] / sa_retail_sales[[#This Row],[Revenue]]</f>
        <v>0.37196246019775431</v>
      </c>
      <c r="J1594">
        <f xml:space="preserve"> YEAR(sa_retail_sales[[#This Row],[Order Date]])</f>
        <v>2024</v>
      </c>
    </row>
    <row r="1595" spans="1:10" x14ac:dyDescent="0.3">
      <c r="A1595" s="1">
        <v>44604</v>
      </c>
      <c r="B1595" t="s">
        <v>11</v>
      </c>
      <c r="C1595" t="s">
        <v>16</v>
      </c>
      <c r="D1595" t="s">
        <v>12</v>
      </c>
      <c r="E1595">
        <v>14660</v>
      </c>
      <c r="F1595">
        <v>7020</v>
      </c>
      <c r="G1595">
        <v>10</v>
      </c>
      <c r="H1595">
        <v>7640</v>
      </c>
      <c r="I1595" s="2">
        <f>sa_retail_sales[[#This Row],[Profit]] / sa_retail_sales[[#This Row],[Revenue]]</f>
        <v>0.52114597544338337</v>
      </c>
      <c r="J1595">
        <f xml:space="preserve"> YEAR(sa_retail_sales[[#This Row],[Order Date]])</f>
        <v>2022</v>
      </c>
    </row>
    <row r="1596" spans="1:10" x14ac:dyDescent="0.3">
      <c r="A1596" s="1">
        <v>45505</v>
      </c>
      <c r="B1596" t="s">
        <v>17</v>
      </c>
      <c r="C1596" t="s">
        <v>14</v>
      </c>
      <c r="D1596" t="s">
        <v>10</v>
      </c>
      <c r="E1596">
        <v>13880</v>
      </c>
      <c r="F1596">
        <v>3388</v>
      </c>
      <c r="G1596">
        <v>10</v>
      </c>
      <c r="H1596">
        <v>10492</v>
      </c>
      <c r="I1596" s="2">
        <f>sa_retail_sales[[#This Row],[Profit]] / sa_retail_sales[[#This Row],[Revenue]]</f>
        <v>0.75590778097982714</v>
      </c>
      <c r="J1596">
        <f xml:space="preserve"> YEAR(sa_retail_sales[[#This Row],[Order Date]])</f>
        <v>2024</v>
      </c>
    </row>
    <row r="1597" spans="1:10" x14ac:dyDescent="0.3">
      <c r="A1597" s="1">
        <v>44904</v>
      </c>
      <c r="B1597" t="s">
        <v>8</v>
      </c>
      <c r="C1597" t="s">
        <v>9</v>
      </c>
      <c r="D1597" t="s">
        <v>15</v>
      </c>
      <c r="E1597">
        <v>13600</v>
      </c>
      <c r="F1597">
        <v>2089</v>
      </c>
      <c r="G1597">
        <v>5</v>
      </c>
      <c r="H1597">
        <v>11511</v>
      </c>
      <c r="I1597" s="2">
        <f>sa_retail_sales[[#This Row],[Profit]] / sa_retail_sales[[#This Row],[Revenue]]</f>
        <v>0.84639705882352945</v>
      </c>
      <c r="J1597">
        <f xml:space="preserve"> YEAR(sa_retail_sales[[#This Row],[Order Date]])</f>
        <v>2022</v>
      </c>
    </row>
    <row r="1598" spans="1:10" x14ac:dyDescent="0.3">
      <c r="A1598" s="1">
        <v>45059</v>
      </c>
      <c r="B1598" t="s">
        <v>11</v>
      </c>
      <c r="C1598" t="s">
        <v>9</v>
      </c>
      <c r="D1598" t="s">
        <v>12</v>
      </c>
      <c r="E1598">
        <v>9053</v>
      </c>
      <c r="F1598">
        <v>3336</v>
      </c>
      <c r="G1598">
        <v>10</v>
      </c>
      <c r="H1598">
        <v>5717</v>
      </c>
      <c r="I1598" s="2">
        <f>sa_retail_sales[[#This Row],[Profit]] / sa_retail_sales[[#This Row],[Revenue]]</f>
        <v>0.631503369048934</v>
      </c>
      <c r="J1598">
        <f xml:space="preserve"> YEAR(sa_retail_sales[[#This Row],[Order Date]])</f>
        <v>2023</v>
      </c>
    </row>
    <row r="1599" spans="1:10" x14ac:dyDescent="0.3">
      <c r="A1599" s="1">
        <v>44925</v>
      </c>
      <c r="B1599" t="s">
        <v>17</v>
      </c>
      <c r="C1599" t="s">
        <v>13</v>
      </c>
      <c r="D1599" t="s">
        <v>19</v>
      </c>
      <c r="E1599">
        <v>4220</v>
      </c>
      <c r="F1599">
        <v>7677</v>
      </c>
      <c r="G1599">
        <v>10</v>
      </c>
      <c r="H1599">
        <v>-3457</v>
      </c>
      <c r="I1599" s="2">
        <f>sa_retail_sales[[#This Row],[Profit]] / sa_retail_sales[[#This Row],[Revenue]]</f>
        <v>-0.81919431279620858</v>
      </c>
      <c r="J1599">
        <f xml:space="preserve"> YEAR(sa_retail_sales[[#This Row],[Order Date]])</f>
        <v>2022</v>
      </c>
    </row>
    <row r="1600" spans="1:10" x14ac:dyDescent="0.3">
      <c r="A1600" s="1">
        <v>45452</v>
      </c>
      <c r="B1600" t="s">
        <v>8</v>
      </c>
      <c r="C1600" t="s">
        <v>14</v>
      </c>
      <c r="D1600" t="s">
        <v>19</v>
      </c>
      <c r="E1600">
        <v>10148</v>
      </c>
      <c r="F1600">
        <v>7898</v>
      </c>
      <c r="G1600">
        <v>5</v>
      </c>
      <c r="H1600">
        <v>2250</v>
      </c>
      <c r="I1600" s="2">
        <f>sa_retail_sales[[#This Row],[Profit]] / sa_retail_sales[[#This Row],[Revenue]]</f>
        <v>0.22171856523452896</v>
      </c>
      <c r="J1600">
        <f xml:space="preserve"> YEAR(sa_retail_sales[[#This Row],[Order Date]])</f>
        <v>2024</v>
      </c>
    </row>
    <row r="1601" spans="1:10" x14ac:dyDescent="0.3">
      <c r="A1601" s="1">
        <v>44988</v>
      </c>
      <c r="B1601" t="s">
        <v>17</v>
      </c>
      <c r="C1601" t="s">
        <v>16</v>
      </c>
      <c r="D1601" t="s">
        <v>15</v>
      </c>
      <c r="E1601">
        <v>13716</v>
      </c>
      <c r="F1601">
        <v>5138</v>
      </c>
      <c r="G1601">
        <v>10</v>
      </c>
      <c r="H1601">
        <v>8578</v>
      </c>
      <c r="I1601" s="2">
        <f>sa_retail_sales[[#This Row],[Profit]] / sa_retail_sales[[#This Row],[Revenue]]</f>
        <v>0.62540099154272377</v>
      </c>
      <c r="J1601">
        <f xml:space="preserve"> YEAR(sa_retail_sales[[#This Row],[Order Date]])</f>
        <v>2023</v>
      </c>
    </row>
    <row r="1602" spans="1:10" x14ac:dyDescent="0.3">
      <c r="A1602" s="1">
        <v>45566</v>
      </c>
      <c r="B1602" t="s">
        <v>17</v>
      </c>
      <c r="C1602" t="s">
        <v>14</v>
      </c>
      <c r="D1602" t="s">
        <v>15</v>
      </c>
      <c r="E1602">
        <v>4567</v>
      </c>
      <c r="F1602">
        <v>6172</v>
      </c>
      <c r="G1602">
        <v>20</v>
      </c>
      <c r="H1602">
        <v>-1605</v>
      </c>
      <c r="I1602" s="2">
        <f>sa_retail_sales[[#This Row],[Profit]] / sa_retail_sales[[#This Row],[Revenue]]</f>
        <v>-0.35143420188307423</v>
      </c>
      <c r="J1602">
        <f xml:space="preserve"> YEAR(sa_retail_sales[[#This Row],[Order Date]])</f>
        <v>2024</v>
      </c>
    </row>
    <row r="1603" spans="1:10" x14ac:dyDescent="0.3">
      <c r="A1603" s="1">
        <v>44582</v>
      </c>
      <c r="B1603" t="s">
        <v>18</v>
      </c>
      <c r="C1603" t="s">
        <v>9</v>
      </c>
      <c r="D1603" t="s">
        <v>19</v>
      </c>
      <c r="E1603">
        <v>4695</v>
      </c>
      <c r="F1603">
        <v>3953</v>
      </c>
      <c r="G1603">
        <v>20</v>
      </c>
      <c r="H1603">
        <v>742</v>
      </c>
      <c r="I1603" s="2">
        <f>sa_retail_sales[[#This Row],[Profit]] / sa_retail_sales[[#This Row],[Revenue]]</f>
        <v>0.15804046858359957</v>
      </c>
      <c r="J1603">
        <f xml:space="preserve"> YEAR(sa_retail_sales[[#This Row],[Order Date]])</f>
        <v>2022</v>
      </c>
    </row>
    <row r="1604" spans="1:10" x14ac:dyDescent="0.3">
      <c r="A1604" s="1">
        <v>44968</v>
      </c>
      <c r="B1604" t="s">
        <v>17</v>
      </c>
      <c r="C1604" t="s">
        <v>14</v>
      </c>
      <c r="D1604" t="s">
        <v>12</v>
      </c>
      <c r="E1604">
        <v>10373</v>
      </c>
      <c r="F1604">
        <v>11667</v>
      </c>
      <c r="G1604">
        <v>15</v>
      </c>
      <c r="H1604">
        <v>-1294</v>
      </c>
      <c r="I1604" s="2">
        <f>sa_retail_sales[[#This Row],[Profit]] / sa_retail_sales[[#This Row],[Revenue]]</f>
        <v>-0.12474693916899643</v>
      </c>
      <c r="J1604">
        <f xml:space="preserve"> YEAR(sa_retail_sales[[#This Row],[Order Date]])</f>
        <v>2023</v>
      </c>
    </row>
    <row r="1605" spans="1:10" x14ac:dyDescent="0.3">
      <c r="A1605" s="1">
        <v>45180</v>
      </c>
      <c r="B1605" t="s">
        <v>17</v>
      </c>
      <c r="C1605" t="s">
        <v>16</v>
      </c>
      <c r="D1605" t="s">
        <v>12</v>
      </c>
      <c r="E1605">
        <v>14844</v>
      </c>
      <c r="F1605">
        <v>4599</v>
      </c>
      <c r="G1605">
        <v>20</v>
      </c>
      <c r="H1605">
        <v>10245</v>
      </c>
      <c r="I1605" s="2">
        <f>sa_retail_sales[[#This Row],[Profit]] / sa_retail_sales[[#This Row],[Revenue]]</f>
        <v>0.69017784963621664</v>
      </c>
      <c r="J1605">
        <f xml:space="preserve"> YEAR(sa_retail_sales[[#This Row],[Order Date]])</f>
        <v>2023</v>
      </c>
    </row>
    <row r="1606" spans="1:10" x14ac:dyDescent="0.3">
      <c r="A1606" s="1">
        <v>45576</v>
      </c>
      <c r="B1606" t="s">
        <v>8</v>
      </c>
      <c r="C1606" t="s">
        <v>16</v>
      </c>
      <c r="D1606" t="s">
        <v>12</v>
      </c>
      <c r="E1606">
        <v>9744</v>
      </c>
      <c r="F1606">
        <v>9568</v>
      </c>
      <c r="G1606">
        <v>0</v>
      </c>
      <c r="H1606">
        <v>176</v>
      </c>
      <c r="I1606" s="2">
        <f>sa_retail_sales[[#This Row],[Profit]] / sa_retail_sales[[#This Row],[Revenue]]</f>
        <v>1.8062397372742199E-2</v>
      </c>
      <c r="J1606">
        <f xml:space="preserve"> YEAR(sa_retail_sales[[#This Row],[Order Date]])</f>
        <v>2024</v>
      </c>
    </row>
    <row r="1607" spans="1:10" x14ac:dyDescent="0.3">
      <c r="A1607" s="1">
        <v>44897</v>
      </c>
      <c r="B1607" t="s">
        <v>8</v>
      </c>
      <c r="C1607" t="s">
        <v>13</v>
      </c>
      <c r="D1607" t="s">
        <v>15</v>
      </c>
      <c r="E1607">
        <v>7781</v>
      </c>
      <c r="F1607">
        <v>1273</v>
      </c>
      <c r="G1607">
        <v>0</v>
      </c>
      <c r="H1607">
        <v>6508</v>
      </c>
      <c r="I1607" s="2">
        <f>sa_retail_sales[[#This Row],[Profit]] / sa_retail_sales[[#This Row],[Revenue]]</f>
        <v>0.83639635008353685</v>
      </c>
      <c r="J1607">
        <f xml:space="preserve"> YEAR(sa_retail_sales[[#This Row],[Order Date]])</f>
        <v>2022</v>
      </c>
    </row>
    <row r="1608" spans="1:10" x14ac:dyDescent="0.3">
      <c r="A1608" s="1">
        <v>44960</v>
      </c>
      <c r="B1608" t="s">
        <v>18</v>
      </c>
      <c r="C1608" t="s">
        <v>16</v>
      </c>
      <c r="D1608" t="s">
        <v>10</v>
      </c>
      <c r="E1608">
        <v>3009</v>
      </c>
      <c r="F1608">
        <v>7383</v>
      </c>
      <c r="G1608">
        <v>0</v>
      </c>
      <c r="H1608">
        <v>-4374</v>
      </c>
      <c r="I1608" s="2">
        <f>sa_retail_sales[[#This Row],[Profit]] / sa_retail_sales[[#This Row],[Revenue]]</f>
        <v>-1.4536390827517447</v>
      </c>
      <c r="J1608">
        <f xml:space="preserve"> YEAR(sa_retail_sales[[#This Row],[Order Date]])</f>
        <v>2023</v>
      </c>
    </row>
    <row r="1609" spans="1:10" x14ac:dyDescent="0.3">
      <c r="A1609" s="1">
        <v>45354</v>
      </c>
      <c r="B1609" t="s">
        <v>17</v>
      </c>
      <c r="C1609" t="s">
        <v>16</v>
      </c>
      <c r="D1609" t="s">
        <v>10</v>
      </c>
      <c r="E1609">
        <v>5516</v>
      </c>
      <c r="F1609">
        <v>5794</v>
      </c>
      <c r="G1609">
        <v>5</v>
      </c>
      <c r="H1609">
        <v>-278</v>
      </c>
      <c r="I1609" s="2">
        <f>sa_retail_sales[[#This Row],[Profit]] / sa_retail_sales[[#This Row],[Revenue]]</f>
        <v>-5.0398839738941263E-2</v>
      </c>
      <c r="J1609">
        <f xml:space="preserve"> YEAR(sa_retail_sales[[#This Row],[Order Date]])</f>
        <v>2024</v>
      </c>
    </row>
    <row r="1610" spans="1:10" x14ac:dyDescent="0.3">
      <c r="A1610" s="1">
        <v>45276</v>
      </c>
      <c r="B1610" t="s">
        <v>18</v>
      </c>
      <c r="C1610" t="s">
        <v>14</v>
      </c>
      <c r="D1610" t="s">
        <v>10</v>
      </c>
      <c r="E1610">
        <v>7033</v>
      </c>
      <c r="F1610">
        <v>10357</v>
      </c>
      <c r="G1610">
        <v>20</v>
      </c>
      <c r="H1610">
        <v>-3324</v>
      </c>
      <c r="I1610" s="2">
        <f>sa_retail_sales[[#This Row],[Profit]] / sa_retail_sales[[#This Row],[Revenue]]</f>
        <v>-0.47262903455140054</v>
      </c>
      <c r="J1610">
        <f xml:space="preserve"> YEAR(sa_retail_sales[[#This Row],[Order Date]])</f>
        <v>2023</v>
      </c>
    </row>
    <row r="1611" spans="1:10" x14ac:dyDescent="0.3">
      <c r="A1611" s="1">
        <v>44612</v>
      </c>
      <c r="B1611" t="s">
        <v>17</v>
      </c>
      <c r="C1611" t="s">
        <v>14</v>
      </c>
      <c r="D1611" t="s">
        <v>10</v>
      </c>
      <c r="E1611">
        <v>5227</v>
      </c>
      <c r="F1611">
        <v>11617</v>
      </c>
      <c r="G1611">
        <v>0</v>
      </c>
      <c r="H1611">
        <v>-6390</v>
      </c>
      <c r="I1611" s="2">
        <f>sa_retail_sales[[#This Row],[Profit]] / sa_retail_sales[[#This Row],[Revenue]]</f>
        <v>-1.2224985651425291</v>
      </c>
      <c r="J1611">
        <f xml:space="preserve"> YEAR(sa_retail_sales[[#This Row],[Order Date]])</f>
        <v>2022</v>
      </c>
    </row>
    <row r="1612" spans="1:10" x14ac:dyDescent="0.3">
      <c r="A1612" s="1">
        <v>44885</v>
      </c>
      <c r="B1612" t="s">
        <v>11</v>
      </c>
      <c r="C1612" t="s">
        <v>9</v>
      </c>
      <c r="D1612" t="s">
        <v>10</v>
      </c>
      <c r="E1612">
        <v>1181</v>
      </c>
      <c r="F1612">
        <v>9791</v>
      </c>
      <c r="G1612">
        <v>15</v>
      </c>
      <c r="H1612">
        <v>-8610</v>
      </c>
      <c r="I1612" s="2">
        <f>sa_retail_sales[[#This Row],[Profit]] / sa_retail_sales[[#This Row],[Revenue]]</f>
        <v>-7.2904318374259098</v>
      </c>
      <c r="J1612">
        <f xml:space="preserve"> YEAR(sa_retail_sales[[#This Row],[Order Date]])</f>
        <v>2022</v>
      </c>
    </row>
    <row r="1613" spans="1:10" x14ac:dyDescent="0.3">
      <c r="A1613" s="1">
        <v>45350</v>
      </c>
      <c r="B1613" t="s">
        <v>11</v>
      </c>
      <c r="C1613" t="s">
        <v>13</v>
      </c>
      <c r="D1613" t="s">
        <v>15</v>
      </c>
      <c r="E1613">
        <v>14992</v>
      </c>
      <c r="F1613">
        <v>3706</v>
      </c>
      <c r="G1613">
        <v>5</v>
      </c>
      <c r="H1613">
        <v>11286</v>
      </c>
      <c r="I1613" s="2">
        <f>sa_retail_sales[[#This Row],[Profit]] / sa_retail_sales[[#This Row],[Revenue]]</f>
        <v>0.75280149413020281</v>
      </c>
      <c r="J1613">
        <f xml:space="preserve"> YEAR(sa_retail_sales[[#This Row],[Order Date]])</f>
        <v>2024</v>
      </c>
    </row>
    <row r="1614" spans="1:10" x14ac:dyDescent="0.3">
      <c r="A1614" s="1">
        <v>44702</v>
      </c>
      <c r="B1614" t="s">
        <v>18</v>
      </c>
      <c r="C1614" t="s">
        <v>14</v>
      </c>
      <c r="D1614" t="s">
        <v>15</v>
      </c>
      <c r="E1614">
        <v>4432</v>
      </c>
      <c r="F1614">
        <v>5450</v>
      </c>
      <c r="G1614">
        <v>15</v>
      </c>
      <c r="H1614">
        <v>-1018</v>
      </c>
      <c r="I1614" s="2">
        <f>sa_retail_sales[[#This Row],[Profit]] / sa_retail_sales[[#This Row],[Revenue]]</f>
        <v>-0.22969314079422382</v>
      </c>
      <c r="J1614">
        <f xml:space="preserve"> YEAR(sa_retail_sales[[#This Row],[Order Date]])</f>
        <v>2022</v>
      </c>
    </row>
    <row r="1615" spans="1:10" x14ac:dyDescent="0.3">
      <c r="A1615" s="1">
        <v>45031</v>
      </c>
      <c r="B1615" t="s">
        <v>18</v>
      </c>
      <c r="C1615" t="s">
        <v>16</v>
      </c>
      <c r="D1615" t="s">
        <v>10</v>
      </c>
      <c r="E1615">
        <v>10821</v>
      </c>
      <c r="F1615">
        <v>9650</v>
      </c>
      <c r="G1615">
        <v>20</v>
      </c>
      <c r="H1615">
        <v>1171</v>
      </c>
      <c r="I1615" s="2">
        <f>sa_retail_sales[[#This Row],[Profit]] / sa_retail_sales[[#This Row],[Revenue]]</f>
        <v>0.10821550688476111</v>
      </c>
      <c r="J1615">
        <f xml:space="preserve"> YEAR(sa_retail_sales[[#This Row],[Order Date]])</f>
        <v>2023</v>
      </c>
    </row>
    <row r="1616" spans="1:10" x14ac:dyDescent="0.3">
      <c r="A1616" s="1">
        <v>45348</v>
      </c>
      <c r="B1616" t="s">
        <v>18</v>
      </c>
      <c r="C1616" t="s">
        <v>9</v>
      </c>
      <c r="D1616" t="s">
        <v>15</v>
      </c>
      <c r="E1616">
        <v>13541</v>
      </c>
      <c r="F1616">
        <v>3429</v>
      </c>
      <c r="G1616">
        <v>10</v>
      </c>
      <c r="H1616">
        <v>10112</v>
      </c>
      <c r="I1616" s="2">
        <f>sa_retail_sales[[#This Row],[Profit]] / sa_retail_sales[[#This Row],[Revenue]]</f>
        <v>0.74676907170814566</v>
      </c>
      <c r="J1616">
        <f xml:space="preserve"> YEAR(sa_retail_sales[[#This Row],[Order Date]])</f>
        <v>2024</v>
      </c>
    </row>
    <row r="1617" spans="1:10" x14ac:dyDescent="0.3">
      <c r="A1617" s="1">
        <v>45525</v>
      </c>
      <c r="B1617" t="s">
        <v>8</v>
      </c>
      <c r="C1617" t="s">
        <v>14</v>
      </c>
      <c r="D1617" t="s">
        <v>15</v>
      </c>
      <c r="E1617">
        <v>6060</v>
      </c>
      <c r="F1617">
        <v>404</v>
      </c>
      <c r="G1617">
        <v>15</v>
      </c>
      <c r="H1617">
        <v>5656</v>
      </c>
      <c r="I1617" s="2">
        <f>sa_retail_sales[[#This Row],[Profit]] / sa_retail_sales[[#This Row],[Revenue]]</f>
        <v>0.93333333333333335</v>
      </c>
      <c r="J1617">
        <f xml:space="preserve"> YEAR(sa_retail_sales[[#This Row],[Order Date]])</f>
        <v>2024</v>
      </c>
    </row>
    <row r="1618" spans="1:10" x14ac:dyDescent="0.3">
      <c r="A1618" s="1">
        <v>45569</v>
      </c>
      <c r="B1618" t="s">
        <v>8</v>
      </c>
      <c r="C1618" t="s">
        <v>13</v>
      </c>
      <c r="D1618" t="s">
        <v>10</v>
      </c>
      <c r="E1618">
        <v>4516</v>
      </c>
      <c r="F1618">
        <v>7733</v>
      </c>
      <c r="G1618">
        <v>10</v>
      </c>
      <c r="H1618">
        <v>-3217</v>
      </c>
      <c r="I1618" s="2">
        <f>sa_retail_sales[[#This Row],[Profit]] / sa_retail_sales[[#This Row],[Revenue]]</f>
        <v>-0.71235606731620904</v>
      </c>
      <c r="J1618">
        <f xml:space="preserve"> YEAR(sa_retail_sales[[#This Row],[Order Date]])</f>
        <v>2024</v>
      </c>
    </row>
    <row r="1619" spans="1:10" x14ac:dyDescent="0.3">
      <c r="A1619" s="1">
        <v>44934</v>
      </c>
      <c r="B1619" t="s">
        <v>8</v>
      </c>
      <c r="C1619" t="s">
        <v>13</v>
      </c>
      <c r="D1619" t="s">
        <v>12</v>
      </c>
      <c r="E1619">
        <v>7839</v>
      </c>
      <c r="F1619">
        <v>7989</v>
      </c>
      <c r="G1619">
        <v>5</v>
      </c>
      <c r="H1619">
        <v>-150</v>
      </c>
      <c r="I1619" s="2">
        <f>sa_retail_sales[[#This Row],[Profit]] / sa_retail_sales[[#This Row],[Revenue]]</f>
        <v>-1.9135093761959432E-2</v>
      </c>
      <c r="J1619">
        <f xml:space="preserve"> YEAR(sa_retail_sales[[#This Row],[Order Date]])</f>
        <v>2023</v>
      </c>
    </row>
    <row r="1620" spans="1:10" x14ac:dyDescent="0.3">
      <c r="A1620" s="1">
        <v>45055</v>
      </c>
      <c r="B1620" t="s">
        <v>18</v>
      </c>
      <c r="C1620" t="s">
        <v>9</v>
      </c>
      <c r="D1620" t="s">
        <v>15</v>
      </c>
      <c r="E1620">
        <v>11994</v>
      </c>
      <c r="F1620">
        <v>3867</v>
      </c>
      <c r="G1620">
        <v>15</v>
      </c>
      <c r="H1620">
        <v>8127</v>
      </c>
      <c r="I1620" s="2">
        <f>sa_retail_sales[[#This Row],[Profit]] / sa_retail_sales[[#This Row],[Revenue]]</f>
        <v>0.67758879439719855</v>
      </c>
      <c r="J1620">
        <f xml:space="preserve"> YEAR(sa_retail_sales[[#This Row],[Order Date]])</f>
        <v>2023</v>
      </c>
    </row>
    <row r="1621" spans="1:10" x14ac:dyDescent="0.3">
      <c r="A1621" s="1">
        <v>45312</v>
      </c>
      <c r="B1621" t="s">
        <v>17</v>
      </c>
      <c r="C1621" t="s">
        <v>9</v>
      </c>
      <c r="D1621" t="s">
        <v>12</v>
      </c>
      <c r="E1621">
        <v>1219</v>
      </c>
      <c r="F1621">
        <v>4648</v>
      </c>
      <c r="G1621">
        <v>15</v>
      </c>
      <c r="H1621">
        <v>-3429</v>
      </c>
      <c r="I1621" s="2">
        <f>sa_retail_sales[[#This Row],[Profit]] / sa_retail_sales[[#This Row],[Revenue]]</f>
        <v>-2.8129614438063988</v>
      </c>
      <c r="J1621">
        <f xml:space="preserve"> YEAR(sa_retail_sales[[#This Row],[Order Date]])</f>
        <v>2024</v>
      </c>
    </row>
    <row r="1622" spans="1:10" x14ac:dyDescent="0.3">
      <c r="A1622" s="1">
        <v>44852</v>
      </c>
      <c r="B1622" t="s">
        <v>11</v>
      </c>
      <c r="C1622" t="s">
        <v>9</v>
      </c>
      <c r="D1622" t="s">
        <v>15</v>
      </c>
      <c r="E1622">
        <v>574</v>
      </c>
      <c r="F1622">
        <v>4690</v>
      </c>
      <c r="G1622">
        <v>5</v>
      </c>
      <c r="H1622">
        <v>-4116</v>
      </c>
      <c r="I1622" s="2">
        <f>sa_retail_sales[[#This Row],[Profit]] / sa_retail_sales[[#This Row],[Revenue]]</f>
        <v>-7.1707317073170733</v>
      </c>
      <c r="J1622">
        <f xml:space="preserve"> YEAR(sa_retail_sales[[#This Row],[Order Date]])</f>
        <v>2022</v>
      </c>
    </row>
    <row r="1623" spans="1:10" x14ac:dyDescent="0.3">
      <c r="A1623" s="1">
        <v>44667</v>
      </c>
      <c r="B1623" t="s">
        <v>18</v>
      </c>
      <c r="C1623" t="s">
        <v>9</v>
      </c>
      <c r="D1623" t="s">
        <v>15</v>
      </c>
      <c r="E1623">
        <v>9985</v>
      </c>
      <c r="F1623">
        <v>7111</v>
      </c>
      <c r="G1623">
        <v>5</v>
      </c>
      <c r="H1623">
        <v>2874</v>
      </c>
      <c r="I1623" s="2">
        <f>sa_retail_sales[[#This Row],[Profit]] / sa_retail_sales[[#This Row],[Revenue]]</f>
        <v>0.28783174762143215</v>
      </c>
      <c r="J1623">
        <f xml:space="preserve"> YEAR(sa_retail_sales[[#This Row],[Order Date]])</f>
        <v>2022</v>
      </c>
    </row>
    <row r="1624" spans="1:10" x14ac:dyDescent="0.3">
      <c r="A1624" s="1">
        <v>45231</v>
      </c>
      <c r="B1624" t="s">
        <v>8</v>
      </c>
      <c r="C1624" t="s">
        <v>9</v>
      </c>
      <c r="D1624" t="s">
        <v>10</v>
      </c>
      <c r="E1624">
        <v>10614</v>
      </c>
      <c r="F1624">
        <v>1481</v>
      </c>
      <c r="G1624">
        <v>0</v>
      </c>
      <c r="H1624">
        <v>9133</v>
      </c>
      <c r="I1624" s="2">
        <f>sa_retail_sales[[#This Row],[Profit]] / sa_retail_sales[[#This Row],[Revenue]]</f>
        <v>0.86046730732994159</v>
      </c>
      <c r="J1624">
        <f xml:space="preserve"> YEAR(sa_retail_sales[[#This Row],[Order Date]])</f>
        <v>2023</v>
      </c>
    </row>
    <row r="1625" spans="1:10" x14ac:dyDescent="0.3">
      <c r="A1625" s="1">
        <v>44563</v>
      </c>
      <c r="B1625" t="s">
        <v>8</v>
      </c>
      <c r="C1625" t="s">
        <v>16</v>
      </c>
      <c r="D1625" t="s">
        <v>15</v>
      </c>
      <c r="E1625">
        <v>4657</v>
      </c>
      <c r="F1625">
        <v>4944</v>
      </c>
      <c r="G1625">
        <v>20</v>
      </c>
      <c r="H1625">
        <v>-287</v>
      </c>
      <c r="I1625" s="2">
        <f>sa_retail_sales[[#This Row],[Profit]] / sa_retail_sales[[#This Row],[Revenue]]</f>
        <v>-6.1627657290100925E-2</v>
      </c>
      <c r="J1625">
        <f xml:space="preserve"> YEAR(sa_retail_sales[[#This Row],[Order Date]])</f>
        <v>2022</v>
      </c>
    </row>
    <row r="1626" spans="1:10" x14ac:dyDescent="0.3">
      <c r="A1626" s="1">
        <v>45150</v>
      </c>
      <c r="B1626" t="s">
        <v>18</v>
      </c>
      <c r="C1626" t="s">
        <v>16</v>
      </c>
      <c r="D1626" t="s">
        <v>19</v>
      </c>
      <c r="E1626">
        <v>13661</v>
      </c>
      <c r="F1626">
        <v>11630</v>
      </c>
      <c r="G1626">
        <v>15</v>
      </c>
      <c r="H1626">
        <v>2031</v>
      </c>
      <c r="I1626" s="2">
        <f>sa_retail_sales[[#This Row],[Profit]] / sa_retail_sales[[#This Row],[Revenue]]</f>
        <v>0.14867140033672499</v>
      </c>
      <c r="J1626">
        <f xml:space="preserve"> YEAR(sa_retail_sales[[#This Row],[Order Date]])</f>
        <v>2023</v>
      </c>
    </row>
    <row r="1627" spans="1:10" x14ac:dyDescent="0.3">
      <c r="A1627" s="1">
        <v>45205</v>
      </c>
      <c r="B1627" t="s">
        <v>18</v>
      </c>
      <c r="C1627" t="s">
        <v>14</v>
      </c>
      <c r="D1627" t="s">
        <v>19</v>
      </c>
      <c r="E1627">
        <v>9011</v>
      </c>
      <c r="F1627">
        <v>6173</v>
      </c>
      <c r="G1627">
        <v>15</v>
      </c>
      <c r="H1627">
        <v>2838</v>
      </c>
      <c r="I1627" s="2">
        <f>sa_retail_sales[[#This Row],[Profit]] / sa_retail_sales[[#This Row],[Revenue]]</f>
        <v>0.31494839640439465</v>
      </c>
      <c r="J1627">
        <f xml:space="preserve"> YEAR(sa_retail_sales[[#This Row],[Order Date]])</f>
        <v>2023</v>
      </c>
    </row>
    <row r="1628" spans="1:10" x14ac:dyDescent="0.3">
      <c r="A1628" s="1">
        <v>44651</v>
      </c>
      <c r="B1628" t="s">
        <v>8</v>
      </c>
      <c r="C1628" t="s">
        <v>13</v>
      </c>
      <c r="D1628" t="s">
        <v>10</v>
      </c>
      <c r="E1628">
        <v>2649</v>
      </c>
      <c r="F1628">
        <v>4694</v>
      </c>
      <c r="G1628">
        <v>5</v>
      </c>
      <c r="H1628">
        <v>-2045</v>
      </c>
      <c r="I1628" s="2">
        <f>sa_retail_sales[[#This Row],[Profit]] / sa_retail_sales[[#This Row],[Revenue]]</f>
        <v>-0.77198942997357489</v>
      </c>
      <c r="J1628">
        <f xml:space="preserve"> YEAR(sa_retail_sales[[#This Row],[Order Date]])</f>
        <v>2022</v>
      </c>
    </row>
    <row r="1629" spans="1:10" x14ac:dyDescent="0.3">
      <c r="A1629" s="1">
        <v>44911</v>
      </c>
      <c r="B1629" t="s">
        <v>17</v>
      </c>
      <c r="C1629" t="s">
        <v>16</v>
      </c>
      <c r="D1629" t="s">
        <v>12</v>
      </c>
      <c r="E1629">
        <v>10144</v>
      </c>
      <c r="F1629">
        <v>3834</v>
      </c>
      <c r="G1629">
        <v>5</v>
      </c>
      <c r="H1629">
        <v>6310</v>
      </c>
      <c r="I1629" s="2">
        <f>sa_retail_sales[[#This Row],[Profit]] / sa_retail_sales[[#This Row],[Revenue]]</f>
        <v>0.62204258675078861</v>
      </c>
      <c r="J1629">
        <f xml:space="preserve"> YEAR(sa_retail_sales[[#This Row],[Order Date]])</f>
        <v>2022</v>
      </c>
    </row>
    <row r="1630" spans="1:10" x14ac:dyDescent="0.3">
      <c r="A1630" s="1">
        <v>45624</v>
      </c>
      <c r="B1630" t="s">
        <v>8</v>
      </c>
      <c r="C1630" t="s">
        <v>16</v>
      </c>
      <c r="D1630" t="s">
        <v>12</v>
      </c>
      <c r="E1630">
        <v>13661</v>
      </c>
      <c r="F1630">
        <v>6144</v>
      </c>
      <c r="G1630">
        <v>20</v>
      </c>
      <c r="H1630">
        <v>7517</v>
      </c>
      <c r="I1630" s="2">
        <f>sa_retail_sales[[#This Row],[Profit]] / sa_retail_sales[[#This Row],[Revenue]]</f>
        <v>0.55025254373764731</v>
      </c>
      <c r="J1630">
        <f xml:space="preserve"> YEAR(sa_retail_sales[[#This Row],[Order Date]])</f>
        <v>2024</v>
      </c>
    </row>
    <row r="1631" spans="1:10" x14ac:dyDescent="0.3">
      <c r="A1631" s="1">
        <v>45470</v>
      </c>
      <c r="B1631" t="s">
        <v>8</v>
      </c>
      <c r="C1631" t="s">
        <v>16</v>
      </c>
      <c r="D1631" t="s">
        <v>12</v>
      </c>
      <c r="E1631">
        <v>14533</v>
      </c>
      <c r="F1631">
        <v>6239</v>
      </c>
      <c r="G1631">
        <v>5</v>
      </c>
      <c r="H1631">
        <v>8294</v>
      </c>
      <c r="I1631" s="2">
        <f>sa_retail_sales[[#This Row],[Profit]] / sa_retail_sales[[#This Row],[Revenue]]</f>
        <v>0.57070116287070805</v>
      </c>
      <c r="J1631">
        <f xml:space="preserve"> YEAR(sa_retail_sales[[#This Row],[Order Date]])</f>
        <v>2024</v>
      </c>
    </row>
    <row r="1632" spans="1:10" x14ac:dyDescent="0.3">
      <c r="A1632" s="1">
        <v>44720</v>
      </c>
      <c r="B1632" t="s">
        <v>18</v>
      </c>
      <c r="C1632" t="s">
        <v>14</v>
      </c>
      <c r="D1632" t="s">
        <v>19</v>
      </c>
      <c r="E1632">
        <v>10247</v>
      </c>
      <c r="F1632">
        <v>11619</v>
      </c>
      <c r="G1632">
        <v>10</v>
      </c>
      <c r="H1632">
        <v>-1372</v>
      </c>
      <c r="I1632" s="2">
        <f>sa_retail_sales[[#This Row],[Profit]] / sa_retail_sales[[#This Row],[Revenue]]</f>
        <v>-0.13389284668683518</v>
      </c>
      <c r="J1632">
        <f xml:space="preserve"> YEAR(sa_retail_sales[[#This Row],[Order Date]])</f>
        <v>2022</v>
      </c>
    </row>
    <row r="1633" spans="1:10" x14ac:dyDescent="0.3">
      <c r="A1633" s="1">
        <v>45520</v>
      </c>
      <c r="B1633" t="s">
        <v>17</v>
      </c>
      <c r="C1633" t="s">
        <v>9</v>
      </c>
      <c r="D1633" t="s">
        <v>12</v>
      </c>
      <c r="E1633">
        <v>7213</v>
      </c>
      <c r="F1633">
        <v>6775</v>
      </c>
      <c r="G1633">
        <v>10</v>
      </c>
      <c r="H1633">
        <v>438</v>
      </c>
      <c r="I1633" s="2">
        <f>sa_retail_sales[[#This Row],[Profit]] / sa_retail_sales[[#This Row],[Revenue]]</f>
        <v>6.0723693331484821E-2</v>
      </c>
      <c r="J1633">
        <f xml:space="preserve"> YEAR(sa_retail_sales[[#This Row],[Order Date]])</f>
        <v>2024</v>
      </c>
    </row>
    <row r="1634" spans="1:10" x14ac:dyDescent="0.3">
      <c r="A1634" s="1">
        <v>44873</v>
      </c>
      <c r="B1634" t="s">
        <v>8</v>
      </c>
      <c r="C1634" t="s">
        <v>14</v>
      </c>
      <c r="D1634" t="s">
        <v>12</v>
      </c>
      <c r="E1634">
        <v>4707</v>
      </c>
      <c r="F1634">
        <v>2074</v>
      </c>
      <c r="G1634">
        <v>10</v>
      </c>
      <c r="H1634">
        <v>2633</v>
      </c>
      <c r="I1634" s="2">
        <f>sa_retail_sales[[#This Row],[Profit]] / sa_retail_sales[[#This Row],[Revenue]]</f>
        <v>0.55937964733375822</v>
      </c>
      <c r="J1634">
        <f xml:space="preserve"> YEAR(sa_retail_sales[[#This Row],[Order Date]])</f>
        <v>2022</v>
      </c>
    </row>
    <row r="1635" spans="1:10" x14ac:dyDescent="0.3">
      <c r="A1635" s="1">
        <v>45006</v>
      </c>
      <c r="B1635" t="s">
        <v>8</v>
      </c>
      <c r="C1635" t="s">
        <v>13</v>
      </c>
      <c r="D1635" t="s">
        <v>10</v>
      </c>
      <c r="E1635">
        <v>11724</v>
      </c>
      <c r="F1635">
        <v>8583</v>
      </c>
      <c r="G1635">
        <v>10</v>
      </c>
      <c r="H1635">
        <v>3141</v>
      </c>
      <c r="I1635" s="2">
        <f>sa_retail_sales[[#This Row],[Profit]] / sa_retail_sales[[#This Row],[Revenue]]</f>
        <v>0.26791197543500511</v>
      </c>
      <c r="J1635">
        <f xml:space="preserve"> YEAR(sa_retail_sales[[#This Row],[Order Date]])</f>
        <v>2023</v>
      </c>
    </row>
    <row r="1636" spans="1:10" x14ac:dyDescent="0.3">
      <c r="A1636" s="1">
        <v>44859</v>
      </c>
      <c r="B1636" t="s">
        <v>11</v>
      </c>
      <c r="C1636" t="s">
        <v>13</v>
      </c>
      <c r="D1636" t="s">
        <v>12</v>
      </c>
      <c r="E1636">
        <v>7641</v>
      </c>
      <c r="F1636">
        <v>746</v>
      </c>
      <c r="G1636">
        <v>20</v>
      </c>
      <c r="H1636">
        <v>6895</v>
      </c>
      <c r="I1636" s="2">
        <f>sa_retail_sales[[#This Row],[Profit]] / sa_retail_sales[[#This Row],[Revenue]]</f>
        <v>0.90236879989530161</v>
      </c>
      <c r="J1636">
        <f xml:space="preserve"> YEAR(sa_retail_sales[[#This Row],[Order Date]])</f>
        <v>2022</v>
      </c>
    </row>
    <row r="1637" spans="1:10" x14ac:dyDescent="0.3">
      <c r="A1637" s="1">
        <v>45513</v>
      </c>
      <c r="B1637" t="s">
        <v>18</v>
      </c>
      <c r="C1637" t="s">
        <v>13</v>
      </c>
      <c r="D1637" t="s">
        <v>19</v>
      </c>
      <c r="E1637">
        <v>9152</v>
      </c>
      <c r="F1637">
        <v>408</v>
      </c>
      <c r="G1637">
        <v>15</v>
      </c>
      <c r="H1637">
        <v>8744</v>
      </c>
      <c r="I1637" s="2">
        <f>sa_retail_sales[[#This Row],[Profit]] / sa_retail_sales[[#This Row],[Revenue]]</f>
        <v>0.95541958041958042</v>
      </c>
      <c r="J1637">
        <f xml:space="preserve"> YEAR(sa_retail_sales[[#This Row],[Order Date]])</f>
        <v>2024</v>
      </c>
    </row>
    <row r="1638" spans="1:10" x14ac:dyDescent="0.3">
      <c r="A1638" s="1">
        <v>44597</v>
      </c>
      <c r="B1638" t="s">
        <v>11</v>
      </c>
      <c r="C1638" t="s">
        <v>13</v>
      </c>
      <c r="D1638" t="s">
        <v>19</v>
      </c>
      <c r="E1638">
        <v>9578</v>
      </c>
      <c r="F1638">
        <v>3539</v>
      </c>
      <c r="G1638">
        <v>10</v>
      </c>
      <c r="H1638">
        <v>6039</v>
      </c>
      <c r="I1638" s="2">
        <f>sa_retail_sales[[#This Row],[Profit]] / sa_retail_sales[[#This Row],[Revenue]]</f>
        <v>0.63050741282104827</v>
      </c>
      <c r="J1638">
        <f xml:space="preserve"> YEAR(sa_retail_sales[[#This Row],[Order Date]])</f>
        <v>2022</v>
      </c>
    </row>
    <row r="1639" spans="1:10" x14ac:dyDescent="0.3">
      <c r="A1639" s="1">
        <v>45120</v>
      </c>
      <c r="B1639" t="s">
        <v>11</v>
      </c>
      <c r="C1639" t="s">
        <v>16</v>
      </c>
      <c r="D1639" t="s">
        <v>19</v>
      </c>
      <c r="E1639">
        <v>12225</v>
      </c>
      <c r="F1639">
        <v>6231</v>
      </c>
      <c r="G1639">
        <v>5</v>
      </c>
      <c r="H1639">
        <v>5994</v>
      </c>
      <c r="I1639" s="2">
        <f>sa_retail_sales[[#This Row],[Profit]] / sa_retail_sales[[#This Row],[Revenue]]</f>
        <v>0.49030674846625766</v>
      </c>
      <c r="J1639">
        <f xml:space="preserve"> YEAR(sa_retail_sales[[#This Row],[Order Date]])</f>
        <v>2023</v>
      </c>
    </row>
    <row r="1640" spans="1:10" x14ac:dyDescent="0.3">
      <c r="A1640" s="1">
        <v>45452</v>
      </c>
      <c r="B1640" t="s">
        <v>8</v>
      </c>
      <c r="C1640" t="s">
        <v>16</v>
      </c>
      <c r="D1640" t="s">
        <v>10</v>
      </c>
      <c r="E1640">
        <v>4436</v>
      </c>
      <c r="F1640">
        <v>4353</v>
      </c>
      <c r="G1640">
        <v>10</v>
      </c>
      <c r="H1640">
        <v>83</v>
      </c>
      <c r="I1640" s="2">
        <f>sa_retail_sales[[#This Row],[Profit]] / sa_retail_sales[[#This Row],[Revenue]]</f>
        <v>1.8710550045085664E-2</v>
      </c>
      <c r="J1640">
        <f xml:space="preserve"> YEAR(sa_retail_sales[[#This Row],[Order Date]])</f>
        <v>2024</v>
      </c>
    </row>
    <row r="1641" spans="1:10" x14ac:dyDescent="0.3">
      <c r="A1641" s="1">
        <v>44702</v>
      </c>
      <c r="B1641" t="s">
        <v>18</v>
      </c>
      <c r="C1641" t="s">
        <v>14</v>
      </c>
      <c r="D1641" t="s">
        <v>10</v>
      </c>
      <c r="E1641">
        <v>9807</v>
      </c>
      <c r="F1641">
        <v>4837</v>
      </c>
      <c r="G1641">
        <v>20</v>
      </c>
      <c r="H1641">
        <v>4970</v>
      </c>
      <c r="I1641" s="2">
        <f>sa_retail_sales[[#This Row],[Profit]] / sa_retail_sales[[#This Row],[Revenue]]</f>
        <v>0.50678087080656675</v>
      </c>
      <c r="J1641">
        <f xml:space="preserve"> YEAR(sa_retail_sales[[#This Row],[Order Date]])</f>
        <v>2022</v>
      </c>
    </row>
    <row r="1642" spans="1:10" x14ac:dyDescent="0.3">
      <c r="A1642" s="1">
        <v>45448</v>
      </c>
      <c r="B1642" t="s">
        <v>17</v>
      </c>
      <c r="C1642" t="s">
        <v>9</v>
      </c>
      <c r="D1642" t="s">
        <v>15</v>
      </c>
      <c r="E1642">
        <v>1575</v>
      </c>
      <c r="F1642">
        <v>6661</v>
      </c>
      <c r="G1642">
        <v>5</v>
      </c>
      <c r="H1642">
        <v>-5086</v>
      </c>
      <c r="I1642" s="2">
        <f>sa_retail_sales[[#This Row],[Profit]] / sa_retail_sales[[#This Row],[Revenue]]</f>
        <v>-3.2292063492063492</v>
      </c>
      <c r="J1642">
        <f xml:space="preserve"> YEAR(sa_retail_sales[[#This Row],[Order Date]])</f>
        <v>2024</v>
      </c>
    </row>
    <row r="1643" spans="1:10" x14ac:dyDescent="0.3">
      <c r="A1643" s="1">
        <v>45287</v>
      </c>
      <c r="B1643" t="s">
        <v>8</v>
      </c>
      <c r="C1643" t="s">
        <v>13</v>
      </c>
      <c r="D1643" t="s">
        <v>12</v>
      </c>
      <c r="E1643">
        <v>4376</v>
      </c>
      <c r="F1643">
        <v>1545</v>
      </c>
      <c r="G1643">
        <v>10</v>
      </c>
      <c r="H1643">
        <v>2831</v>
      </c>
      <c r="I1643" s="2">
        <f>sa_retail_sales[[#This Row],[Profit]] / sa_retail_sales[[#This Row],[Revenue]]</f>
        <v>0.6469378427787934</v>
      </c>
      <c r="J1643">
        <f xml:space="preserve"> YEAR(sa_retail_sales[[#This Row],[Order Date]])</f>
        <v>2023</v>
      </c>
    </row>
    <row r="1644" spans="1:10" x14ac:dyDescent="0.3">
      <c r="A1644" s="1">
        <v>45611</v>
      </c>
      <c r="B1644" t="s">
        <v>17</v>
      </c>
      <c r="C1644" t="s">
        <v>14</v>
      </c>
      <c r="D1644" t="s">
        <v>10</v>
      </c>
      <c r="E1644">
        <v>5115</v>
      </c>
      <c r="F1644">
        <v>3020</v>
      </c>
      <c r="G1644">
        <v>15</v>
      </c>
      <c r="H1644">
        <v>2095</v>
      </c>
      <c r="I1644" s="2">
        <f>sa_retail_sales[[#This Row],[Profit]] / sa_retail_sales[[#This Row],[Revenue]]</f>
        <v>0.4095796676441838</v>
      </c>
      <c r="J1644">
        <f xml:space="preserve"> YEAR(sa_retail_sales[[#This Row],[Order Date]])</f>
        <v>2024</v>
      </c>
    </row>
    <row r="1645" spans="1:10" x14ac:dyDescent="0.3">
      <c r="A1645" s="1">
        <v>45082</v>
      </c>
      <c r="B1645" t="s">
        <v>17</v>
      </c>
      <c r="C1645" t="s">
        <v>16</v>
      </c>
      <c r="D1645" t="s">
        <v>19</v>
      </c>
      <c r="E1645">
        <v>13599</v>
      </c>
      <c r="F1645">
        <v>8769</v>
      </c>
      <c r="G1645">
        <v>5</v>
      </c>
      <c r="H1645">
        <v>4830</v>
      </c>
      <c r="I1645" s="2">
        <f>sa_retail_sales[[#This Row],[Profit]] / sa_retail_sales[[#This Row],[Revenue]]</f>
        <v>0.35517317449812486</v>
      </c>
      <c r="J1645">
        <f xml:space="preserve"> YEAR(sa_retail_sales[[#This Row],[Order Date]])</f>
        <v>2023</v>
      </c>
    </row>
    <row r="1646" spans="1:10" x14ac:dyDescent="0.3">
      <c r="A1646" s="1">
        <v>44571</v>
      </c>
      <c r="B1646" t="s">
        <v>18</v>
      </c>
      <c r="C1646" t="s">
        <v>16</v>
      </c>
      <c r="D1646" t="s">
        <v>19</v>
      </c>
      <c r="E1646">
        <v>7765</v>
      </c>
      <c r="F1646">
        <v>11548</v>
      </c>
      <c r="G1646">
        <v>5</v>
      </c>
      <c r="H1646">
        <v>-3783</v>
      </c>
      <c r="I1646" s="2">
        <f>sa_retail_sales[[#This Row],[Profit]] / sa_retail_sales[[#This Row],[Revenue]]</f>
        <v>-0.48718609143593045</v>
      </c>
      <c r="J1646">
        <f xml:space="preserve"> YEAR(sa_retail_sales[[#This Row],[Order Date]])</f>
        <v>2022</v>
      </c>
    </row>
    <row r="1647" spans="1:10" x14ac:dyDescent="0.3">
      <c r="A1647" s="1">
        <v>45545</v>
      </c>
      <c r="B1647" t="s">
        <v>11</v>
      </c>
      <c r="C1647" t="s">
        <v>9</v>
      </c>
      <c r="D1647" t="s">
        <v>10</v>
      </c>
      <c r="E1647">
        <v>6879</v>
      </c>
      <c r="F1647">
        <v>8041</v>
      </c>
      <c r="G1647">
        <v>15</v>
      </c>
      <c r="H1647">
        <v>-1162</v>
      </c>
      <c r="I1647" s="2">
        <f>sa_retail_sales[[#This Row],[Profit]] / sa_retail_sales[[#This Row],[Revenue]]</f>
        <v>-0.16891990114842273</v>
      </c>
      <c r="J1647">
        <f xml:space="preserve"> YEAR(sa_retail_sales[[#This Row],[Order Date]])</f>
        <v>2024</v>
      </c>
    </row>
    <row r="1648" spans="1:10" x14ac:dyDescent="0.3">
      <c r="A1648" s="1">
        <v>44939</v>
      </c>
      <c r="B1648" t="s">
        <v>18</v>
      </c>
      <c r="C1648" t="s">
        <v>9</v>
      </c>
      <c r="D1648" t="s">
        <v>10</v>
      </c>
      <c r="E1648">
        <v>10616</v>
      </c>
      <c r="F1648">
        <v>5405</v>
      </c>
      <c r="G1648">
        <v>5</v>
      </c>
      <c r="H1648">
        <v>5211</v>
      </c>
      <c r="I1648" s="2">
        <f>sa_retail_sales[[#This Row],[Profit]] / sa_retail_sales[[#This Row],[Revenue]]</f>
        <v>0.49086284853051998</v>
      </c>
      <c r="J1648">
        <f xml:space="preserve"> YEAR(sa_retail_sales[[#This Row],[Order Date]])</f>
        <v>2023</v>
      </c>
    </row>
    <row r="1649" spans="1:10" x14ac:dyDescent="0.3">
      <c r="A1649" s="1">
        <v>45243</v>
      </c>
      <c r="B1649" t="s">
        <v>17</v>
      </c>
      <c r="C1649" t="s">
        <v>9</v>
      </c>
      <c r="D1649" t="s">
        <v>10</v>
      </c>
      <c r="E1649">
        <v>14392</v>
      </c>
      <c r="F1649">
        <v>3222</v>
      </c>
      <c r="G1649">
        <v>10</v>
      </c>
      <c r="H1649">
        <v>11170</v>
      </c>
      <c r="I1649" s="2">
        <f>sa_retail_sales[[#This Row],[Profit]] / sa_retail_sales[[#This Row],[Revenue]]</f>
        <v>0.77612562534741525</v>
      </c>
      <c r="J1649">
        <f xml:space="preserve"> YEAR(sa_retail_sales[[#This Row],[Order Date]])</f>
        <v>2023</v>
      </c>
    </row>
    <row r="1650" spans="1:10" x14ac:dyDescent="0.3">
      <c r="A1650" s="1">
        <v>45145</v>
      </c>
      <c r="B1650" t="s">
        <v>8</v>
      </c>
      <c r="C1650" t="s">
        <v>14</v>
      </c>
      <c r="D1650" t="s">
        <v>15</v>
      </c>
      <c r="E1650">
        <v>9618</v>
      </c>
      <c r="F1650">
        <v>2813</v>
      </c>
      <c r="G1650">
        <v>5</v>
      </c>
      <c r="H1650">
        <v>6805</v>
      </c>
      <c r="I1650" s="2">
        <f>sa_retail_sales[[#This Row],[Profit]] / sa_retail_sales[[#This Row],[Revenue]]</f>
        <v>0.70752755250571842</v>
      </c>
      <c r="J1650">
        <f xml:space="preserve"> YEAR(sa_retail_sales[[#This Row],[Order Date]])</f>
        <v>2023</v>
      </c>
    </row>
    <row r="1651" spans="1:10" x14ac:dyDescent="0.3">
      <c r="A1651" s="1">
        <v>44713</v>
      </c>
      <c r="B1651" t="s">
        <v>17</v>
      </c>
      <c r="C1651" t="s">
        <v>16</v>
      </c>
      <c r="D1651" t="s">
        <v>19</v>
      </c>
      <c r="E1651">
        <v>5152</v>
      </c>
      <c r="F1651">
        <v>9330</v>
      </c>
      <c r="G1651">
        <v>10</v>
      </c>
      <c r="H1651">
        <v>-4178</v>
      </c>
      <c r="I1651" s="2">
        <f>sa_retail_sales[[#This Row],[Profit]] / sa_retail_sales[[#This Row],[Revenue]]</f>
        <v>-0.81094720496894412</v>
      </c>
      <c r="J1651">
        <f xml:space="preserve"> YEAR(sa_retail_sales[[#This Row],[Order Date]])</f>
        <v>2022</v>
      </c>
    </row>
    <row r="1652" spans="1:10" x14ac:dyDescent="0.3">
      <c r="A1652" s="1">
        <v>45281</v>
      </c>
      <c r="B1652" t="s">
        <v>8</v>
      </c>
      <c r="C1652" t="s">
        <v>16</v>
      </c>
      <c r="D1652" t="s">
        <v>15</v>
      </c>
      <c r="E1652">
        <v>7292</v>
      </c>
      <c r="F1652">
        <v>3101</v>
      </c>
      <c r="G1652">
        <v>15</v>
      </c>
      <c r="H1652">
        <v>4191</v>
      </c>
      <c r="I1652" s="2">
        <f>sa_retail_sales[[#This Row],[Profit]] / sa_retail_sales[[#This Row],[Revenue]]</f>
        <v>0.57473944048272074</v>
      </c>
      <c r="J1652">
        <f xml:space="preserve"> YEAR(sa_retail_sales[[#This Row],[Order Date]])</f>
        <v>2023</v>
      </c>
    </row>
    <row r="1653" spans="1:10" x14ac:dyDescent="0.3">
      <c r="A1653" s="1">
        <v>45634</v>
      </c>
      <c r="B1653" t="s">
        <v>8</v>
      </c>
      <c r="C1653" t="s">
        <v>9</v>
      </c>
      <c r="D1653" t="s">
        <v>15</v>
      </c>
      <c r="E1653">
        <v>10973</v>
      </c>
      <c r="F1653">
        <v>7281</v>
      </c>
      <c r="G1653">
        <v>0</v>
      </c>
      <c r="H1653">
        <v>3692</v>
      </c>
      <c r="I1653" s="2">
        <f>sa_retail_sales[[#This Row],[Profit]] / sa_retail_sales[[#This Row],[Revenue]]</f>
        <v>0.33646222546249888</v>
      </c>
      <c r="J1653">
        <f xml:space="preserve"> YEAR(sa_retail_sales[[#This Row],[Order Date]])</f>
        <v>2024</v>
      </c>
    </row>
    <row r="1654" spans="1:10" x14ac:dyDescent="0.3">
      <c r="A1654" s="1">
        <v>45420</v>
      </c>
      <c r="B1654" t="s">
        <v>18</v>
      </c>
      <c r="C1654" t="s">
        <v>13</v>
      </c>
      <c r="D1654" t="s">
        <v>12</v>
      </c>
      <c r="E1654">
        <v>9747</v>
      </c>
      <c r="F1654">
        <v>8521</v>
      </c>
      <c r="G1654">
        <v>15</v>
      </c>
      <c r="H1654">
        <v>1226</v>
      </c>
      <c r="I1654" s="2">
        <f>sa_retail_sales[[#This Row],[Profit]] / sa_retail_sales[[#This Row],[Revenue]]</f>
        <v>0.12578229198727814</v>
      </c>
      <c r="J1654">
        <f xml:space="preserve"> YEAR(sa_retail_sales[[#This Row],[Order Date]])</f>
        <v>2024</v>
      </c>
    </row>
    <row r="1655" spans="1:10" x14ac:dyDescent="0.3">
      <c r="A1655" s="1">
        <v>44611</v>
      </c>
      <c r="B1655" t="s">
        <v>17</v>
      </c>
      <c r="C1655" t="s">
        <v>9</v>
      </c>
      <c r="D1655" t="s">
        <v>19</v>
      </c>
      <c r="E1655">
        <v>7956</v>
      </c>
      <c r="F1655">
        <v>6802</v>
      </c>
      <c r="G1655">
        <v>10</v>
      </c>
      <c r="H1655">
        <v>1154</v>
      </c>
      <c r="I1655" s="2">
        <f>sa_retail_sales[[#This Row],[Profit]] / sa_retail_sales[[#This Row],[Revenue]]</f>
        <v>0.14504776269482153</v>
      </c>
      <c r="J1655">
        <f xml:space="preserve"> YEAR(sa_retail_sales[[#This Row],[Order Date]])</f>
        <v>2022</v>
      </c>
    </row>
    <row r="1656" spans="1:10" x14ac:dyDescent="0.3">
      <c r="A1656" s="1">
        <v>45225</v>
      </c>
      <c r="B1656" t="s">
        <v>11</v>
      </c>
      <c r="C1656" t="s">
        <v>14</v>
      </c>
      <c r="D1656" t="s">
        <v>19</v>
      </c>
      <c r="E1656">
        <v>5174</v>
      </c>
      <c r="F1656">
        <v>6338</v>
      </c>
      <c r="G1656">
        <v>20</v>
      </c>
      <c r="H1656">
        <v>-1164</v>
      </c>
      <c r="I1656" s="2">
        <f>sa_retail_sales[[#This Row],[Profit]] / sa_retail_sales[[#This Row],[Revenue]]</f>
        <v>-0.22497100889060689</v>
      </c>
      <c r="J1656">
        <f xml:space="preserve"> YEAR(sa_retail_sales[[#This Row],[Order Date]])</f>
        <v>2023</v>
      </c>
    </row>
    <row r="1657" spans="1:10" x14ac:dyDescent="0.3">
      <c r="A1657" s="1">
        <v>45092</v>
      </c>
      <c r="B1657" t="s">
        <v>17</v>
      </c>
      <c r="C1657" t="s">
        <v>9</v>
      </c>
      <c r="D1657" t="s">
        <v>10</v>
      </c>
      <c r="E1657">
        <v>1041</v>
      </c>
      <c r="F1657">
        <v>6529</v>
      </c>
      <c r="G1657">
        <v>15</v>
      </c>
      <c r="H1657">
        <v>-5488</v>
      </c>
      <c r="I1657" s="2">
        <f>sa_retail_sales[[#This Row],[Profit]] / sa_retail_sales[[#This Row],[Revenue]]</f>
        <v>-5.2718539865513927</v>
      </c>
      <c r="J1657">
        <f xml:space="preserve"> YEAR(sa_retail_sales[[#This Row],[Order Date]])</f>
        <v>2023</v>
      </c>
    </row>
    <row r="1658" spans="1:10" x14ac:dyDescent="0.3">
      <c r="A1658" s="1">
        <v>45645</v>
      </c>
      <c r="B1658" t="s">
        <v>17</v>
      </c>
      <c r="C1658" t="s">
        <v>9</v>
      </c>
      <c r="D1658" t="s">
        <v>10</v>
      </c>
      <c r="E1658">
        <v>2661</v>
      </c>
      <c r="F1658">
        <v>9749</v>
      </c>
      <c r="G1658">
        <v>20</v>
      </c>
      <c r="H1658">
        <v>-7088</v>
      </c>
      <c r="I1658" s="2">
        <f>sa_retail_sales[[#This Row],[Profit]] / sa_retail_sales[[#This Row],[Revenue]]</f>
        <v>-2.6636602780909433</v>
      </c>
      <c r="J1658">
        <f xml:space="preserve"> YEAR(sa_retail_sales[[#This Row],[Order Date]])</f>
        <v>2024</v>
      </c>
    </row>
    <row r="1659" spans="1:10" x14ac:dyDescent="0.3">
      <c r="A1659" s="1">
        <v>45418</v>
      </c>
      <c r="B1659" t="s">
        <v>11</v>
      </c>
      <c r="C1659" t="s">
        <v>14</v>
      </c>
      <c r="D1659" t="s">
        <v>12</v>
      </c>
      <c r="E1659">
        <v>2751</v>
      </c>
      <c r="F1659">
        <v>664</v>
      </c>
      <c r="G1659">
        <v>20</v>
      </c>
      <c r="H1659">
        <v>2087</v>
      </c>
      <c r="I1659" s="2">
        <f>sa_retail_sales[[#This Row],[Profit]] / sa_retail_sales[[#This Row],[Revenue]]</f>
        <v>0.75863322428207924</v>
      </c>
      <c r="J1659">
        <f xml:space="preserve"> YEAR(sa_retail_sales[[#This Row],[Order Date]])</f>
        <v>2024</v>
      </c>
    </row>
    <row r="1660" spans="1:10" x14ac:dyDescent="0.3">
      <c r="A1660" s="1">
        <v>44707</v>
      </c>
      <c r="B1660" t="s">
        <v>18</v>
      </c>
      <c r="C1660" t="s">
        <v>9</v>
      </c>
      <c r="D1660" t="s">
        <v>15</v>
      </c>
      <c r="E1660">
        <v>9744</v>
      </c>
      <c r="F1660">
        <v>2100</v>
      </c>
      <c r="G1660">
        <v>10</v>
      </c>
      <c r="H1660">
        <v>7644</v>
      </c>
      <c r="I1660" s="2">
        <f>sa_retail_sales[[#This Row],[Profit]] / sa_retail_sales[[#This Row],[Revenue]]</f>
        <v>0.78448275862068961</v>
      </c>
      <c r="J1660">
        <f xml:space="preserve"> YEAR(sa_retail_sales[[#This Row],[Order Date]])</f>
        <v>2022</v>
      </c>
    </row>
    <row r="1661" spans="1:10" x14ac:dyDescent="0.3">
      <c r="A1661" s="1">
        <v>45476</v>
      </c>
      <c r="B1661" t="s">
        <v>17</v>
      </c>
      <c r="C1661" t="s">
        <v>16</v>
      </c>
      <c r="D1661" t="s">
        <v>10</v>
      </c>
      <c r="E1661">
        <v>5069</v>
      </c>
      <c r="F1661">
        <v>6258</v>
      </c>
      <c r="G1661">
        <v>10</v>
      </c>
      <c r="H1661">
        <v>-1189</v>
      </c>
      <c r="I1661" s="2">
        <f>sa_retail_sales[[#This Row],[Profit]] / sa_retail_sales[[#This Row],[Revenue]]</f>
        <v>-0.23456303018346814</v>
      </c>
      <c r="J1661">
        <f xml:space="preserve"> YEAR(sa_retail_sales[[#This Row],[Order Date]])</f>
        <v>2024</v>
      </c>
    </row>
    <row r="1662" spans="1:10" x14ac:dyDescent="0.3">
      <c r="A1662" s="1">
        <v>45554</v>
      </c>
      <c r="B1662" t="s">
        <v>17</v>
      </c>
      <c r="C1662" t="s">
        <v>13</v>
      </c>
      <c r="D1662" t="s">
        <v>10</v>
      </c>
      <c r="E1662">
        <v>3244</v>
      </c>
      <c r="F1662">
        <v>9396</v>
      </c>
      <c r="G1662">
        <v>0</v>
      </c>
      <c r="H1662">
        <v>-6152</v>
      </c>
      <c r="I1662" s="2">
        <f>sa_retail_sales[[#This Row],[Profit]] / sa_retail_sales[[#This Row],[Revenue]]</f>
        <v>-1.8964241676942046</v>
      </c>
      <c r="J1662">
        <f xml:space="preserve"> YEAR(sa_retail_sales[[#This Row],[Order Date]])</f>
        <v>2024</v>
      </c>
    </row>
    <row r="1663" spans="1:10" x14ac:dyDescent="0.3">
      <c r="A1663" s="1">
        <v>44803</v>
      </c>
      <c r="B1663" t="s">
        <v>8</v>
      </c>
      <c r="C1663" t="s">
        <v>9</v>
      </c>
      <c r="D1663" t="s">
        <v>19</v>
      </c>
      <c r="E1663">
        <v>12561</v>
      </c>
      <c r="F1663">
        <v>7736</v>
      </c>
      <c r="G1663">
        <v>5</v>
      </c>
      <c r="H1663">
        <v>4825</v>
      </c>
      <c r="I1663" s="2">
        <f>sa_retail_sales[[#This Row],[Profit]] / sa_retail_sales[[#This Row],[Revenue]]</f>
        <v>0.38412546771753842</v>
      </c>
      <c r="J1663">
        <f xml:space="preserve"> YEAR(sa_retail_sales[[#This Row],[Order Date]])</f>
        <v>2022</v>
      </c>
    </row>
    <row r="1664" spans="1:10" x14ac:dyDescent="0.3">
      <c r="A1664" s="1">
        <v>45142</v>
      </c>
      <c r="B1664" t="s">
        <v>17</v>
      </c>
      <c r="C1664" t="s">
        <v>14</v>
      </c>
      <c r="D1664" t="s">
        <v>19</v>
      </c>
      <c r="E1664">
        <v>13692</v>
      </c>
      <c r="F1664">
        <v>5093</v>
      </c>
      <c r="G1664">
        <v>15</v>
      </c>
      <c r="H1664">
        <v>8599</v>
      </c>
      <c r="I1664" s="2">
        <f>sa_retail_sales[[#This Row],[Profit]] / sa_retail_sales[[#This Row],[Revenue]]</f>
        <v>0.62803096698802219</v>
      </c>
      <c r="J1664">
        <f xml:space="preserve"> YEAR(sa_retail_sales[[#This Row],[Order Date]])</f>
        <v>2023</v>
      </c>
    </row>
    <row r="1665" spans="1:10" x14ac:dyDescent="0.3">
      <c r="A1665" s="1">
        <v>45248</v>
      </c>
      <c r="B1665" t="s">
        <v>11</v>
      </c>
      <c r="C1665" t="s">
        <v>13</v>
      </c>
      <c r="D1665" t="s">
        <v>10</v>
      </c>
      <c r="E1665">
        <v>6541</v>
      </c>
      <c r="F1665">
        <v>10670</v>
      </c>
      <c r="G1665">
        <v>10</v>
      </c>
      <c r="H1665">
        <v>-4129</v>
      </c>
      <c r="I1665" s="2">
        <f>sa_retail_sales[[#This Row],[Profit]] / sa_retail_sales[[#This Row],[Revenue]]</f>
        <v>-0.6312490444886103</v>
      </c>
      <c r="J1665">
        <f xml:space="preserve"> YEAR(sa_retail_sales[[#This Row],[Order Date]])</f>
        <v>2023</v>
      </c>
    </row>
    <row r="1666" spans="1:10" x14ac:dyDescent="0.3">
      <c r="A1666" s="1">
        <v>45044</v>
      </c>
      <c r="B1666" t="s">
        <v>8</v>
      </c>
      <c r="C1666" t="s">
        <v>14</v>
      </c>
      <c r="D1666" t="s">
        <v>19</v>
      </c>
      <c r="E1666">
        <v>13173</v>
      </c>
      <c r="F1666">
        <v>11342</v>
      </c>
      <c r="G1666">
        <v>15</v>
      </c>
      <c r="H1666">
        <v>1831</v>
      </c>
      <c r="I1666" s="2">
        <f>sa_retail_sales[[#This Row],[Profit]] / sa_retail_sales[[#This Row],[Revenue]]</f>
        <v>0.13899643209595383</v>
      </c>
      <c r="J1666">
        <f xml:space="preserve"> YEAR(sa_retail_sales[[#This Row],[Order Date]])</f>
        <v>2023</v>
      </c>
    </row>
    <row r="1667" spans="1:10" x14ac:dyDescent="0.3">
      <c r="A1667" s="1">
        <v>45234</v>
      </c>
      <c r="B1667" t="s">
        <v>18</v>
      </c>
      <c r="C1667" t="s">
        <v>13</v>
      </c>
      <c r="D1667" t="s">
        <v>12</v>
      </c>
      <c r="E1667">
        <v>12849</v>
      </c>
      <c r="F1667">
        <v>8460</v>
      </c>
      <c r="G1667">
        <v>20</v>
      </c>
      <c r="H1667">
        <v>4389</v>
      </c>
      <c r="I1667" s="2">
        <f>sa_retail_sales[[#This Row],[Profit]] / sa_retail_sales[[#This Row],[Revenue]]</f>
        <v>0.34158300256829327</v>
      </c>
      <c r="J1667">
        <f xml:space="preserve"> YEAR(sa_retail_sales[[#This Row],[Order Date]])</f>
        <v>2023</v>
      </c>
    </row>
    <row r="1668" spans="1:10" x14ac:dyDescent="0.3">
      <c r="A1668" s="1">
        <v>45192</v>
      </c>
      <c r="B1668" t="s">
        <v>8</v>
      </c>
      <c r="C1668" t="s">
        <v>13</v>
      </c>
      <c r="D1668" t="s">
        <v>10</v>
      </c>
      <c r="E1668">
        <v>13302</v>
      </c>
      <c r="F1668">
        <v>11328</v>
      </c>
      <c r="G1668">
        <v>5</v>
      </c>
      <c r="H1668">
        <v>1974</v>
      </c>
      <c r="I1668" s="2">
        <f>sa_retail_sales[[#This Row],[Profit]] / sa_retail_sales[[#This Row],[Revenue]]</f>
        <v>0.14839873703202525</v>
      </c>
      <c r="J1668">
        <f xml:space="preserve"> YEAR(sa_retail_sales[[#This Row],[Order Date]])</f>
        <v>2023</v>
      </c>
    </row>
    <row r="1669" spans="1:10" x14ac:dyDescent="0.3">
      <c r="A1669" s="1">
        <v>45222</v>
      </c>
      <c r="B1669" t="s">
        <v>11</v>
      </c>
      <c r="C1669" t="s">
        <v>9</v>
      </c>
      <c r="D1669" t="s">
        <v>19</v>
      </c>
      <c r="E1669">
        <v>13217</v>
      </c>
      <c r="F1669">
        <v>479</v>
      </c>
      <c r="G1669">
        <v>0</v>
      </c>
      <c r="H1669">
        <v>12738</v>
      </c>
      <c r="I1669" s="2">
        <f>sa_retail_sales[[#This Row],[Profit]] / sa_retail_sales[[#This Row],[Revenue]]</f>
        <v>0.96375879549065602</v>
      </c>
      <c r="J1669">
        <f xml:space="preserve"> YEAR(sa_retail_sales[[#This Row],[Order Date]])</f>
        <v>2023</v>
      </c>
    </row>
    <row r="1670" spans="1:10" x14ac:dyDescent="0.3">
      <c r="A1670" s="1">
        <v>45223</v>
      </c>
      <c r="B1670" t="s">
        <v>11</v>
      </c>
      <c r="C1670" t="s">
        <v>16</v>
      </c>
      <c r="D1670" t="s">
        <v>12</v>
      </c>
      <c r="E1670">
        <v>5175</v>
      </c>
      <c r="F1670">
        <v>4173</v>
      </c>
      <c r="G1670">
        <v>15</v>
      </c>
      <c r="H1670">
        <v>1002</v>
      </c>
      <c r="I1670" s="2">
        <f>sa_retail_sales[[#This Row],[Profit]] / sa_retail_sales[[#This Row],[Revenue]]</f>
        <v>0.19362318840579709</v>
      </c>
      <c r="J1670">
        <f xml:space="preserve"> YEAR(sa_retail_sales[[#This Row],[Order Date]])</f>
        <v>2023</v>
      </c>
    </row>
    <row r="1671" spans="1:10" x14ac:dyDescent="0.3">
      <c r="A1671" s="1">
        <v>45366</v>
      </c>
      <c r="B1671" t="s">
        <v>8</v>
      </c>
      <c r="C1671" t="s">
        <v>9</v>
      </c>
      <c r="D1671" t="s">
        <v>19</v>
      </c>
      <c r="E1671">
        <v>2060</v>
      </c>
      <c r="F1671">
        <v>4260</v>
      </c>
      <c r="G1671">
        <v>5</v>
      </c>
      <c r="H1671">
        <v>-2200</v>
      </c>
      <c r="I1671" s="2">
        <f>sa_retail_sales[[#This Row],[Profit]] / sa_retail_sales[[#This Row],[Revenue]]</f>
        <v>-1.0679611650485437</v>
      </c>
      <c r="J1671">
        <f xml:space="preserve"> YEAR(sa_retail_sales[[#This Row],[Order Date]])</f>
        <v>2024</v>
      </c>
    </row>
    <row r="1672" spans="1:10" x14ac:dyDescent="0.3">
      <c r="A1672" s="1">
        <v>44980</v>
      </c>
      <c r="B1672" t="s">
        <v>18</v>
      </c>
      <c r="C1672" t="s">
        <v>14</v>
      </c>
      <c r="D1672" t="s">
        <v>19</v>
      </c>
      <c r="E1672">
        <v>12454</v>
      </c>
      <c r="F1672">
        <v>1486</v>
      </c>
      <c r="G1672">
        <v>0</v>
      </c>
      <c r="H1672">
        <v>10968</v>
      </c>
      <c r="I1672" s="2">
        <f>sa_retail_sales[[#This Row],[Profit]] / sa_retail_sales[[#This Row],[Revenue]]</f>
        <v>0.88068090573309776</v>
      </c>
      <c r="J1672">
        <f xml:space="preserve"> YEAR(sa_retail_sales[[#This Row],[Order Date]])</f>
        <v>2023</v>
      </c>
    </row>
    <row r="1673" spans="1:10" x14ac:dyDescent="0.3">
      <c r="A1673" s="1">
        <v>45549</v>
      </c>
      <c r="B1673" t="s">
        <v>8</v>
      </c>
      <c r="C1673" t="s">
        <v>14</v>
      </c>
      <c r="D1673" t="s">
        <v>19</v>
      </c>
      <c r="E1673">
        <v>1664</v>
      </c>
      <c r="F1673">
        <v>1073</v>
      </c>
      <c r="G1673">
        <v>15</v>
      </c>
      <c r="H1673">
        <v>591</v>
      </c>
      <c r="I1673" s="2">
        <f>sa_retail_sales[[#This Row],[Profit]] / sa_retail_sales[[#This Row],[Revenue]]</f>
        <v>0.35516826923076922</v>
      </c>
      <c r="J1673">
        <f xml:space="preserve"> YEAR(sa_retail_sales[[#This Row],[Order Date]])</f>
        <v>2024</v>
      </c>
    </row>
    <row r="1674" spans="1:10" x14ac:dyDescent="0.3">
      <c r="A1674" s="1">
        <v>45211</v>
      </c>
      <c r="B1674" t="s">
        <v>18</v>
      </c>
      <c r="C1674" t="s">
        <v>13</v>
      </c>
      <c r="D1674" t="s">
        <v>10</v>
      </c>
      <c r="E1674">
        <v>5919</v>
      </c>
      <c r="F1674">
        <v>4760</v>
      </c>
      <c r="G1674">
        <v>5</v>
      </c>
      <c r="H1674">
        <v>1159</v>
      </c>
      <c r="I1674" s="2">
        <f>sa_retail_sales[[#This Row],[Profit]] / sa_retail_sales[[#This Row],[Revenue]]</f>
        <v>0.19581010305794896</v>
      </c>
      <c r="J1674">
        <f xml:space="preserve"> YEAR(sa_retail_sales[[#This Row],[Order Date]])</f>
        <v>2023</v>
      </c>
    </row>
    <row r="1675" spans="1:10" x14ac:dyDescent="0.3">
      <c r="A1675" s="1">
        <v>45530</v>
      </c>
      <c r="B1675" t="s">
        <v>8</v>
      </c>
      <c r="C1675" t="s">
        <v>13</v>
      </c>
      <c r="D1675" t="s">
        <v>15</v>
      </c>
      <c r="E1675">
        <v>3222</v>
      </c>
      <c r="F1675">
        <v>652</v>
      </c>
      <c r="G1675">
        <v>10</v>
      </c>
      <c r="H1675">
        <v>2570</v>
      </c>
      <c r="I1675" s="2">
        <f>sa_retail_sales[[#This Row],[Profit]] / sa_retail_sales[[#This Row],[Revenue]]</f>
        <v>0.79764121663563003</v>
      </c>
      <c r="J1675">
        <f xml:space="preserve"> YEAR(sa_retail_sales[[#This Row],[Order Date]])</f>
        <v>2024</v>
      </c>
    </row>
    <row r="1676" spans="1:10" x14ac:dyDescent="0.3">
      <c r="A1676" s="1">
        <v>45151</v>
      </c>
      <c r="B1676" t="s">
        <v>11</v>
      </c>
      <c r="C1676" t="s">
        <v>16</v>
      </c>
      <c r="D1676" t="s">
        <v>19</v>
      </c>
      <c r="E1676">
        <v>11050</v>
      </c>
      <c r="F1676">
        <v>7243</v>
      </c>
      <c r="G1676">
        <v>15</v>
      </c>
      <c r="H1676">
        <v>3807</v>
      </c>
      <c r="I1676" s="2">
        <f>sa_retail_sales[[#This Row],[Profit]] / sa_retail_sales[[#This Row],[Revenue]]</f>
        <v>0.34452488687782806</v>
      </c>
      <c r="J1676">
        <f xml:space="preserve"> YEAR(sa_retail_sales[[#This Row],[Order Date]])</f>
        <v>2023</v>
      </c>
    </row>
    <row r="1677" spans="1:10" x14ac:dyDescent="0.3">
      <c r="A1677" s="1">
        <v>45070</v>
      </c>
      <c r="B1677" t="s">
        <v>17</v>
      </c>
      <c r="C1677" t="s">
        <v>9</v>
      </c>
      <c r="D1677" t="s">
        <v>12</v>
      </c>
      <c r="E1677">
        <v>970</v>
      </c>
      <c r="F1677">
        <v>5502</v>
      </c>
      <c r="G1677">
        <v>5</v>
      </c>
      <c r="H1677">
        <v>-4532</v>
      </c>
      <c r="I1677" s="2">
        <f>sa_retail_sales[[#This Row],[Profit]] / sa_retail_sales[[#This Row],[Revenue]]</f>
        <v>-4.6721649484536085</v>
      </c>
      <c r="J1677">
        <f xml:space="preserve"> YEAR(sa_retail_sales[[#This Row],[Order Date]])</f>
        <v>2023</v>
      </c>
    </row>
    <row r="1678" spans="1:10" x14ac:dyDescent="0.3">
      <c r="A1678" s="1">
        <v>45002</v>
      </c>
      <c r="B1678" t="s">
        <v>17</v>
      </c>
      <c r="C1678" t="s">
        <v>14</v>
      </c>
      <c r="D1678" t="s">
        <v>10</v>
      </c>
      <c r="E1678">
        <v>10108</v>
      </c>
      <c r="F1678">
        <v>5644</v>
      </c>
      <c r="G1678">
        <v>0</v>
      </c>
      <c r="H1678">
        <v>4464</v>
      </c>
      <c r="I1678" s="2">
        <f>sa_retail_sales[[#This Row],[Profit]] / sa_retail_sales[[#This Row],[Revenue]]</f>
        <v>0.4416303917688959</v>
      </c>
      <c r="J1678">
        <f xml:space="preserve"> YEAR(sa_retail_sales[[#This Row],[Order Date]])</f>
        <v>2023</v>
      </c>
    </row>
    <row r="1679" spans="1:10" x14ac:dyDescent="0.3">
      <c r="A1679" s="1">
        <v>45482</v>
      </c>
      <c r="B1679" t="s">
        <v>18</v>
      </c>
      <c r="C1679" t="s">
        <v>13</v>
      </c>
      <c r="D1679" t="s">
        <v>10</v>
      </c>
      <c r="E1679">
        <v>14453</v>
      </c>
      <c r="F1679">
        <v>4807</v>
      </c>
      <c r="G1679">
        <v>5</v>
      </c>
      <c r="H1679">
        <v>9646</v>
      </c>
      <c r="I1679" s="2">
        <f>sa_retail_sales[[#This Row],[Profit]] / sa_retail_sales[[#This Row],[Revenue]]</f>
        <v>0.66740469106759848</v>
      </c>
      <c r="J1679">
        <f xml:space="preserve"> YEAR(sa_retail_sales[[#This Row],[Order Date]])</f>
        <v>2024</v>
      </c>
    </row>
    <row r="1680" spans="1:10" x14ac:dyDescent="0.3">
      <c r="A1680" s="1">
        <v>45331</v>
      </c>
      <c r="B1680" t="s">
        <v>18</v>
      </c>
      <c r="C1680" t="s">
        <v>16</v>
      </c>
      <c r="D1680" t="s">
        <v>12</v>
      </c>
      <c r="E1680">
        <v>1968</v>
      </c>
      <c r="F1680">
        <v>5130</v>
      </c>
      <c r="G1680">
        <v>10</v>
      </c>
      <c r="H1680">
        <v>-3162</v>
      </c>
      <c r="I1680" s="2">
        <f>sa_retail_sales[[#This Row],[Profit]] / sa_retail_sales[[#This Row],[Revenue]]</f>
        <v>-1.6067073170731707</v>
      </c>
      <c r="J1680">
        <f xml:space="preserve"> YEAR(sa_retail_sales[[#This Row],[Order Date]])</f>
        <v>2024</v>
      </c>
    </row>
    <row r="1681" spans="1:10" x14ac:dyDescent="0.3">
      <c r="A1681" s="1">
        <v>44824</v>
      </c>
      <c r="B1681" t="s">
        <v>18</v>
      </c>
      <c r="C1681" t="s">
        <v>14</v>
      </c>
      <c r="D1681" t="s">
        <v>19</v>
      </c>
      <c r="E1681">
        <v>8425</v>
      </c>
      <c r="F1681">
        <v>11520</v>
      </c>
      <c r="G1681">
        <v>15</v>
      </c>
      <c r="H1681">
        <v>-3095</v>
      </c>
      <c r="I1681" s="2">
        <f>sa_retail_sales[[#This Row],[Profit]] / sa_retail_sales[[#This Row],[Revenue]]</f>
        <v>-0.36735905044510386</v>
      </c>
      <c r="J1681">
        <f xml:space="preserve"> YEAR(sa_retail_sales[[#This Row],[Order Date]])</f>
        <v>2022</v>
      </c>
    </row>
    <row r="1682" spans="1:10" x14ac:dyDescent="0.3">
      <c r="A1682" s="1">
        <v>45198</v>
      </c>
      <c r="B1682" t="s">
        <v>11</v>
      </c>
      <c r="C1682" t="s">
        <v>13</v>
      </c>
      <c r="D1682" t="s">
        <v>15</v>
      </c>
      <c r="E1682">
        <v>1308</v>
      </c>
      <c r="F1682">
        <v>417</v>
      </c>
      <c r="G1682">
        <v>15</v>
      </c>
      <c r="H1682">
        <v>891</v>
      </c>
      <c r="I1682" s="2">
        <f>sa_retail_sales[[#This Row],[Profit]] / sa_retail_sales[[#This Row],[Revenue]]</f>
        <v>0.68119266055045868</v>
      </c>
      <c r="J1682">
        <f xml:space="preserve"> YEAR(sa_retail_sales[[#This Row],[Order Date]])</f>
        <v>2023</v>
      </c>
    </row>
    <row r="1683" spans="1:10" x14ac:dyDescent="0.3">
      <c r="A1683" s="1">
        <v>45020</v>
      </c>
      <c r="B1683" t="s">
        <v>8</v>
      </c>
      <c r="C1683" t="s">
        <v>14</v>
      </c>
      <c r="D1683" t="s">
        <v>19</v>
      </c>
      <c r="E1683">
        <v>8863</v>
      </c>
      <c r="F1683">
        <v>781</v>
      </c>
      <c r="G1683">
        <v>15</v>
      </c>
      <c r="H1683">
        <v>8082</v>
      </c>
      <c r="I1683" s="2">
        <f>sa_retail_sales[[#This Row],[Profit]] / sa_retail_sales[[#This Row],[Revenue]]</f>
        <v>0.91188085298431687</v>
      </c>
      <c r="J1683">
        <f xml:space="preserve"> YEAR(sa_retail_sales[[#This Row],[Order Date]])</f>
        <v>2023</v>
      </c>
    </row>
    <row r="1684" spans="1:10" x14ac:dyDescent="0.3">
      <c r="A1684" s="1">
        <v>45560</v>
      </c>
      <c r="B1684" t="s">
        <v>11</v>
      </c>
      <c r="C1684" t="s">
        <v>16</v>
      </c>
      <c r="D1684" t="s">
        <v>12</v>
      </c>
      <c r="E1684">
        <v>7219</v>
      </c>
      <c r="F1684">
        <v>4587</v>
      </c>
      <c r="G1684">
        <v>10</v>
      </c>
      <c r="H1684">
        <v>2632</v>
      </c>
      <c r="I1684" s="2">
        <f>sa_retail_sales[[#This Row],[Profit]] / sa_retail_sales[[#This Row],[Revenue]]</f>
        <v>0.36459343399362792</v>
      </c>
      <c r="J1684">
        <f xml:space="preserve"> YEAR(sa_retail_sales[[#This Row],[Order Date]])</f>
        <v>2024</v>
      </c>
    </row>
    <row r="1685" spans="1:10" x14ac:dyDescent="0.3">
      <c r="A1685" s="1">
        <v>45261</v>
      </c>
      <c r="B1685" t="s">
        <v>17</v>
      </c>
      <c r="C1685" t="s">
        <v>16</v>
      </c>
      <c r="D1685" t="s">
        <v>10</v>
      </c>
      <c r="E1685">
        <v>12818</v>
      </c>
      <c r="F1685">
        <v>11129</v>
      </c>
      <c r="G1685">
        <v>0</v>
      </c>
      <c r="H1685">
        <v>1689</v>
      </c>
      <c r="I1685" s="2">
        <f>sa_retail_sales[[#This Row],[Profit]] / sa_retail_sales[[#This Row],[Revenue]]</f>
        <v>0.13176782649399282</v>
      </c>
      <c r="J1685">
        <f xml:space="preserve"> YEAR(sa_retail_sales[[#This Row],[Order Date]])</f>
        <v>2023</v>
      </c>
    </row>
    <row r="1686" spans="1:10" x14ac:dyDescent="0.3">
      <c r="A1686" s="1">
        <v>44863</v>
      </c>
      <c r="B1686" t="s">
        <v>18</v>
      </c>
      <c r="C1686" t="s">
        <v>14</v>
      </c>
      <c r="D1686" t="s">
        <v>15</v>
      </c>
      <c r="E1686">
        <v>12834</v>
      </c>
      <c r="F1686">
        <v>7102</v>
      </c>
      <c r="G1686">
        <v>15</v>
      </c>
      <c r="H1686">
        <v>5732</v>
      </c>
      <c r="I1686" s="2">
        <f>sa_retail_sales[[#This Row],[Profit]] / sa_retail_sales[[#This Row],[Revenue]]</f>
        <v>0.44662614929094591</v>
      </c>
      <c r="J1686">
        <f xml:space="preserve"> YEAR(sa_retail_sales[[#This Row],[Order Date]])</f>
        <v>2022</v>
      </c>
    </row>
    <row r="1687" spans="1:10" x14ac:dyDescent="0.3">
      <c r="A1687" s="1">
        <v>45115</v>
      </c>
      <c r="B1687" t="s">
        <v>8</v>
      </c>
      <c r="C1687" t="s">
        <v>9</v>
      </c>
      <c r="D1687" t="s">
        <v>10</v>
      </c>
      <c r="E1687">
        <v>12917</v>
      </c>
      <c r="F1687">
        <v>8598</v>
      </c>
      <c r="G1687">
        <v>0</v>
      </c>
      <c r="H1687">
        <v>4319</v>
      </c>
      <c r="I1687" s="2">
        <f>sa_retail_sales[[#This Row],[Profit]] / sa_retail_sales[[#This Row],[Revenue]]</f>
        <v>0.33436556475961909</v>
      </c>
      <c r="J1687">
        <f xml:space="preserve"> YEAR(sa_retail_sales[[#This Row],[Order Date]])</f>
        <v>2023</v>
      </c>
    </row>
    <row r="1688" spans="1:10" x14ac:dyDescent="0.3">
      <c r="A1688" s="1">
        <v>44849</v>
      </c>
      <c r="B1688" t="s">
        <v>17</v>
      </c>
      <c r="C1688" t="s">
        <v>14</v>
      </c>
      <c r="D1688" t="s">
        <v>12</v>
      </c>
      <c r="E1688">
        <v>11091</v>
      </c>
      <c r="F1688">
        <v>4777</v>
      </c>
      <c r="G1688">
        <v>5</v>
      </c>
      <c r="H1688">
        <v>6314</v>
      </c>
      <c r="I1688" s="2">
        <f>sa_retail_sales[[#This Row],[Profit]] / sa_retail_sales[[#This Row],[Revenue]]</f>
        <v>0.56929041565233074</v>
      </c>
      <c r="J1688">
        <f xml:space="preserve"> YEAR(sa_retail_sales[[#This Row],[Order Date]])</f>
        <v>2022</v>
      </c>
    </row>
    <row r="1689" spans="1:10" x14ac:dyDescent="0.3">
      <c r="A1689" s="1">
        <v>45182</v>
      </c>
      <c r="B1689" t="s">
        <v>17</v>
      </c>
      <c r="C1689" t="s">
        <v>13</v>
      </c>
      <c r="D1689" t="s">
        <v>19</v>
      </c>
      <c r="E1689">
        <v>5573</v>
      </c>
      <c r="F1689">
        <v>6833</v>
      </c>
      <c r="G1689">
        <v>0</v>
      </c>
      <c r="H1689">
        <v>-1260</v>
      </c>
      <c r="I1689" s="2">
        <f>sa_retail_sales[[#This Row],[Profit]] / sa_retail_sales[[#This Row],[Revenue]]</f>
        <v>-0.22609007715772475</v>
      </c>
      <c r="J1689">
        <f xml:space="preserve"> YEAR(sa_retail_sales[[#This Row],[Order Date]])</f>
        <v>2023</v>
      </c>
    </row>
    <row r="1690" spans="1:10" x14ac:dyDescent="0.3">
      <c r="A1690" s="1">
        <v>45567</v>
      </c>
      <c r="B1690" t="s">
        <v>17</v>
      </c>
      <c r="C1690" t="s">
        <v>9</v>
      </c>
      <c r="D1690" t="s">
        <v>15</v>
      </c>
      <c r="E1690">
        <v>8512</v>
      </c>
      <c r="F1690">
        <v>543</v>
      </c>
      <c r="G1690">
        <v>0</v>
      </c>
      <c r="H1690">
        <v>7969</v>
      </c>
      <c r="I1690" s="2">
        <f>sa_retail_sales[[#This Row],[Profit]] / sa_retail_sales[[#This Row],[Revenue]]</f>
        <v>0.93620770676691734</v>
      </c>
      <c r="J1690">
        <f xml:space="preserve"> YEAR(sa_retail_sales[[#This Row],[Order Date]])</f>
        <v>2024</v>
      </c>
    </row>
    <row r="1691" spans="1:10" x14ac:dyDescent="0.3">
      <c r="A1691" s="1">
        <v>44597</v>
      </c>
      <c r="B1691" t="s">
        <v>11</v>
      </c>
      <c r="C1691" t="s">
        <v>13</v>
      </c>
      <c r="D1691" t="s">
        <v>10</v>
      </c>
      <c r="E1691">
        <v>2145</v>
      </c>
      <c r="F1691">
        <v>11124</v>
      </c>
      <c r="G1691">
        <v>15</v>
      </c>
      <c r="H1691">
        <v>-8979</v>
      </c>
      <c r="I1691" s="2">
        <f>sa_retail_sales[[#This Row],[Profit]] / sa_retail_sales[[#This Row],[Revenue]]</f>
        <v>-4.186013986013986</v>
      </c>
      <c r="J1691">
        <f xml:space="preserve"> YEAR(sa_retail_sales[[#This Row],[Order Date]])</f>
        <v>2022</v>
      </c>
    </row>
    <row r="1692" spans="1:10" x14ac:dyDescent="0.3">
      <c r="A1692" s="1">
        <v>45305</v>
      </c>
      <c r="B1692" t="s">
        <v>18</v>
      </c>
      <c r="C1692" t="s">
        <v>14</v>
      </c>
      <c r="D1692" t="s">
        <v>10</v>
      </c>
      <c r="E1692">
        <v>14392</v>
      </c>
      <c r="F1692">
        <v>7312</v>
      </c>
      <c r="G1692">
        <v>20</v>
      </c>
      <c r="H1692">
        <v>7080</v>
      </c>
      <c r="I1692" s="2">
        <f>sa_retail_sales[[#This Row],[Profit]] / sa_retail_sales[[#This Row],[Revenue]]</f>
        <v>0.49193996664813783</v>
      </c>
      <c r="J1692">
        <f xml:space="preserve"> YEAR(sa_retail_sales[[#This Row],[Order Date]])</f>
        <v>2024</v>
      </c>
    </row>
    <row r="1693" spans="1:10" x14ac:dyDescent="0.3">
      <c r="A1693" s="1">
        <v>44914</v>
      </c>
      <c r="B1693" t="s">
        <v>17</v>
      </c>
      <c r="C1693" t="s">
        <v>9</v>
      </c>
      <c r="D1693" t="s">
        <v>10</v>
      </c>
      <c r="E1693">
        <v>8749</v>
      </c>
      <c r="F1693">
        <v>1165</v>
      </c>
      <c r="G1693">
        <v>20</v>
      </c>
      <c r="H1693">
        <v>7584</v>
      </c>
      <c r="I1693" s="2">
        <f>sa_retail_sales[[#This Row],[Profit]] / sa_retail_sales[[#This Row],[Revenue]]</f>
        <v>0.86684192479140476</v>
      </c>
      <c r="J1693">
        <f xml:space="preserve"> YEAR(sa_retail_sales[[#This Row],[Order Date]])</f>
        <v>2022</v>
      </c>
    </row>
    <row r="1694" spans="1:10" x14ac:dyDescent="0.3">
      <c r="A1694" s="1">
        <v>44634</v>
      </c>
      <c r="B1694" t="s">
        <v>18</v>
      </c>
      <c r="C1694" t="s">
        <v>13</v>
      </c>
      <c r="D1694" t="s">
        <v>19</v>
      </c>
      <c r="E1694">
        <v>1629</v>
      </c>
      <c r="F1694">
        <v>11473</v>
      </c>
      <c r="G1694">
        <v>10</v>
      </c>
      <c r="H1694">
        <v>-9844</v>
      </c>
      <c r="I1694" s="2">
        <f>sa_retail_sales[[#This Row],[Profit]] / sa_retail_sales[[#This Row],[Revenue]]</f>
        <v>-6.0429711479435237</v>
      </c>
      <c r="J1694">
        <f xml:space="preserve"> YEAR(sa_retail_sales[[#This Row],[Order Date]])</f>
        <v>2022</v>
      </c>
    </row>
    <row r="1695" spans="1:10" x14ac:dyDescent="0.3">
      <c r="A1695" s="1">
        <v>45209</v>
      </c>
      <c r="B1695" t="s">
        <v>11</v>
      </c>
      <c r="C1695" t="s">
        <v>14</v>
      </c>
      <c r="D1695" t="s">
        <v>15</v>
      </c>
      <c r="E1695">
        <v>1853</v>
      </c>
      <c r="F1695">
        <v>10053</v>
      </c>
      <c r="G1695">
        <v>10</v>
      </c>
      <c r="H1695">
        <v>-8200</v>
      </c>
      <c r="I1695" s="2">
        <f>sa_retail_sales[[#This Row],[Profit]] / sa_retail_sales[[#This Row],[Revenue]]</f>
        <v>-4.4252563410685379</v>
      </c>
      <c r="J1695">
        <f xml:space="preserve"> YEAR(sa_retail_sales[[#This Row],[Order Date]])</f>
        <v>2023</v>
      </c>
    </row>
    <row r="1696" spans="1:10" x14ac:dyDescent="0.3">
      <c r="A1696" s="1">
        <v>45655</v>
      </c>
      <c r="B1696" t="s">
        <v>17</v>
      </c>
      <c r="C1696" t="s">
        <v>14</v>
      </c>
      <c r="D1696" t="s">
        <v>19</v>
      </c>
      <c r="E1696">
        <v>1267</v>
      </c>
      <c r="F1696">
        <v>5629</v>
      </c>
      <c r="G1696">
        <v>20</v>
      </c>
      <c r="H1696">
        <v>-4362</v>
      </c>
      <c r="I1696" s="2">
        <f>sa_retail_sales[[#This Row],[Profit]] / sa_retail_sales[[#This Row],[Revenue]]</f>
        <v>-3.4427782162588794</v>
      </c>
      <c r="J1696">
        <f xml:space="preserve"> YEAR(sa_retail_sales[[#This Row],[Order Date]])</f>
        <v>2024</v>
      </c>
    </row>
    <row r="1697" spans="1:10" x14ac:dyDescent="0.3">
      <c r="A1697" s="1">
        <v>44986</v>
      </c>
      <c r="B1697" t="s">
        <v>11</v>
      </c>
      <c r="C1697" t="s">
        <v>9</v>
      </c>
      <c r="D1697" t="s">
        <v>19</v>
      </c>
      <c r="E1697">
        <v>4395</v>
      </c>
      <c r="F1697">
        <v>903</v>
      </c>
      <c r="G1697">
        <v>5</v>
      </c>
      <c r="H1697">
        <v>3492</v>
      </c>
      <c r="I1697" s="2">
        <f>sa_retail_sales[[#This Row],[Profit]] / sa_retail_sales[[#This Row],[Revenue]]</f>
        <v>0.79453924914675766</v>
      </c>
      <c r="J1697">
        <f xml:space="preserve"> YEAR(sa_retail_sales[[#This Row],[Order Date]])</f>
        <v>2023</v>
      </c>
    </row>
    <row r="1698" spans="1:10" x14ac:dyDescent="0.3">
      <c r="A1698" s="1">
        <v>45560</v>
      </c>
      <c r="B1698" t="s">
        <v>11</v>
      </c>
      <c r="C1698" t="s">
        <v>14</v>
      </c>
      <c r="D1698" t="s">
        <v>19</v>
      </c>
      <c r="E1698">
        <v>9374</v>
      </c>
      <c r="F1698">
        <v>6056</v>
      </c>
      <c r="G1698">
        <v>15</v>
      </c>
      <c r="H1698">
        <v>3318</v>
      </c>
      <c r="I1698" s="2">
        <f>sa_retail_sales[[#This Row],[Profit]] / sa_retail_sales[[#This Row],[Revenue]]</f>
        <v>0.35395775549391933</v>
      </c>
      <c r="J1698">
        <f xml:space="preserve"> YEAR(sa_retail_sales[[#This Row],[Order Date]])</f>
        <v>2024</v>
      </c>
    </row>
    <row r="1699" spans="1:10" x14ac:dyDescent="0.3">
      <c r="A1699" s="1">
        <v>45269</v>
      </c>
      <c r="B1699" t="s">
        <v>18</v>
      </c>
      <c r="C1699" t="s">
        <v>16</v>
      </c>
      <c r="D1699" t="s">
        <v>12</v>
      </c>
      <c r="E1699">
        <v>3954</v>
      </c>
      <c r="F1699">
        <v>11554</v>
      </c>
      <c r="G1699">
        <v>15</v>
      </c>
      <c r="H1699">
        <v>-7600</v>
      </c>
      <c r="I1699" s="2">
        <f>sa_retail_sales[[#This Row],[Profit]] / sa_retail_sales[[#This Row],[Revenue]]</f>
        <v>-1.9221041982802225</v>
      </c>
      <c r="J1699">
        <f xml:space="preserve"> YEAR(sa_retail_sales[[#This Row],[Order Date]])</f>
        <v>2023</v>
      </c>
    </row>
    <row r="1700" spans="1:10" x14ac:dyDescent="0.3">
      <c r="A1700" s="1">
        <v>45122</v>
      </c>
      <c r="B1700" t="s">
        <v>17</v>
      </c>
      <c r="C1700" t="s">
        <v>13</v>
      </c>
      <c r="D1700" t="s">
        <v>12</v>
      </c>
      <c r="E1700">
        <v>10700</v>
      </c>
      <c r="F1700">
        <v>4318</v>
      </c>
      <c r="G1700">
        <v>5</v>
      </c>
      <c r="H1700">
        <v>6382</v>
      </c>
      <c r="I1700" s="2">
        <f>sa_retail_sales[[#This Row],[Profit]] / sa_retail_sales[[#This Row],[Revenue]]</f>
        <v>0.59644859813084117</v>
      </c>
      <c r="J1700">
        <f xml:space="preserve"> YEAR(sa_retail_sales[[#This Row],[Order Date]])</f>
        <v>2023</v>
      </c>
    </row>
    <row r="1701" spans="1:10" x14ac:dyDescent="0.3">
      <c r="A1701" s="1">
        <v>45389</v>
      </c>
      <c r="B1701" t="s">
        <v>11</v>
      </c>
      <c r="C1701" t="s">
        <v>13</v>
      </c>
      <c r="D1701" t="s">
        <v>12</v>
      </c>
      <c r="E1701">
        <v>7829</v>
      </c>
      <c r="F1701">
        <v>5492</v>
      </c>
      <c r="G1701">
        <v>5</v>
      </c>
      <c r="H1701">
        <v>2337</v>
      </c>
      <c r="I1701" s="2">
        <f>sa_retail_sales[[#This Row],[Profit]] / sa_retail_sales[[#This Row],[Revenue]]</f>
        <v>0.29850555626516795</v>
      </c>
      <c r="J1701">
        <f xml:space="preserve"> YEAR(sa_retail_sales[[#This Row],[Order Date]])</f>
        <v>2024</v>
      </c>
    </row>
    <row r="1702" spans="1:10" x14ac:dyDescent="0.3">
      <c r="A1702" s="1">
        <v>45517</v>
      </c>
      <c r="B1702" t="s">
        <v>17</v>
      </c>
      <c r="C1702" t="s">
        <v>14</v>
      </c>
      <c r="D1702" t="s">
        <v>15</v>
      </c>
      <c r="E1702">
        <v>11834</v>
      </c>
      <c r="F1702">
        <v>2315</v>
      </c>
      <c r="G1702">
        <v>20</v>
      </c>
      <c r="H1702">
        <v>9519</v>
      </c>
      <c r="I1702" s="2">
        <f>sa_retail_sales[[#This Row],[Profit]] / sa_retail_sales[[#This Row],[Revenue]]</f>
        <v>0.80437721818489094</v>
      </c>
      <c r="J1702">
        <f xml:space="preserve"> YEAR(sa_retail_sales[[#This Row],[Order Date]])</f>
        <v>2024</v>
      </c>
    </row>
    <row r="1703" spans="1:10" x14ac:dyDescent="0.3">
      <c r="A1703" s="1">
        <v>45078</v>
      </c>
      <c r="B1703" t="s">
        <v>18</v>
      </c>
      <c r="C1703" t="s">
        <v>14</v>
      </c>
      <c r="D1703" t="s">
        <v>19</v>
      </c>
      <c r="E1703">
        <v>2290</v>
      </c>
      <c r="F1703">
        <v>10150</v>
      </c>
      <c r="G1703">
        <v>10</v>
      </c>
      <c r="H1703">
        <v>-7860</v>
      </c>
      <c r="I1703" s="2">
        <f>sa_retail_sales[[#This Row],[Profit]] / sa_retail_sales[[#This Row],[Revenue]]</f>
        <v>-3.4323144104803491</v>
      </c>
      <c r="J1703">
        <f xml:space="preserve"> YEAR(sa_retail_sales[[#This Row],[Order Date]])</f>
        <v>2023</v>
      </c>
    </row>
    <row r="1704" spans="1:10" x14ac:dyDescent="0.3">
      <c r="A1704" s="1">
        <v>44989</v>
      </c>
      <c r="B1704" t="s">
        <v>11</v>
      </c>
      <c r="C1704" t="s">
        <v>16</v>
      </c>
      <c r="D1704" t="s">
        <v>19</v>
      </c>
      <c r="E1704">
        <v>10169</v>
      </c>
      <c r="F1704">
        <v>3680</v>
      </c>
      <c r="G1704">
        <v>5</v>
      </c>
      <c r="H1704">
        <v>6489</v>
      </c>
      <c r="I1704" s="2">
        <f>sa_retail_sales[[#This Row],[Profit]] / sa_retail_sales[[#This Row],[Revenue]]</f>
        <v>0.6381158422657095</v>
      </c>
      <c r="J1704">
        <f xml:space="preserve"> YEAR(sa_retail_sales[[#This Row],[Order Date]])</f>
        <v>2023</v>
      </c>
    </row>
    <row r="1705" spans="1:10" x14ac:dyDescent="0.3">
      <c r="A1705" s="1">
        <v>44721</v>
      </c>
      <c r="B1705" t="s">
        <v>18</v>
      </c>
      <c r="C1705" t="s">
        <v>9</v>
      </c>
      <c r="D1705" t="s">
        <v>12</v>
      </c>
      <c r="E1705">
        <v>1385</v>
      </c>
      <c r="F1705">
        <v>4070</v>
      </c>
      <c r="G1705">
        <v>10</v>
      </c>
      <c r="H1705">
        <v>-2685</v>
      </c>
      <c r="I1705" s="2">
        <f>sa_retail_sales[[#This Row],[Profit]] / sa_retail_sales[[#This Row],[Revenue]]</f>
        <v>-1.9386281588447654</v>
      </c>
      <c r="J1705">
        <f xml:space="preserve"> YEAR(sa_retail_sales[[#This Row],[Order Date]])</f>
        <v>2022</v>
      </c>
    </row>
    <row r="1706" spans="1:10" x14ac:dyDescent="0.3">
      <c r="A1706" s="1">
        <v>44710</v>
      </c>
      <c r="B1706" t="s">
        <v>17</v>
      </c>
      <c r="C1706" t="s">
        <v>14</v>
      </c>
      <c r="D1706" t="s">
        <v>19</v>
      </c>
      <c r="E1706">
        <v>8234</v>
      </c>
      <c r="F1706">
        <v>6129</v>
      </c>
      <c r="G1706">
        <v>0</v>
      </c>
      <c r="H1706">
        <v>2105</v>
      </c>
      <c r="I1706" s="2">
        <f>sa_retail_sales[[#This Row],[Profit]] / sa_retail_sales[[#This Row],[Revenue]]</f>
        <v>0.25564731600680107</v>
      </c>
      <c r="J1706">
        <f xml:space="preserve"> YEAR(sa_retail_sales[[#This Row],[Order Date]])</f>
        <v>2022</v>
      </c>
    </row>
    <row r="1707" spans="1:10" x14ac:dyDescent="0.3">
      <c r="A1707" s="1">
        <v>45337</v>
      </c>
      <c r="B1707" t="s">
        <v>17</v>
      </c>
      <c r="C1707" t="s">
        <v>14</v>
      </c>
      <c r="D1707" t="s">
        <v>19</v>
      </c>
      <c r="E1707">
        <v>4406</v>
      </c>
      <c r="F1707">
        <v>1913</v>
      </c>
      <c r="G1707">
        <v>15</v>
      </c>
      <c r="H1707">
        <v>2493</v>
      </c>
      <c r="I1707" s="2">
        <f>sa_retail_sales[[#This Row],[Profit]] / sa_retail_sales[[#This Row],[Revenue]]</f>
        <v>0.56581933726736267</v>
      </c>
      <c r="J1707">
        <f xml:space="preserve"> YEAR(sa_retail_sales[[#This Row],[Order Date]])</f>
        <v>2024</v>
      </c>
    </row>
    <row r="1708" spans="1:10" x14ac:dyDescent="0.3">
      <c r="A1708" s="1">
        <v>44628</v>
      </c>
      <c r="B1708" t="s">
        <v>18</v>
      </c>
      <c r="C1708" t="s">
        <v>14</v>
      </c>
      <c r="D1708" t="s">
        <v>10</v>
      </c>
      <c r="E1708">
        <v>4992</v>
      </c>
      <c r="F1708">
        <v>2179</v>
      </c>
      <c r="G1708">
        <v>20</v>
      </c>
      <c r="H1708">
        <v>2813</v>
      </c>
      <c r="I1708" s="2">
        <f>sa_retail_sales[[#This Row],[Profit]] / sa_retail_sales[[#This Row],[Revenue]]</f>
        <v>0.56350160256410253</v>
      </c>
      <c r="J1708">
        <f xml:space="preserve"> YEAR(sa_retail_sales[[#This Row],[Order Date]])</f>
        <v>2022</v>
      </c>
    </row>
    <row r="1709" spans="1:10" x14ac:dyDescent="0.3">
      <c r="A1709" s="1">
        <v>45575</v>
      </c>
      <c r="B1709" t="s">
        <v>8</v>
      </c>
      <c r="C1709" t="s">
        <v>14</v>
      </c>
      <c r="D1709" t="s">
        <v>19</v>
      </c>
      <c r="E1709">
        <v>10230</v>
      </c>
      <c r="F1709">
        <v>5672</v>
      </c>
      <c r="G1709">
        <v>15</v>
      </c>
      <c r="H1709">
        <v>4558</v>
      </c>
      <c r="I1709" s="2">
        <f>sa_retail_sales[[#This Row],[Profit]] / sa_retail_sales[[#This Row],[Revenue]]</f>
        <v>0.44555229716520039</v>
      </c>
      <c r="J1709">
        <f xml:space="preserve"> YEAR(sa_retail_sales[[#This Row],[Order Date]])</f>
        <v>2024</v>
      </c>
    </row>
    <row r="1710" spans="1:10" x14ac:dyDescent="0.3">
      <c r="A1710" s="1">
        <v>44942</v>
      </c>
      <c r="B1710" t="s">
        <v>11</v>
      </c>
      <c r="C1710" t="s">
        <v>13</v>
      </c>
      <c r="D1710" t="s">
        <v>10</v>
      </c>
      <c r="E1710">
        <v>2573</v>
      </c>
      <c r="F1710">
        <v>4408</v>
      </c>
      <c r="G1710">
        <v>20</v>
      </c>
      <c r="H1710">
        <v>-1835</v>
      </c>
      <c r="I1710" s="2">
        <f>sa_retail_sales[[#This Row],[Profit]] / sa_retail_sales[[#This Row],[Revenue]]</f>
        <v>-0.71317528177225031</v>
      </c>
      <c r="J1710">
        <f xml:space="preserve"> YEAR(sa_retail_sales[[#This Row],[Order Date]])</f>
        <v>2023</v>
      </c>
    </row>
    <row r="1711" spans="1:10" x14ac:dyDescent="0.3">
      <c r="A1711" s="1">
        <v>44619</v>
      </c>
      <c r="B1711" t="s">
        <v>17</v>
      </c>
      <c r="C1711" t="s">
        <v>14</v>
      </c>
      <c r="D1711" t="s">
        <v>19</v>
      </c>
      <c r="E1711">
        <v>812</v>
      </c>
      <c r="F1711">
        <v>10838</v>
      </c>
      <c r="G1711">
        <v>0</v>
      </c>
      <c r="H1711">
        <v>-10026</v>
      </c>
      <c r="I1711" s="2">
        <f>sa_retail_sales[[#This Row],[Profit]] / sa_retail_sales[[#This Row],[Revenue]]</f>
        <v>-12.347290640394089</v>
      </c>
      <c r="J1711">
        <f xml:space="preserve"> YEAR(sa_retail_sales[[#This Row],[Order Date]])</f>
        <v>2022</v>
      </c>
    </row>
    <row r="1712" spans="1:10" x14ac:dyDescent="0.3">
      <c r="A1712" s="1">
        <v>44903</v>
      </c>
      <c r="B1712" t="s">
        <v>17</v>
      </c>
      <c r="C1712" t="s">
        <v>13</v>
      </c>
      <c r="D1712" t="s">
        <v>15</v>
      </c>
      <c r="E1712">
        <v>6769</v>
      </c>
      <c r="F1712">
        <v>9591</v>
      </c>
      <c r="G1712">
        <v>15</v>
      </c>
      <c r="H1712">
        <v>-2822</v>
      </c>
      <c r="I1712" s="2">
        <f>sa_retail_sales[[#This Row],[Profit]] / sa_retail_sales[[#This Row],[Revenue]]</f>
        <v>-0.41690057615600534</v>
      </c>
      <c r="J1712">
        <f xml:space="preserve"> YEAR(sa_retail_sales[[#This Row],[Order Date]])</f>
        <v>2022</v>
      </c>
    </row>
    <row r="1713" spans="1:10" x14ac:dyDescent="0.3">
      <c r="A1713" s="1">
        <v>45288</v>
      </c>
      <c r="B1713" t="s">
        <v>11</v>
      </c>
      <c r="C1713" t="s">
        <v>14</v>
      </c>
      <c r="D1713" t="s">
        <v>12</v>
      </c>
      <c r="E1713">
        <v>14376</v>
      </c>
      <c r="F1713">
        <v>9566</v>
      </c>
      <c r="G1713">
        <v>0</v>
      </c>
      <c r="H1713">
        <v>4810</v>
      </c>
      <c r="I1713" s="2">
        <f>sa_retail_sales[[#This Row],[Profit]] / sa_retail_sales[[#This Row],[Revenue]]</f>
        <v>0.33458542014468556</v>
      </c>
      <c r="J1713">
        <f xml:space="preserve"> YEAR(sa_retail_sales[[#This Row],[Order Date]])</f>
        <v>2023</v>
      </c>
    </row>
    <row r="1714" spans="1:10" x14ac:dyDescent="0.3">
      <c r="A1714" s="1">
        <v>45331</v>
      </c>
      <c r="B1714" t="s">
        <v>18</v>
      </c>
      <c r="C1714" t="s">
        <v>9</v>
      </c>
      <c r="D1714" t="s">
        <v>10</v>
      </c>
      <c r="E1714">
        <v>5817</v>
      </c>
      <c r="F1714">
        <v>9278</v>
      </c>
      <c r="G1714">
        <v>20</v>
      </c>
      <c r="H1714">
        <v>-3461</v>
      </c>
      <c r="I1714" s="2">
        <f>sa_retail_sales[[#This Row],[Profit]] / sa_retail_sales[[#This Row],[Revenue]]</f>
        <v>-0.59498023035929171</v>
      </c>
      <c r="J1714">
        <f xml:space="preserve"> YEAR(sa_retail_sales[[#This Row],[Order Date]])</f>
        <v>2024</v>
      </c>
    </row>
    <row r="1715" spans="1:10" x14ac:dyDescent="0.3">
      <c r="A1715" s="1">
        <v>45175</v>
      </c>
      <c r="B1715" t="s">
        <v>18</v>
      </c>
      <c r="C1715" t="s">
        <v>16</v>
      </c>
      <c r="D1715" t="s">
        <v>12</v>
      </c>
      <c r="E1715">
        <v>1310</v>
      </c>
      <c r="F1715">
        <v>448</v>
      </c>
      <c r="G1715">
        <v>5</v>
      </c>
      <c r="H1715">
        <v>862</v>
      </c>
      <c r="I1715" s="2">
        <f>sa_retail_sales[[#This Row],[Profit]] / sa_retail_sales[[#This Row],[Revenue]]</f>
        <v>0.65801526717557257</v>
      </c>
      <c r="J1715">
        <f xml:space="preserve"> YEAR(sa_retail_sales[[#This Row],[Order Date]])</f>
        <v>2023</v>
      </c>
    </row>
    <row r="1716" spans="1:10" x14ac:dyDescent="0.3">
      <c r="A1716" s="1">
        <v>44915</v>
      </c>
      <c r="B1716" t="s">
        <v>18</v>
      </c>
      <c r="C1716" t="s">
        <v>9</v>
      </c>
      <c r="D1716" t="s">
        <v>10</v>
      </c>
      <c r="E1716">
        <v>10927</v>
      </c>
      <c r="F1716">
        <v>2054</v>
      </c>
      <c r="G1716">
        <v>15</v>
      </c>
      <c r="H1716">
        <v>8873</v>
      </c>
      <c r="I1716" s="2">
        <f>sa_retail_sales[[#This Row],[Profit]] / sa_retail_sales[[#This Row],[Revenue]]</f>
        <v>0.81202525853390684</v>
      </c>
      <c r="J1716">
        <f xml:space="preserve"> YEAR(sa_retail_sales[[#This Row],[Order Date]])</f>
        <v>2022</v>
      </c>
    </row>
    <row r="1717" spans="1:10" x14ac:dyDescent="0.3">
      <c r="A1717" s="1">
        <v>44677</v>
      </c>
      <c r="B1717" t="s">
        <v>8</v>
      </c>
      <c r="C1717" t="s">
        <v>14</v>
      </c>
      <c r="D1717" t="s">
        <v>10</v>
      </c>
      <c r="E1717">
        <v>7341</v>
      </c>
      <c r="F1717">
        <v>10661</v>
      </c>
      <c r="G1717">
        <v>0</v>
      </c>
      <c r="H1717">
        <v>-3320</v>
      </c>
      <c r="I1717" s="2">
        <f>sa_retail_sales[[#This Row],[Profit]] / sa_retail_sales[[#This Row],[Revenue]]</f>
        <v>-0.45225446124506197</v>
      </c>
      <c r="J1717">
        <f xml:space="preserve"> YEAR(sa_retail_sales[[#This Row],[Order Date]])</f>
        <v>2022</v>
      </c>
    </row>
    <row r="1718" spans="1:10" x14ac:dyDescent="0.3">
      <c r="A1718" s="1">
        <v>45223</v>
      </c>
      <c r="B1718" t="s">
        <v>8</v>
      </c>
      <c r="C1718" t="s">
        <v>14</v>
      </c>
      <c r="D1718" t="s">
        <v>10</v>
      </c>
      <c r="E1718">
        <v>11549</v>
      </c>
      <c r="F1718">
        <v>7678</v>
      </c>
      <c r="G1718">
        <v>15</v>
      </c>
      <c r="H1718">
        <v>3871</v>
      </c>
      <c r="I1718" s="2">
        <f>sa_retail_sales[[#This Row],[Profit]] / sa_retail_sales[[#This Row],[Revenue]]</f>
        <v>0.33518053511126505</v>
      </c>
      <c r="J1718">
        <f xml:space="preserve"> YEAR(sa_retail_sales[[#This Row],[Order Date]])</f>
        <v>2023</v>
      </c>
    </row>
    <row r="1719" spans="1:10" x14ac:dyDescent="0.3">
      <c r="A1719" s="1">
        <v>45014</v>
      </c>
      <c r="B1719" t="s">
        <v>17</v>
      </c>
      <c r="C1719" t="s">
        <v>14</v>
      </c>
      <c r="D1719" t="s">
        <v>15</v>
      </c>
      <c r="E1719">
        <v>11455</v>
      </c>
      <c r="F1719">
        <v>6981</v>
      </c>
      <c r="G1719">
        <v>15</v>
      </c>
      <c r="H1719">
        <v>4474</v>
      </c>
      <c r="I1719" s="2">
        <f>sa_retail_sales[[#This Row],[Profit]] / sa_retail_sales[[#This Row],[Revenue]]</f>
        <v>0.39057180270624181</v>
      </c>
      <c r="J1719">
        <f xml:space="preserve"> YEAR(sa_retail_sales[[#This Row],[Order Date]])</f>
        <v>2023</v>
      </c>
    </row>
    <row r="1720" spans="1:10" x14ac:dyDescent="0.3">
      <c r="A1720" s="1">
        <v>44848</v>
      </c>
      <c r="B1720" t="s">
        <v>18</v>
      </c>
      <c r="C1720" t="s">
        <v>9</v>
      </c>
      <c r="D1720" t="s">
        <v>19</v>
      </c>
      <c r="E1720">
        <v>2532</v>
      </c>
      <c r="F1720">
        <v>4056</v>
      </c>
      <c r="G1720">
        <v>15</v>
      </c>
      <c r="H1720">
        <v>-1524</v>
      </c>
      <c r="I1720" s="2">
        <f>sa_retail_sales[[#This Row],[Profit]] / sa_retail_sales[[#This Row],[Revenue]]</f>
        <v>-0.6018957345971564</v>
      </c>
      <c r="J1720">
        <f xml:space="preserve"> YEAR(sa_retail_sales[[#This Row],[Order Date]])</f>
        <v>2022</v>
      </c>
    </row>
    <row r="1721" spans="1:10" x14ac:dyDescent="0.3">
      <c r="A1721" s="1">
        <v>45578</v>
      </c>
      <c r="B1721" t="s">
        <v>11</v>
      </c>
      <c r="C1721" t="s">
        <v>14</v>
      </c>
      <c r="D1721" t="s">
        <v>10</v>
      </c>
      <c r="E1721">
        <v>10199</v>
      </c>
      <c r="F1721">
        <v>9671</v>
      </c>
      <c r="G1721">
        <v>10</v>
      </c>
      <c r="H1721">
        <v>528</v>
      </c>
      <c r="I1721" s="2">
        <f>sa_retail_sales[[#This Row],[Profit]] / sa_retail_sales[[#This Row],[Revenue]]</f>
        <v>5.1769781351112855E-2</v>
      </c>
      <c r="J1721">
        <f xml:space="preserve"> YEAR(sa_retail_sales[[#This Row],[Order Date]])</f>
        <v>2024</v>
      </c>
    </row>
    <row r="1722" spans="1:10" x14ac:dyDescent="0.3">
      <c r="A1722" s="1">
        <v>44872</v>
      </c>
      <c r="B1722" t="s">
        <v>17</v>
      </c>
      <c r="C1722" t="s">
        <v>9</v>
      </c>
      <c r="D1722" t="s">
        <v>15</v>
      </c>
      <c r="E1722">
        <v>13237</v>
      </c>
      <c r="F1722">
        <v>11801</v>
      </c>
      <c r="G1722">
        <v>0</v>
      </c>
      <c r="H1722">
        <v>1436</v>
      </c>
      <c r="I1722" s="2">
        <f>sa_retail_sales[[#This Row],[Profit]] / sa_retail_sales[[#This Row],[Revenue]]</f>
        <v>0.10848379542192339</v>
      </c>
      <c r="J1722">
        <f xml:space="preserve"> YEAR(sa_retail_sales[[#This Row],[Order Date]])</f>
        <v>2022</v>
      </c>
    </row>
    <row r="1723" spans="1:10" x14ac:dyDescent="0.3">
      <c r="A1723" s="1">
        <v>44769</v>
      </c>
      <c r="B1723" t="s">
        <v>11</v>
      </c>
      <c r="C1723" t="s">
        <v>13</v>
      </c>
      <c r="D1723" t="s">
        <v>10</v>
      </c>
      <c r="E1723">
        <v>11262</v>
      </c>
      <c r="F1723">
        <v>10915</v>
      </c>
      <c r="G1723">
        <v>0</v>
      </c>
      <c r="H1723">
        <v>347</v>
      </c>
      <c r="I1723" s="2">
        <f>sa_retail_sales[[#This Row],[Profit]] / sa_retail_sales[[#This Row],[Revenue]]</f>
        <v>3.0811578760433316E-2</v>
      </c>
      <c r="J1723">
        <f xml:space="preserve"> YEAR(sa_retail_sales[[#This Row],[Order Date]])</f>
        <v>2022</v>
      </c>
    </row>
    <row r="1724" spans="1:10" x14ac:dyDescent="0.3">
      <c r="A1724" s="1">
        <v>45179</v>
      </c>
      <c r="B1724" t="s">
        <v>17</v>
      </c>
      <c r="C1724" t="s">
        <v>16</v>
      </c>
      <c r="D1724" t="s">
        <v>19</v>
      </c>
      <c r="E1724">
        <v>10586</v>
      </c>
      <c r="F1724">
        <v>9416</v>
      </c>
      <c r="G1724">
        <v>15</v>
      </c>
      <c r="H1724">
        <v>1170</v>
      </c>
      <c r="I1724" s="2">
        <f>sa_retail_sales[[#This Row],[Profit]] / sa_retail_sales[[#This Row],[Revenue]]</f>
        <v>0.11052333270357076</v>
      </c>
      <c r="J1724">
        <f xml:space="preserve"> YEAR(sa_retail_sales[[#This Row],[Order Date]])</f>
        <v>2023</v>
      </c>
    </row>
    <row r="1725" spans="1:10" x14ac:dyDescent="0.3">
      <c r="A1725" s="1">
        <v>45007</v>
      </c>
      <c r="B1725" t="s">
        <v>8</v>
      </c>
      <c r="C1725" t="s">
        <v>16</v>
      </c>
      <c r="D1725" t="s">
        <v>10</v>
      </c>
      <c r="E1725">
        <v>14165</v>
      </c>
      <c r="F1725">
        <v>5692</v>
      </c>
      <c r="G1725">
        <v>5</v>
      </c>
      <c r="H1725">
        <v>8473</v>
      </c>
      <c r="I1725" s="2">
        <f>sa_retail_sales[[#This Row],[Profit]] / sa_retail_sales[[#This Row],[Revenue]]</f>
        <v>0.59816448993999294</v>
      </c>
      <c r="J1725">
        <f xml:space="preserve"> YEAR(sa_retail_sales[[#This Row],[Order Date]])</f>
        <v>2023</v>
      </c>
    </row>
    <row r="1726" spans="1:10" x14ac:dyDescent="0.3">
      <c r="A1726" s="1">
        <v>45231</v>
      </c>
      <c r="B1726" t="s">
        <v>17</v>
      </c>
      <c r="C1726" t="s">
        <v>9</v>
      </c>
      <c r="D1726" t="s">
        <v>15</v>
      </c>
      <c r="E1726">
        <v>7629</v>
      </c>
      <c r="F1726">
        <v>10095</v>
      </c>
      <c r="G1726">
        <v>15</v>
      </c>
      <c r="H1726">
        <v>-2466</v>
      </c>
      <c r="I1726" s="2">
        <f>sa_retail_sales[[#This Row],[Profit]] / sa_retail_sales[[#This Row],[Revenue]]</f>
        <v>-0.32324026740070783</v>
      </c>
      <c r="J1726">
        <f xml:space="preserve"> YEAR(sa_retail_sales[[#This Row],[Order Date]])</f>
        <v>2023</v>
      </c>
    </row>
    <row r="1727" spans="1:10" x14ac:dyDescent="0.3">
      <c r="A1727" s="1">
        <v>45194</v>
      </c>
      <c r="B1727" t="s">
        <v>8</v>
      </c>
      <c r="C1727" t="s">
        <v>13</v>
      </c>
      <c r="D1727" t="s">
        <v>19</v>
      </c>
      <c r="E1727">
        <v>3205</v>
      </c>
      <c r="F1727">
        <v>3352</v>
      </c>
      <c r="G1727">
        <v>10</v>
      </c>
      <c r="H1727">
        <v>-147</v>
      </c>
      <c r="I1727" s="2">
        <f>sa_retail_sales[[#This Row],[Profit]] / sa_retail_sales[[#This Row],[Revenue]]</f>
        <v>-4.5865834633385338E-2</v>
      </c>
      <c r="J1727">
        <f xml:space="preserve"> YEAR(sa_retail_sales[[#This Row],[Order Date]])</f>
        <v>2023</v>
      </c>
    </row>
    <row r="1728" spans="1:10" x14ac:dyDescent="0.3">
      <c r="A1728" s="1">
        <v>44616</v>
      </c>
      <c r="B1728" t="s">
        <v>17</v>
      </c>
      <c r="C1728" t="s">
        <v>9</v>
      </c>
      <c r="D1728" t="s">
        <v>15</v>
      </c>
      <c r="E1728">
        <v>9288</v>
      </c>
      <c r="F1728">
        <v>5992</v>
      </c>
      <c r="G1728">
        <v>20</v>
      </c>
      <c r="H1728">
        <v>3296</v>
      </c>
      <c r="I1728" s="2">
        <f>sa_retail_sales[[#This Row],[Profit]] / sa_retail_sales[[#This Row],[Revenue]]</f>
        <v>0.35486649440137813</v>
      </c>
      <c r="J1728">
        <f xml:space="preserve"> YEAR(sa_retail_sales[[#This Row],[Order Date]])</f>
        <v>2022</v>
      </c>
    </row>
    <row r="1729" spans="1:10" x14ac:dyDescent="0.3">
      <c r="A1729" s="1">
        <v>45473</v>
      </c>
      <c r="B1729" t="s">
        <v>18</v>
      </c>
      <c r="C1729" t="s">
        <v>13</v>
      </c>
      <c r="D1729" t="s">
        <v>19</v>
      </c>
      <c r="E1729">
        <v>2647</v>
      </c>
      <c r="F1729">
        <v>4518</v>
      </c>
      <c r="G1729">
        <v>10</v>
      </c>
      <c r="H1729">
        <v>-1871</v>
      </c>
      <c r="I1729" s="2">
        <f>sa_retail_sales[[#This Row],[Profit]] / sa_retail_sales[[#This Row],[Revenue]]</f>
        <v>-0.70683792973177184</v>
      </c>
      <c r="J1729">
        <f xml:space="preserve"> YEAR(sa_retail_sales[[#This Row],[Order Date]])</f>
        <v>2024</v>
      </c>
    </row>
    <row r="1730" spans="1:10" x14ac:dyDescent="0.3">
      <c r="A1730" s="1">
        <v>45597</v>
      </c>
      <c r="B1730" t="s">
        <v>11</v>
      </c>
      <c r="C1730" t="s">
        <v>14</v>
      </c>
      <c r="D1730" t="s">
        <v>19</v>
      </c>
      <c r="E1730">
        <v>1115</v>
      </c>
      <c r="F1730">
        <v>5103</v>
      </c>
      <c r="G1730">
        <v>5</v>
      </c>
      <c r="H1730">
        <v>-3988</v>
      </c>
      <c r="I1730" s="2">
        <f>sa_retail_sales[[#This Row],[Profit]] / sa_retail_sales[[#This Row],[Revenue]]</f>
        <v>-3.5766816143497757</v>
      </c>
      <c r="J1730">
        <f xml:space="preserve"> YEAR(sa_retail_sales[[#This Row],[Order Date]])</f>
        <v>2024</v>
      </c>
    </row>
    <row r="1731" spans="1:10" x14ac:dyDescent="0.3">
      <c r="A1731" s="1">
        <v>45218</v>
      </c>
      <c r="B1731" t="s">
        <v>18</v>
      </c>
      <c r="C1731" t="s">
        <v>13</v>
      </c>
      <c r="D1731" t="s">
        <v>12</v>
      </c>
      <c r="E1731">
        <v>1447</v>
      </c>
      <c r="F1731">
        <v>2677</v>
      </c>
      <c r="G1731">
        <v>15</v>
      </c>
      <c r="H1731">
        <v>-1230</v>
      </c>
      <c r="I1731" s="2">
        <f>sa_retail_sales[[#This Row],[Profit]] / sa_retail_sales[[#This Row],[Revenue]]</f>
        <v>-0.85003455425017282</v>
      </c>
      <c r="J1731">
        <f xml:space="preserve"> YEAR(sa_retail_sales[[#This Row],[Order Date]])</f>
        <v>2023</v>
      </c>
    </row>
    <row r="1732" spans="1:10" x14ac:dyDescent="0.3">
      <c r="A1732" s="1">
        <v>45541</v>
      </c>
      <c r="B1732" t="s">
        <v>17</v>
      </c>
      <c r="C1732" t="s">
        <v>13</v>
      </c>
      <c r="D1732" t="s">
        <v>12</v>
      </c>
      <c r="E1732">
        <v>6177</v>
      </c>
      <c r="F1732">
        <v>11972</v>
      </c>
      <c r="G1732">
        <v>0</v>
      </c>
      <c r="H1732">
        <v>-5795</v>
      </c>
      <c r="I1732" s="2">
        <f>sa_retail_sales[[#This Row],[Profit]] / sa_retail_sales[[#This Row],[Revenue]]</f>
        <v>-0.93815768172251901</v>
      </c>
      <c r="J1732">
        <f xml:space="preserve"> YEAR(sa_retail_sales[[#This Row],[Order Date]])</f>
        <v>2024</v>
      </c>
    </row>
    <row r="1733" spans="1:10" x14ac:dyDescent="0.3">
      <c r="A1733" s="1">
        <v>45076</v>
      </c>
      <c r="B1733" t="s">
        <v>17</v>
      </c>
      <c r="C1733" t="s">
        <v>13</v>
      </c>
      <c r="D1733" t="s">
        <v>12</v>
      </c>
      <c r="E1733">
        <v>5151</v>
      </c>
      <c r="F1733">
        <v>5386</v>
      </c>
      <c r="G1733">
        <v>15</v>
      </c>
      <c r="H1733">
        <v>-235</v>
      </c>
      <c r="I1733" s="2">
        <f>sa_retail_sales[[#This Row],[Profit]] / sa_retail_sales[[#This Row],[Revenue]]</f>
        <v>-4.5622209279751504E-2</v>
      </c>
      <c r="J1733">
        <f xml:space="preserve"> YEAR(sa_retail_sales[[#This Row],[Order Date]])</f>
        <v>2023</v>
      </c>
    </row>
    <row r="1734" spans="1:10" x14ac:dyDescent="0.3">
      <c r="A1734" s="1">
        <v>44798</v>
      </c>
      <c r="B1734" t="s">
        <v>17</v>
      </c>
      <c r="C1734" t="s">
        <v>16</v>
      </c>
      <c r="D1734" t="s">
        <v>19</v>
      </c>
      <c r="E1734">
        <v>13065</v>
      </c>
      <c r="F1734">
        <v>3482</v>
      </c>
      <c r="G1734">
        <v>5</v>
      </c>
      <c r="H1734">
        <v>9583</v>
      </c>
      <c r="I1734" s="2">
        <f>sa_retail_sales[[#This Row],[Profit]] / sa_retail_sales[[#This Row],[Revenue]]</f>
        <v>0.73348641408342896</v>
      </c>
      <c r="J1734">
        <f xml:space="preserve"> YEAR(sa_retail_sales[[#This Row],[Order Date]])</f>
        <v>2022</v>
      </c>
    </row>
    <row r="1735" spans="1:10" x14ac:dyDescent="0.3">
      <c r="A1735" s="1">
        <v>44909</v>
      </c>
      <c r="B1735" t="s">
        <v>8</v>
      </c>
      <c r="C1735" t="s">
        <v>13</v>
      </c>
      <c r="D1735" t="s">
        <v>10</v>
      </c>
      <c r="E1735">
        <v>12456</v>
      </c>
      <c r="F1735">
        <v>11309</v>
      </c>
      <c r="G1735">
        <v>0</v>
      </c>
      <c r="H1735">
        <v>1147</v>
      </c>
      <c r="I1735" s="2">
        <f>sa_retail_sales[[#This Row],[Profit]] / sa_retail_sales[[#This Row],[Revenue]]</f>
        <v>9.2084136159280669E-2</v>
      </c>
      <c r="J1735">
        <f xml:space="preserve"> YEAR(sa_retail_sales[[#This Row],[Order Date]])</f>
        <v>2022</v>
      </c>
    </row>
    <row r="1736" spans="1:10" x14ac:dyDescent="0.3">
      <c r="A1736" s="1">
        <v>45188</v>
      </c>
      <c r="B1736" t="s">
        <v>11</v>
      </c>
      <c r="C1736" t="s">
        <v>14</v>
      </c>
      <c r="D1736" t="s">
        <v>15</v>
      </c>
      <c r="E1736">
        <v>8366</v>
      </c>
      <c r="F1736">
        <v>3460</v>
      </c>
      <c r="G1736">
        <v>10</v>
      </c>
      <c r="H1736">
        <v>4906</v>
      </c>
      <c r="I1736" s="2">
        <f>sa_retail_sales[[#This Row],[Profit]] / sa_retail_sales[[#This Row],[Revenue]]</f>
        <v>0.58642122878316993</v>
      </c>
      <c r="J1736">
        <f xml:space="preserve"> YEAR(sa_retail_sales[[#This Row],[Order Date]])</f>
        <v>2023</v>
      </c>
    </row>
    <row r="1737" spans="1:10" x14ac:dyDescent="0.3">
      <c r="A1737" s="1">
        <v>45191</v>
      </c>
      <c r="B1737" t="s">
        <v>11</v>
      </c>
      <c r="C1737" t="s">
        <v>14</v>
      </c>
      <c r="D1737" t="s">
        <v>15</v>
      </c>
      <c r="E1737">
        <v>2513</v>
      </c>
      <c r="F1737">
        <v>6876</v>
      </c>
      <c r="G1737">
        <v>20</v>
      </c>
      <c r="H1737">
        <v>-4363</v>
      </c>
      <c r="I1737" s="2">
        <f>sa_retail_sales[[#This Row],[Profit]] / sa_retail_sales[[#This Row],[Revenue]]</f>
        <v>-1.7361719060883407</v>
      </c>
      <c r="J1737">
        <f xml:space="preserve"> YEAR(sa_retail_sales[[#This Row],[Order Date]])</f>
        <v>2023</v>
      </c>
    </row>
    <row r="1738" spans="1:10" x14ac:dyDescent="0.3">
      <c r="A1738" s="1">
        <v>44925</v>
      </c>
      <c r="B1738" t="s">
        <v>17</v>
      </c>
      <c r="C1738" t="s">
        <v>14</v>
      </c>
      <c r="D1738" t="s">
        <v>15</v>
      </c>
      <c r="E1738">
        <v>4197</v>
      </c>
      <c r="F1738">
        <v>9203</v>
      </c>
      <c r="G1738">
        <v>20</v>
      </c>
      <c r="H1738">
        <v>-5006</v>
      </c>
      <c r="I1738" s="2">
        <f>sa_retail_sales[[#This Row],[Profit]] / sa_retail_sales[[#This Row],[Revenue]]</f>
        <v>-1.1927567309983322</v>
      </c>
      <c r="J1738">
        <f xml:space="preserve"> YEAR(sa_retail_sales[[#This Row],[Order Date]])</f>
        <v>2022</v>
      </c>
    </row>
    <row r="1739" spans="1:10" x14ac:dyDescent="0.3">
      <c r="A1739" s="1">
        <v>44882</v>
      </c>
      <c r="B1739" t="s">
        <v>17</v>
      </c>
      <c r="C1739" t="s">
        <v>13</v>
      </c>
      <c r="D1739" t="s">
        <v>12</v>
      </c>
      <c r="E1739">
        <v>990</v>
      </c>
      <c r="F1739">
        <v>2886</v>
      </c>
      <c r="G1739">
        <v>15</v>
      </c>
      <c r="H1739">
        <v>-1896</v>
      </c>
      <c r="I1739" s="2">
        <f>sa_retail_sales[[#This Row],[Profit]] / sa_retail_sales[[#This Row],[Revenue]]</f>
        <v>-1.915151515151515</v>
      </c>
      <c r="J1739">
        <f xml:space="preserve"> YEAR(sa_retail_sales[[#This Row],[Order Date]])</f>
        <v>2022</v>
      </c>
    </row>
    <row r="1740" spans="1:10" x14ac:dyDescent="0.3">
      <c r="A1740" s="1">
        <v>44847</v>
      </c>
      <c r="B1740" t="s">
        <v>8</v>
      </c>
      <c r="C1740" t="s">
        <v>9</v>
      </c>
      <c r="D1740" t="s">
        <v>19</v>
      </c>
      <c r="E1740">
        <v>4850</v>
      </c>
      <c r="F1740">
        <v>2948</v>
      </c>
      <c r="G1740">
        <v>10</v>
      </c>
      <c r="H1740">
        <v>1902</v>
      </c>
      <c r="I1740" s="2">
        <f>sa_retail_sales[[#This Row],[Profit]] / sa_retail_sales[[#This Row],[Revenue]]</f>
        <v>0.39216494845360822</v>
      </c>
      <c r="J1740">
        <f xml:space="preserve"> YEAR(sa_retail_sales[[#This Row],[Order Date]])</f>
        <v>2022</v>
      </c>
    </row>
    <row r="1741" spans="1:10" x14ac:dyDescent="0.3">
      <c r="A1741" s="1">
        <v>44710</v>
      </c>
      <c r="B1741" t="s">
        <v>18</v>
      </c>
      <c r="C1741" t="s">
        <v>9</v>
      </c>
      <c r="D1741" t="s">
        <v>12</v>
      </c>
      <c r="E1741">
        <v>2928</v>
      </c>
      <c r="F1741">
        <v>7613</v>
      </c>
      <c r="G1741">
        <v>5</v>
      </c>
      <c r="H1741">
        <v>-4685</v>
      </c>
      <c r="I1741" s="2">
        <f>sa_retail_sales[[#This Row],[Profit]] / sa_retail_sales[[#This Row],[Revenue]]</f>
        <v>-1.6000683060109289</v>
      </c>
      <c r="J1741">
        <f xml:space="preserve"> YEAR(sa_retail_sales[[#This Row],[Order Date]])</f>
        <v>2022</v>
      </c>
    </row>
    <row r="1742" spans="1:10" x14ac:dyDescent="0.3">
      <c r="A1742" s="1">
        <v>44967</v>
      </c>
      <c r="B1742" t="s">
        <v>18</v>
      </c>
      <c r="C1742" t="s">
        <v>14</v>
      </c>
      <c r="D1742" t="s">
        <v>10</v>
      </c>
      <c r="E1742">
        <v>5487</v>
      </c>
      <c r="F1742">
        <v>2017</v>
      </c>
      <c r="G1742">
        <v>20</v>
      </c>
      <c r="H1742">
        <v>3470</v>
      </c>
      <c r="I1742" s="2">
        <f>sa_retail_sales[[#This Row],[Profit]] / sa_retail_sales[[#This Row],[Revenue]]</f>
        <v>0.6324038636777839</v>
      </c>
      <c r="J1742">
        <f xml:space="preserve"> YEAR(sa_retail_sales[[#This Row],[Order Date]])</f>
        <v>2023</v>
      </c>
    </row>
    <row r="1743" spans="1:10" x14ac:dyDescent="0.3">
      <c r="A1743" s="1">
        <v>45539</v>
      </c>
      <c r="B1743" t="s">
        <v>11</v>
      </c>
      <c r="C1743" t="s">
        <v>16</v>
      </c>
      <c r="D1743" t="s">
        <v>19</v>
      </c>
      <c r="E1743">
        <v>9233</v>
      </c>
      <c r="F1743">
        <v>5608</v>
      </c>
      <c r="G1743">
        <v>10</v>
      </c>
      <c r="H1743">
        <v>3625</v>
      </c>
      <c r="I1743" s="2">
        <f>sa_retail_sales[[#This Row],[Profit]] / sa_retail_sales[[#This Row],[Revenue]]</f>
        <v>0.39261345174916062</v>
      </c>
      <c r="J1743">
        <f xml:space="preserve"> YEAR(sa_retail_sales[[#This Row],[Order Date]])</f>
        <v>2024</v>
      </c>
    </row>
    <row r="1744" spans="1:10" x14ac:dyDescent="0.3">
      <c r="A1744" s="1">
        <v>45017</v>
      </c>
      <c r="B1744" t="s">
        <v>8</v>
      </c>
      <c r="C1744" t="s">
        <v>9</v>
      </c>
      <c r="D1744" t="s">
        <v>15</v>
      </c>
      <c r="E1744">
        <v>9979</v>
      </c>
      <c r="F1744">
        <v>7707</v>
      </c>
      <c r="G1744">
        <v>15</v>
      </c>
      <c r="H1744">
        <v>2272</v>
      </c>
      <c r="I1744" s="2">
        <f>sa_retail_sales[[#This Row],[Profit]] / sa_retail_sales[[#This Row],[Revenue]]</f>
        <v>0.22767812406052712</v>
      </c>
      <c r="J1744">
        <f xml:space="preserve"> YEAR(sa_retail_sales[[#This Row],[Order Date]])</f>
        <v>2023</v>
      </c>
    </row>
    <row r="1745" spans="1:10" x14ac:dyDescent="0.3">
      <c r="A1745" s="1">
        <v>45361</v>
      </c>
      <c r="B1745" t="s">
        <v>17</v>
      </c>
      <c r="C1745" t="s">
        <v>13</v>
      </c>
      <c r="D1745" t="s">
        <v>12</v>
      </c>
      <c r="E1745">
        <v>10325</v>
      </c>
      <c r="F1745">
        <v>1170</v>
      </c>
      <c r="G1745">
        <v>0</v>
      </c>
      <c r="H1745">
        <v>9155</v>
      </c>
      <c r="I1745" s="2">
        <f>sa_retail_sales[[#This Row],[Profit]] / sa_retail_sales[[#This Row],[Revenue]]</f>
        <v>0.88668280871670702</v>
      </c>
      <c r="J1745">
        <f xml:space="preserve"> YEAR(sa_retail_sales[[#This Row],[Order Date]])</f>
        <v>2024</v>
      </c>
    </row>
    <row r="1746" spans="1:10" x14ac:dyDescent="0.3">
      <c r="A1746" s="1">
        <v>45574</v>
      </c>
      <c r="B1746" t="s">
        <v>11</v>
      </c>
      <c r="C1746" t="s">
        <v>9</v>
      </c>
      <c r="D1746" t="s">
        <v>12</v>
      </c>
      <c r="E1746">
        <v>5420</v>
      </c>
      <c r="F1746">
        <v>3874</v>
      </c>
      <c r="G1746">
        <v>15</v>
      </c>
      <c r="H1746">
        <v>1546</v>
      </c>
      <c r="I1746" s="2">
        <f>sa_retail_sales[[#This Row],[Profit]] / sa_retail_sales[[#This Row],[Revenue]]</f>
        <v>0.28523985239852401</v>
      </c>
      <c r="J1746">
        <f xml:space="preserve"> YEAR(sa_retail_sales[[#This Row],[Order Date]])</f>
        <v>2024</v>
      </c>
    </row>
    <row r="1747" spans="1:10" x14ac:dyDescent="0.3">
      <c r="A1747" s="1">
        <v>45345</v>
      </c>
      <c r="B1747" t="s">
        <v>8</v>
      </c>
      <c r="C1747" t="s">
        <v>14</v>
      </c>
      <c r="D1747" t="s">
        <v>10</v>
      </c>
      <c r="E1747">
        <v>3426</v>
      </c>
      <c r="F1747">
        <v>6127</v>
      </c>
      <c r="G1747">
        <v>15</v>
      </c>
      <c r="H1747">
        <v>-2701</v>
      </c>
      <c r="I1747" s="2">
        <f>sa_retail_sales[[#This Row],[Profit]] / sa_retail_sales[[#This Row],[Revenue]]</f>
        <v>-0.78838295388207824</v>
      </c>
      <c r="J1747">
        <f xml:space="preserve"> YEAR(sa_retail_sales[[#This Row],[Order Date]])</f>
        <v>2024</v>
      </c>
    </row>
    <row r="1748" spans="1:10" x14ac:dyDescent="0.3">
      <c r="A1748" s="1">
        <v>45021</v>
      </c>
      <c r="B1748" t="s">
        <v>18</v>
      </c>
      <c r="C1748" t="s">
        <v>16</v>
      </c>
      <c r="D1748" t="s">
        <v>10</v>
      </c>
      <c r="E1748">
        <v>10044</v>
      </c>
      <c r="F1748">
        <v>8286</v>
      </c>
      <c r="G1748">
        <v>10</v>
      </c>
      <c r="H1748">
        <v>1758</v>
      </c>
      <c r="I1748" s="2">
        <f>sa_retail_sales[[#This Row],[Profit]] / sa_retail_sales[[#This Row],[Revenue]]</f>
        <v>0.17502986857825567</v>
      </c>
      <c r="J1748">
        <f xml:space="preserve"> YEAR(sa_retail_sales[[#This Row],[Order Date]])</f>
        <v>2023</v>
      </c>
    </row>
    <row r="1749" spans="1:10" x14ac:dyDescent="0.3">
      <c r="A1749" s="1">
        <v>45299</v>
      </c>
      <c r="B1749" t="s">
        <v>8</v>
      </c>
      <c r="C1749" t="s">
        <v>9</v>
      </c>
      <c r="D1749" t="s">
        <v>12</v>
      </c>
      <c r="E1749">
        <v>7782</v>
      </c>
      <c r="F1749">
        <v>8762</v>
      </c>
      <c r="G1749">
        <v>20</v>
      </c>
      <c r="H1749">
        <v>-980</v>
      </c>
      <c r="I1749" s="2">
        <f>sa_retail_sales[[#This Row],[Profit]] / sa_retail_sales[[#This Row],[Revenue]]</f>
        <v>-0.12593163711128244</v>
      </c>
      <c r="J1749">
        <f xml:space="preserve"> YEAR(sa_retail_sales[[#This Row],[Order Date]])</f>
        <v>2024</v>
      </c>
    </row>
    <row r="1750" spans="1:10" x14ac:dyDescent="0.3">
      <c r="A1750" s="1">
        <v>45070</v>
      </c>
      <c r="B1750" t="s">
        <v>18</v>
      </c>
      <c r="C1750" t="s">
        <v>9</v>
      </c>
      <c r="D1750" t="s">
        <v>10</v>
      </c>
      <c r="E1750">
        <v>4876</v>
      </c>
      <c r="F1750">
        <v>10035</v>
      </c>
      <c r="G1750">
        <v>10</v>
      </c>
      <c r="H1750">
        <v>-5159</v>
      </c>
      <c r="I1750" s="2">
        <f>sa_retail_sales[[#This Row],[Profit]] / sa_retail_sales[[#This Row],[Revenue]]</f>
        <v>-1.0580393765381459</v>
      </c>
      <c r="J1750">
        <f xml:space="preserve"> YEAR(sa_retail_sales[[#This Row],[Order Date]])</f>
        <v>2023</v>
      </c>
    </row>
    <row r="1751" spans="1:10" x14ac:dyDescent="0.3">
      <c r="A1751" s="1">
        <v>45042</v>
      </c>
      <c r="B1751" t="s">
        <v>8</v>
      </c>
      <c r="C1751" t="s">
        <v>14</v>
      </c>
      <c r="D1751" t="s">
        <v>15</v>
      </c>
      <c r="E1751">
        <v>9990</v>
      </c>
      <c r="F1751">
        <v>9041</v>
      </c>
      <c r="G1751">
        <v>0</v>
      </c>
      <c r="H1751">
        <v>949</v>
      </c>
      <c r="I1751" s="2">
        <f>sa_retail_sales[[#This Row],[Profit]] / sa_retail_sales[[#This Row],[Revenue]]</f>
        <v>9.4994994994994988E-2</v>
      </c>
      <c r="J1751">
        <f xml:space="preserve"> YEAR(sa_retail_sales[[#This Row],[Order Date]])</f>
        <v>2023</v>
      </c>
    </row>
    <row r="1752" spans="1:10" x14ac:dyDescent="0.3">
      <c r="A1752" s="1">
        <v>44675</v>
      </c>
      <c r="B1752" t="s">
        <v>11</v>
      </c>
      <c r="C1752" t="s">
        <v>16</v>
      </c>
      <c r="D1752" t="s">
        <v>10</v>
      </c>
      <c r="E1752">
        <v>5368</v>
      </c>
      <c r="F1752">
        <v>6069</v>
      </c>
      <c r="G1752">
        <v>10</v>
      </c>
      <c r="H1752">
        <v>-701</v>
      </c>
      <c r="I1752" s="2">
        <f>sa_retail_sales[[#This Row],[Profit]] / sa_retail_sales[[#This Row],[Revenue]]</f>
        <v>-0.13058867362146051</v>
      </c>
      <c r="J1752">
        <f xml:space="preserve"> YEAR(sa_retail_sales[[#This Row],[Order Date]])</f>
        <v>2022</v>
      </c>
    </row>
    <row r="1753" spans="1:10" x14ac:dyDescent="0.3">
      <c r="A1753" s="1">
        <v>45310</v>
      </c>
      <c r="B1753" t="s">
        <v>18</v>
      </c>
      <c r="C1753" t="s">
        <v>16</v>
      </c>
      <c r="D1753" t="s">
        <v>10</v>
      </c>
      <c r="E1753">
        <v>7486</v>
      </c>
      <c r="F1753">
        <v>6033</v>
      </c>
      <c r="G1753">
        <v>5</v>
      </c>
      <c r="H1753">
        <v>1453</v>
      </c>
      <c r="I1753" s="2">
        <f>sa_retail_sales[[#This Row],[Profit]] / sa_retail_sales[[#This Row],[Revenue]]</f>
        <v>0.19409564520438152</v>
      </c>
      <c r="J1753">
        <f xml:space="preserve"> YEAR(sa_retail_sales[[#This Row],[Order Date]])</f>
        <v>2024</v>
      </c>
    </row>
    <row r="1754" spans="1:10" x14ac:dyDescent="0.3">
      <c r="A1754" s="1">
        <v>44922</v>
      </c>
      <c r="B1754" t="s">
        <v>11</v>
      </c>
      <c r="C1754" t="s">
        <v>14</v>
      </c>
      <c r="D1754" t="s">
        <v>12</v>
      </c>
      <c r="E1754">
        <v>7362</v>
      </c>
      <c r="F1754">
        <v>10204</v>
      </c>
      <c r="G1754">
        <v>15</v>
      </c>
      <c r="H1754">
        <v>-2842</v>
      </c>
      <c r="I1754" s="2">
        <f>sa_retail_sales[[#This Row],[Profit]] / sa_retail_sales[[#This Row],[Revenue]]</f>
        <v>-0.3860364031513176</v>
      </c>
      <c r="J1754">
        <f xml:space="preserve"> YEAR(sa_retail_sales[[#This Row],[Order Date]])</f>
        <v>2022</v>
      </c>
    </row>
    <row r="1755" spans="1:10" x14ac:dyDescent="0.3">
      <c r="A1755" s="1">
        <v>44902</v>
      </c>
      <c r="B1755" t="s">
        <v>11</v>
      </c>
      <c r="C1755" t="s">
        <v>13</v>
      </c>
      <c r="D1755" t="s">
        <v>12</v>
      </c>
      <c r="E1755">
        <v>12659</v>
      </c>
      <c r="F1755">
        <v>3540</v>
      </c>
      <c r="G1755">
        <v>20</v>
      </c>
      <c r="H1755">
        <v>9119</v>
      </c>
      <c r="I1755" s="2">
        <f>sa_retail_sales[[#This Row],[Profit]] / sa_retail_sales[[#This Row],[Revenue]]</f>
        <v>0.72035705821944862</v>
      </c>
      <c r="J1755">
        <f xml:space="preserve"> YEAR(sa_retail_sales[[#This Row],[Order Date]])</f>
        <v>2022</v>
      </c>
    </row>
    <row r="1756" spans="1:10" x14ac:dyDescent="0.3">
      <c r="A1756" s="1">
        <v>45331</v>
      </c>
      <c r="B1756" t="s">
        <v>18</v>
      </c>
      <c r="C1756" t="s">
        <v>9</v>
      </c>
      <c r="D1756" t="s">
        <v>19</v>
      </c>
      <c r="E1756">
        <v>4923</v>
      </c>
      <c r="F1756">
        <v>9854</v>
      </c>
      <c r="G1756">
        <v>0</v>
      </c>
      <c r="H1756">
        <v>-4931</v>
      </c>
      <c r="I1756" s="2">
        <f>sa_retail_sales[[#This Row],[Profit]] / sa_retail_sales[[#This Row],[Revenue]]</f>
        <v>-1.0016250253910217</v>
      </c>
      <c r="J1756">
        <f xml:space="preserve"> YEAR(sa_retail_sales[[#This Row],[Order Date]])</f>
        <v>2024</v>
      </c>
    </row>
    <row r="1757" spans="1:10" x14ac:dyDescent="0.3">
      <c r="A1757" s="1">
        <v>45322</v>
      </c>
      <c r="B1757" t="s">
        <v>18</v>
      </c>
      <c r="C1757" t="s">
        <v>13</v>
      </c>
      <c r="D1757" t="s">
        <v>19</v>
      </c>
      <c r="E1757">
        <v>10950</v>
      </c>
      <c r="F1757">
        <v>5193</v>
      </c>
      <c r="G1757">
        <v>15</v>
      </c>
      <c r="H1757">
        <v>5757</v>
      </c>
      <c r="I1757" s="2">
        <f>sa_retail_sales[[#This Row],[Profit]] / sa_retail_sales[[#This Row],[Revenue]]</f>
        <v>0.52575342465753427</v>
      </c>
      <c r="J1757">
        <f xml:space="preserve"> YEAR(sa_retail_sales[[#This Row],[Order Date]])</f>
        <v>2024</v>
      </c>
    </row>
    <row r="1758" spans="1:10" x14ac:dyDescent="0.3">
      <c r="A1758" s="1">
        <v>45530</v>
      </c>
      <c r="B1758" t="s">
        <v>17</v>
      </c>
      <c r="C1758" t="s">
        <v>9</v>
      </c>
      <c r="D1758" t="s">
        <v>12</v>
      </c>
      <c r="E1758">
        <v>7370</v>
      </c>
      <c r="F1758">
        <v>9776</v>
      </c>
      <c r="G1758">
        <v>10</v>
      </c>
      <c r="H1758">
        <v>-2406</v>
      </c>
      <c r="I1758" s="2">
        <f>sa_retail_sales[[#This Row],[Profit]] / sa_retail_sales[[#This Row],[Revenue]]</f>
        <v>-0.3264586160108548</v>
      </c>
      <c r="J1758">
        <f xml:space="preserve"> YEAR(sa_retail_sales[[#This Row],[Order Date]])</f>
        <v>2024</v>
      </c>
    </row>
    <row r="1759" spans="1:10" x14ac:dyDescent="0.3">
      <c r="A1759" s="1">
        <v>45010</v>
      </c>
      <c r="B1759" t="s">
        <v>17</v>
      </c>
      <c r="C1759" t="s">
        <v>9</v>
      </c>
      <c r="D1759" t="s">
        <v>10</v>
      </c>
      <c r="E1759">
        <v>13710</v>
      </c>
      <c r="F1759">
        <v>1186</v>
      </c>
      <c r="G1759">
        <v>5</v>
      </c>
      <c r="H1759">
        <v>12524</v>
      </c>
      <c r="I1759" s="2">
        <f>sa_retail_sales[[#This Row],[Profit]] / sa_retail_sales[[#This Row],[Revenue]]</f>
        <v>0.91349380014587889</v>
      </c>
      <c r="J1759">
        <f xml:space="preserve"> YEAR(sa_retail_sales[[#This Row],[Order Date]])</f>
        <v>2023</v>
      </c>
    </row>
    <row r="1760" spans="1:10" x14ac:dyDescent="0.3">
      <c r="A1760" s="1">
        <v>45396</v>
      </c>
      <c r="B1760" t="s">
        <v>17</v>
      </c>
      <c r="C1760" t="s">
        <v>13</v>
      </c>
      <c r="D1760" t="s">
        <v>10</v>
      </c>
      <c r="E1760">
        <v>13339</v>
      </c>
      <c r="F1760">
        <v>6154</v>
      </c>
      <c r="G1760">
        <v>10</v>
      </c>
      <c r="H1760">
        <v>7185</v>
      </c>
      <c r="I1760" s="2">
        <f>sa_retail_sales[[#This Row],[Profit]] / sa_retail_sales[[#This Row],[Revenue]]</f>
        <v>0.5386460754179474</v>
      </c>
      <c r="J1760">
        <f xml:space="preserve"> YEAR(sa_retail_sales[[#This Row],[Order Date]])</f>
        <v>2024</v>
      </c>
    </row>
    <row r="1761" spans="1:10" x14ac:dyDescent="0.3">
      <c r="A1761" s="1">
        <v>44872</v>
      </c>
      <c r="B1761" t="s">
        <v>11</v>
      </c>
      <c r="C1761" t="s">
        <v>14</v>
      </c>
      <c r="D1761" t="s">
        <v>19</v>
      </c>
      <c r="E1761">
        <v>8659</v>
      </c>
      <c r="F1761">
        <v>5618</v>
      </c>
      <c r="G1761">
        <v>15</v>
      </c>
      <c r="H1761">
        <v>3041</v>
      </c>
      <c r="I1761" s="2">
        <f>sa_retail_sales[[#This Row],[Profit]] / sa_retail_sales[[#This Row],[Revenue]]</f>
        <v>0.35119528813950801</v>
      </c>
      <c r="J1761">
        <f xml:space="preserve"> YEAR(sa_retail_sales[[#This Row],[Order Date]])</f>
        <v>2022</v>
      </c>
    </row>
    <row r="1762" spans="1:10" x14ac:dyDescent="0.3">
      <c r="A1762" s="1">
        <v>44823</v>
      </c>
      <c r="B1762" t="s">
        <v>11</v>
      </c>
      <c r="C1762" t="s">
        <v>14</v>
      </c>
      <c r="D1762" t="s">
        <v>19</v>
      </c>
      <c r="E1762">
        <v>2573</v>
      </c>
      <c r="F1762">
        <v>2558</v>
      </c>
      <c r="G1762">
        <v>0</v>
      </c>
      <c r="H1762">
        <v>15</v>
      </c>
      <c r="I1762" s="2">
        <f>sa_retail_sales[[#This Row],[Profit]] / sa_retail_sales[[#This Row],[Revenue]]</f>
        <v>5.8297706956859695E-3</v>
      </c>
      <c r="J1762">
        <f xml:space="preserve"> YEAR(sa_retail_sales[[#This Row],[Order Date]])</f>
        <v>2022</v>
      </c>
    </row>
    <row r="1763" spans="1:10" x14ac:dyDescent="0.3">
      <c r="A1763" s="1">
        <v>44967</v>
      </c>
      <c r="B1763" t="s">
        <v>17</v>
      </c>
      <c r="C1763" t="s">
        <v>9</v>
      </c>
      <c r="D1763" t="s">
        <v>19</v>
      </c>
      <c r="E1763">
        <v>6670</v>
      </c>
      <c r="F1763">
        <v>4682</v>
      </c>
      <c r="G1763">
        <v>20</v>
      </c>
      <c r="H1763">
        <v>1988</v>
      </c>
      <c r="I1763" s="2">
        <f>sa_retail_sales[[#This Row],[Profit]] / sa_retail_sales[[#This Row],[Revenue]]</f>
        <v>0.29805097451274365</v>
      </c>
      <c r="J1763">
        <f xml:space="preserve"> YEAR(sa_retail_sales[[#This Row],[Order Date]])</f>
        <v>2023</v>
      </c>
    </row>
    <row r="1764" spans="1:10" x14ac:dyDescent="0.3">
      <c r="A1764" s="1">
        <v>44704</v>
      </c>
      <c r="B1764" t="s">
        <v>11</v>
      </c>
      <c r="C1764" t="s">
        <v>14</v>
      </c>
      <c r="D1764" t="s">
        <v>15</v>
      </c>
      <c r="E1764">
        <v>1201</v>
      </c>
      <c r="F1764">
        <v>2085</v>
      </c>
      <c r="G1764">
        <v>15</v>
      </c>
      <c r="H1764">
        <v>-884</v>
      </c>
      <c r="I1764" s="2">
        <f>sa_retail_sales[[#This Row],[Profit]] / sa_retail_sales[[#This Row],[Revenue]]</f>
        <v>-0.73605328892589506</v>
      </c>
      <c r="J1764">
        <f xml:space="preserve"> YEAR(sa_retail_sales[[#This Row],[Order Date]])</f>
        <v>2022</v>
      </c>
    </row>
    <row r="1765" spans="1:10" x14ac:dyDescent="0.3">
      <c r="A1765" s="1">
        <v>44903</v>
      </c>
      <c r="B1765" t="s">
        <v>11</v>
      </c>
      <c r="C1765" t="s">
        <v>9</v>
      </c>
      <c r="D1765" t="s">
        <v>15</v>
      </c>
      <c r="E1765">
        <v>10611</v>
      </c>
      <c r="F1765">
        <v>8027</v>
      </c>
      <c r="G1765">
        <v>0</v>
      </c>
      <c r="H1765">
        <v>2584</v>
      </c>
      <c r="I1765" s="2">
        <f>sa_retail_sales[[#This Row],[Profit]] / sa_retail_sales[[#This Row],[Revenue]]</f>
        <v>0.24352087456413157</v>
      </c>
      <c r="J1765">
        <f xml:space="preserve"> YEAR(sa_retail_sales[[#This Row],[Order Date]])</f>
        <v>2022</v>
      </c>
    </row>
    <row r="1766" spans="1:10" x14ac:dyDescent="0.3">
      <c r="A1766" s="1">
        <v>44805</v>
      </c>
      <c r="B1766" t="s">
        <v>18</v>
      </c>
      <c r="C1766" t="s">
        <v>14</v>
      </c>
      <c r="D1766" t="s">
        <v>19</v>
      </c>
      <c r="E1766">
        <v>8613</v>
      </c>
      <c r="F1766">
        <v>595</v>
      </c>
      <c r="G1766">
        <v>15</v>
      </c>
      <c r="H1766">
        <v>8018</v>
      </c>
      <c r="I1766" s="2">
        <f>sa_retail_sales[[#This Row],[Profit]] / sa_retail_sales[[#This Row],[Revenue]]</f>
        <v>0.93091837919424125</v>
      </c>
      <c r="J1766">
        <f xml:space="preserve"> YEAR(sa_retail_sales[[#This Row],[Order Date]])</f>
        <v>2022</v>
      </c>
    </row>
    <row r="1767" spans="1:10" x14ac:dyDescent="0.3">
      <c r="A1767" s="1">
        <v>45051</v>
      </c>
      <c r="B1767" t="s">
        <v>18</v>
      </c>
      <c r="C1767" t="s">
        <v>9</v>
      </c>
      <c r="D1767" t="s">
        <v>10</v>
      </c>
      <c r="E1767">
        <v>7325</v>
      </c>
      <c r="F1767">
        <v>10545</v>
      </c>
      <c r="G1767">
        <v>5</v>
      </c>
      <c r="H1767">
        <v>-3220</v>
      </c>
      <c r="I1767" s="2">
        <f>sa_retail_sales[[#This Row],[Profit]] / sa_retail_sales[[#This Row],[Revenue]]</f>
        <v>-0.4395904436860068</v>
      </c>
      <c r="J1767">
        <f xml:space="preserve"> YEAR(sa_retail_sales[[#This Row],[Order Date]])</f>
        <v>2023</v>
      </c>
    </row>
    <row r="1768" spans="1:10" x14ac:dyDescent="0.3">
      <c r="A1768" s="1">
        <v>44573</v>
      </c>
      <c r="B1768" t="s">
        <v>11</v>
      </c>
      <c r="C1768" t="s">
        <v>14</v>
      </c>
      <c r="D1768" t="s">
        <v>19</v>
      </c>
      <c r="E1768">
        <v>11152</v>
      </c>
      <c r="F1768">
        <v>2897</v>
      </c>
      <c r="G1768">
        <v>10</v>
      </c>
      <c r="H1768">
        <v>8255</v>
      </c>
      <c r="I1768" s="2">
        <f>sa_retail_sales[[#This Row],[Profit]] / sa_retail_sales[[#This Row],[Revenue]]</f>
        <v>0.74022596843615496</v>
      </c>
      <c r="J1768">
        <f xml:space="preserve"> YEAR(sa_retail_sales[[#This Row],[Order Date]])</f>
        <v>2022</v>
      </c>
    </row>
    <row r="1769" spans="1:10" x14ac:dyDescent="0.3">
      <c r="A1769" s="1">
        <v>45122</v>
      </c>
      <c r="B1769" t="s">
        <v>17</v>
      </c>
      <c r="C1769" t="s">
        <v>16</v>
      </c>
      <c r="D1769" t="s">
        <v>15</v>
      </c>
      <c r="E1769">
        <v>12954</v>
      </c>
      <c r="F1769">
        <v>980</v>
      </c>
      <c r="G1769">
        <v>20</v>
      </c>
      <c r="H1769">
        <v>11974</v>
      </c>
      <c r="I1769" s="2">
        <f>sa_retail_sales[[#This Row],[Profit]] / sa_retail_sales[[#This Row],[Revenue]]</f>
        <v>0.92434769183263854</v>
      </c>
      <c r="J1769">
        <f xml:space="preserve"> YEAR(sa_retail_sales[[#This Row],[Order Date]])</f>
        <v>2023</v>
      </c>
    </row>
    <row r="1770" spans="1:10" x14ac:dyDescent="0.3">
      <c r="A1770" s="1">
        <v>44603</v>
      </c>
      <c r="B1770" t="s">
        <v>8</v>
      </c>
      <c r="C1770" t="s">
        <v>13</v>
      </c>
      <c r="D1770" t="s">
        <v>10</v>
      </c>
      <c r="E1770">
        <v>8367</v>
      </c>
      <c r="F1770">
        <v>5190</v>
      </c>
      <c r="G1770">
        <v>0</v>
      </c>
      <c r="H1770">
        <v>3177</v>
      </c>
      <c r="I1770" s="2">
        <f>sa_retail_sales[[#This Row],[Profit]] / sa_retail_sales[[#This Row],[Revenue]]</f>
        <v>0.37970598780925063</v>
      </c>
      <c r="J1770">
        <f xml:space="preserve"> YEAR(sa_retail_sales[[#This Row],[Order Date]])</f>
        <v>2022</v>
      </c>
    </row>
    <row r="1771" spans="1:10" x14ac:dyDescent="0.3">
      <c r="A1771" s="1">
        <v>45239</v>
      </c>
      <c r="B1771" t="s">
        <v>17</v>
      </c>
      <c r="C1771" t="s">
        <v>16</v>
      </c>
      <c r="D1771" t="s">
        <v>15</v>
      </c>
      <c r="E1771">
        <v>4764</v>
      </c>
      <c r="F1771">
        <v>4598</v>
      </c>
      <c r="G1771">
        <v>20</v>
      </c>
      <c r="H1771">
        <v>166</v>
      </c>
      <c r="I1771" s="2">
        <f>sa_retail_sales[[#This Row],[Profit]] / sa_retail_sales[[#This Row],[Revenue]]</f>
        <v>3.4844668345927789E-2</v>
      </c>
      <c r="J1771">
        <f xml:space="preserve"> YEAR(sa_retail_sales[[#This Row],[Order Date]])</f>
        <v>2023</v>
      </c>
    </row>
    <row r="1772" spans="1:10" x14ac:dyDescent="0.3">
      <c r="A1772" s="1">
        <v>45155</v>
      </c>
      <c r="B1772" t="s">
        <v>8</v>
      </c>
      <c r="C1772" t="s">
        <v>13</v>
      </c>
      <c r="D1772" t="s">
        <v>10</v>
      </c>
      <c r="E1772">
        <v>8468</v>
      </c>
      <c r="F1772">
        <v>624</v>
      </c>
      <c r="G1772">
        <v>20</v>
      </c>
      <c r="H1772">
        <v>7844</v>
      </c>
      <c r="I1772" s="2">
        <f>sa_retail_sales[[#This Row],[Profit]] / sa_retail_sales[[#This Row],[Revenue]]</f>
        <v>0.92631081719414265</v>
      </c>
      <c r="J1772">
        <f xml:space="preserve"> YEAR(sa_retail_sales[[#This Row],[Order Date]])</f>
        <v>2023</v>
      </c>
    </row>
    <row r="1773" spans="1:10" x14ac:dyDescent="0.3">
      <c r="A1773" s="1">
        <v>44695</v>
      </c>
      <c r="B1773" t="s">
        <v>17</v>
      </c>
      <c r="C1773" t="s">
        <v>13</v>
      </c>
      <c r="D1773" t="s">
        <v>15</v>
      </c>
      <c r="E1773">
        <v>8646</v>
      </c>
      <c r="F1773">
        <v>8252</v>
      </c>
      <c r="G1773">
        <v>20</v>
      </c>
      <c r="H1773">
        <v>394</v>
      </c>
      <c r="I1773" s="2">
        <f>sa_retail_sales[[#This Row],[Profit]] / sa_retail_sales[[#This Row],[Revenue]]</f>
        <v>4.5570205875549386E-2</v>
      </c>
      <c r="J1773">
        <f xml:space="preserve"> YEAR(sa_retail_sales[[#This Row],[Order Date]])</f>
        <v>2022</v>
      </c>
    </row>
    <row r="1774" spans="1:10" x14ac:dyDescent="0.3">
      <c r="A1774" s="1">
        <v>45652</v>
      </c>
      <c r="B1774" t="s">
        <v>18</v>
      </c>
      <c r="C1774" t="s">
        <v>9</v>
      </c>
      <c r="D1774" t="s">
        <v>10</v>
      </c>
      <c r="E1774">
        <v>13016</v>
      </c>
      <c r="F1774">
        <v>10783</v>
      </c>
      <c r="G1774">
        <v>0</v>
      </c>
      <c r="H1774">
        <v>2233</v>
      </c>
      <c r="I1774" s="2">
        <f>sa_retail_sales[[#This Row],[Profit]] / sa_retail_sales[[#This Row],[Revenue]]</f>
        <v>0.17155808236017209</v>
      </c>
      <c r="J1774">
        <f xml:space="preserve"> YEAR(sa_retail_sales[[#This Row],[Order Date]])</f>
        <v>2024</v>
      </c>
    </row>
    <row r="1775" spans="1:10" x14ac:dyDescent="0.3">
      <c r="A1775" s="1">
        <v>45592</v>
      </c>
      <c r="B1775" t="s">
        <v>11</v>
      </c>
      <c r="C1775" t="s">
        <v>13</v>
      </c>
      <c r="D1775" t="s">
        <v>10</v>
      </c>
      <c r="E1775">
        <v>14790</v>
      </c>
      <c r="F1775">
        <v>1286</v>
      </c>
      <c r="G1775">
        <v>0</v>
      </c>
      <c r="H1775">
        <v>13504</v>
      </c>
      <c r="I1775" s="2">
        <f>sa_retail_sales[[#This Row],[Profit]] / sa_retail_sales[[#This Row],[Revenue]]</f>
        <v>0.91304935767410411</v>
      </c>
      <c r="J1775">
        <f xml:space="preserve"> YEAR(sa_retail_sales[[#This Row],[Order Date]])</f>
        <v>2024</v>
      </c>
    </row>
    <row r="1776" spans="1:10" x14ac:dyDescent="0.3">
      <c r="A1776" s="1">
        <v>45509</v>
      </c>
      <c r="B1776" t="s">
        <v>11</v>
      </c>
      <c r="C1776" t="s">
        <v>16</v>
      </c>
      <c r="D1776" t="s">
        <v>10</v>
      </c>
      <c r="E1776">
        <v>8276</v>
      </c>
      <c r="F1776">
        <v>3418</v>
      </c>
      <c r="G1776">
        <v>20</v>
      </c>
      <c r="H1776">
        <v>4858</v>
      </c>
      <c r="I1776" s="2">
        <f>sa_retail_sales[[#This Row],[Profit]] / sa_retail_sales[[#This Row],[Revenue]]</f>
        <v>0.58699855002416623</v>
      </c>
      <c r="J1776">
        <f xml:space="preserve"> YEAR(sa_retail_sales[[#This Row],[Order Date]])</f>
        <v>2024</v>
      </c>
    </row>
    <row r="1777" spans="1:10" x14ac:dyDescent="0.3">
      <c r="A1777" s="1">
        <v>44634</v>
      </c>
      <c r="B1777" t="s">
        <v>18</v>
      </c>
      <c r="C1777" t="s">
        <v>16</v>
      </c>
      <c r="D1777" t="s">
        <v>10</v>
      </c>
      <c r="E1777">
        <v>9058</v>
      </c>
      <c r="F1777">
        <v>1060</v>
      </c>
      <c r="G1777">
        <v>10</v>
      </c>
      <c r="H1777">
        <v>7998</v>
      </c>
      <c r="I1777" s="2">
        <f>sa_retail_sales[[#This Row],[Profit]] / sa_retail_sales[[#This Row],[Revenue]]</f>
        <v>0.88297637447560173</v>
      </c>
      <c r="J1777">
        <f xml:space="preserve"> YEAR(sa_retail_sales[[#This Row],[Order Date]])</f>
        <v>2022</v>
      </c>
    </row>
    <row r="1778" spans="1:10" x14ac:dyDescent="0.3">
      <c r="A1778" s="1">
        <v>44960</v>
      </c>
      <c r="B1778" t="s">
        <v>8</v>
      </c>
      <c r="C1778" t="s">
        <v>14</v>
      </c>
      <c r="D1778" t="s">
        <v>12</v>
      </c>
      <c r="E1778">
        <v>9219</v>
      </c>
      <c r="F1778">
        <v>8058</v>
      </c>
      <c r="G1778">
        <v>15</v>
      </c>
      <c r="H1778">
        <v>1161</v>
      </c>
      <c r="I1778" s="2">
        <f>sa_retail_sales[[#This Row],[Profit]] / sa_retail_sales[[#This Row],[Revenue]]</f>
        <v>0.12593556784900747</v>
      </c>
      <c r="J1778">
        <f xml:space="preserve"> YEAR(sa_retail_sales[[#This Row],[Order Date]])</f>
        <v>2023</v>
      </c>
    </row>
    <row r="1779" spans="1:10" x14ac:dyDescent="0.3">
      <c r="A1779" s="1">
        <v>45139</v>
      </c>
      <c r="B1779" t="s">
        <v>8</v>
      </c>
      <c r="C1779" t="s">
        <v>16</v>
      </c>
      <c r="D1779" t="s">
        <v>15</v>
      </c>
      <c r="E1779">
        <v>5386</v>
      </c>
      <c r="F1779">
        <v>9528</v>
      </c>
      <c r="G1779">
        <v>20</v>
      </c>
      <c r="H1779">
        <v>-4142</v>
      </c>
      <c r="I1779" s="2">
        <f>sa_retail_sales[[#This Row],[Profit]] / sa_retail_sales[[#This Row],[Revenue]]</f>
        <v>-0.76903082064611961</v>
      </c>
      <c r="J1779">
        <f xml:space="preserve"> YEAR(sa_retail_sales[[#This Row],[Order Date]])</f>
        <v>2023</v>
      </c>
    </row>
    <row r="1780" spans="1:10" x14ac:dyDescent="0.3">
      <c r="A1780" s="1">
        <v>45420</v>
      </c>
      <c r="B1780" t="s">
        <v>8</v>
      </c>
      <c r="C1780" t="s">
        <v>14</v>
      </c>
      <c r="D1780" t="s">
        <v>15</v>
      </c>
      <c r="E1780">
        <v>12410</v>
      </c>
      <c r="F1780">
        <v>1206</v>
      </c>
      <c r="G1780">
        <v>5</v>
      </c>
      <c r="H1780">
        <v>11204</v>
      </c>
      <c r="I1780" s="2">
        <f>sa_retail_sales[[#This Row],[Profit]] / sa_retail_sales[[#This Row],[Revenue]]</f>
        <v>0.90282030620467368</v>
      </c>
      <c r="J1780">
        <f xml:space="preserve"> YEAR(sa_retail_sales[[#This Row],[Order Date]])</f>
        <v>2024</v>
      </c>
    </row>
    <row r="1781" spans="1:10" x14ac:dyDescent="0.3">
      <c r="A1781" s="1">
        <v>44691</v>
      </c>
      <c r="B1781" t="s">
        <v>18</v>
      </c>
      <c r="C1781" t="s">
        <v>13</v>
      </c>
      <c r="D1781" t="s">
        <v>12</v>
      </c>
      <c r="E1781">
        <v>12301</v>
      </c>
      <c r="F1781">
        <v>5799</v>
      </c>
      <c r="G1781">
        <v>20</v>
      </c>
      <c r="H1781">
        <v>6502</v>
      </c>
      <c r="I1781" s="2">
        <f>sa_retail_sales[[#This Row],[Profit]] / sa_retail_sales[[#This Row],[Revenue]]</f>
        <v>0.52857491260873102</v>
      </c>
      <c r="J1781">
        <f xml:space="preserve"> YEAR(sa_retail_sales[[#This Row],[Order Date]])</f>
        <v>2022</v>
      </c>
    </row>
    <row r="1782" spans="1:10" x14ac:dyDescent="0.3">
      <c r="A1782" s="1">
        <v>45492</v>
      </c>
      <c r="B1782" t="s">
        <v>8</v>
      </c>
      <c r="C1782" t="s">
        <v>16</v>
      </c>
      <c r="D1782" t="s">
        <v>10</v>
      </c>
      <c r="E1782">
        <v>4435</v>
      </c>
      <c r="F1782">
        <v>664</v>
      </c>
      <c r="G1782">
        <v>0</v>
      </c>
      <c r="H1782">
        <v>3771</v>
      </c>
      <c r="I1782" s="2">
        <f>sa_retail_sales[[#This Row],[Profit]] / sa_retail_sales[[#This Row],[Revenue]]</f>
        <v>0.85028184892897407</v>
      </c>
      <c r="J1782">
        <f xml:space="preserve"> YEAR(sa_retail_sales[[#This Row],[Order Date]])</f>
        <v>2024</v>
      </c>
    </row>
    <row r="1783" spans="1:10" x14ac:dyDescent="0.3">
      <c r="A1783" s="1">
        <v>44827</v>
      </c>
      <c r="B1783" t="s">
        <v>18</v>
      </c>
      <c r="C1783" t="s">
        <v>13</v>
      </c>
      <c r="D1783" t="s">
        <v>10</v>
      </c>
      <c r="E1783">
        <v>5119</v>
      </c>
      <c r="F1783">
        <v>8069</v>
      </c>
      <c r="G1783">
        <v>15</v>
      </c>
      <c r="H1783">
        <v>-2950</v>
      </c>
      <c r="I1783" s="2">
        <f>sa_retail_sales[[#This Row],[Profit]] / sa_retail_sales[[#This Row],[Revenue]]</f>
        <v>-0.5762844305528424</v>
      </c>
      <c r="J1783">
        <f xml:space="preserve"> YEAR(sa_retail_sales[[#This Row],[Order Date]])</f>
        <v>2022</v>
      </c>
    </row>
    <row r="1784" spans="1:10" x14ac:dyDescent="0.3">
      <c r="A1784" s="1">
        <v>45354</v>
      </c>
      <c r="B1784" t="s">
        <v>17</v>
      </c>
      <c r="C1784" t="s">
        <v>16</v>
      </c>
      <c r="D1784" t="s">
        <v>15</v>
      </c>
      <c r="E1784">
        <v>5691</v>
      </c>
      <c r="F1784">
        <v>3713</v>
      </c>
      <c r="G1784">
        <v>5</v>
      </c>
      <c r="H1784">
        <v>1978</v>
      </c>
      <c r="I1784" s="2">
        <f>sa_retail_sales[[#This Row],[Profit]] / sa_retail_sales[[#This Row],[Revenue]]</f>
        <v>0.34756633280618521</v>
      </c>
      <c r="J1784">
        <f xml:space="preserve"> YEAR(sa_retail_sales[[#This Row],[Order Date]])</f>
        <v>2024</v>
      </c>
    </row>
    <row r="1785" spans="1:10" x14ac:dyDescent="0.3">
      <c r="A1785" s="1">
        <v>44814</v>
      </c>
      <c r="B1785" t="s">
        <v>17</v>
      </c>
      <c r="C1785" t="s">
        <v>16</v>
      </c>
      <c r="D1785" t="s">
        <v>12</v>
      </c>
      <c r="E1785">
        <v>14456</v>
      </c>
      <c r="F1785">
        <v>8327</v>
      </c>
      <c r="G1785">
        <v>15</v>
      </c>
      <c r="H1785">
        <v>6129</v>
      </c>
      <c r="I1785" s="2">
        <f>sa_retail_sales[[#This Row],[Profit]] / sa_retail_sales[[#This Row],[Revenue]]</f>
        <v>0.42397620365246264</v>
      </c>
      <c r="J1785">
        <f xml:space="preserve"> YEAR(sa_retail_sales[[#This Row],[Order Date]])</f>
        <v>2022</v>
      </c>
    </row>
    <row r="1786" spans="1:10" x14ac:dyDescent="0.3">
      <c r="A1786" s="1">
        <v>45383</v>
      </c>
      <c r="B1786" t="s">
        <v>18</v>
      </c>
      <c r="C1786" t="s">
        <v>14</v>
      </c>
      <c r="D1786" t="s">
        <v>10</v>
      </c>
      <c r="E1786">
        <v>10845</v>
      </c>
      <c r="F1786">
        <v>8239</v>
      </c>
      <c r="G1786">
        <v>15</v>
      </c>
      <c r="H1786">
        <v>2606</v>
      </c>
      <c r="I1786" s="2">
        <f>sa_retail_sales[[#This Row],[Profit]] / sa_retail_sales[[#This Row],[Revenue]]</f>
        <v>0.24029506685108346</v>
      </c>
      <c r="J1786">
        <f xml:space="preserve"> YEAR(sa_retail_sales[[#This Row],[Order Date]])</f>
        <v>2024</v>
      </c>
    </row>
    <row r="1787" spans="1:10" x14ac:dyDescent="0.3">
      <c r="A1787" s="1">
        <v>44725</v>
      </c>
      <c r="B1787" t="s">
        <v>11</v>
      </c>
      <c r="C1787" t="s">
        <v>13</v>
      </c>
      <c r="D1787" t="s">
        <v>10</v>
      </c>
      <c r="E1787">
        <v>7375</v>
      </c>
      <c r="F1787">
        <v>9561</v>
      </c>
      <c r="G1787">
        <v>5</v>
      </c>
      <c r="H1787">
        <v>-2186</v>
      </c>
      <c r="I1787" s="2">
        <f>sa_retail_sales[[#This Row],[Profit]] / sa_retail_sales[[#This Row],[Revenue]]</f>
        <v>-0.29640677966101697</v>
      </c>
      <c r="J1787">
        <f xml:space="preserve"> YEAR(sa_retail_sales[[#This Row],[Order Date]])</f>
        <v>2022</v>
      </c>
    </row>
    <row r="1788" spans="1:10" x14ac:dyDescent="0.3">
      <c r="A1788" s="1">
        <v>44656</v>
      </c>
      <c r="B1788" t="s">
        <v>17</v>
      </c>
      <c r="C1788" t="s">
        <v>16</v>
      </c>
      <c r="D1788" t="s">
        <v>10</v>
      </c>
      <c r="E1788">
        <v>10600</v>
      </c>
      <c r="F1788">
        <v>10747</v>
      </c>
      <c r="G1788">
        <v>20</v>
      </c>
      <c r="H1788">
        <v>-147</v>
      </c>
      <c r="I1788" s="2">
        <f>sa_retail_sales[[#This Row],[Profit]] / sa_retail_sales[[#This Row],[Revenue]]</f>
        <v>-1.3867924528301887E-2</v>
      </c>
      <c r="J1788">
        <f xml:space="preserve"> YEAR(sa_retail_sales[[#This Row],[Order Date]])</f>
        <v>2022</v>
      </c>
    </row>
    <row r="1789" spans="1:10" x14ac:dyDescent="0.3">
      <c r="A1789" s="1">
        <v>45394</v>
      </c>
      <c r="B1789" t="s">
        <v>8</v>
      </c>
      <c r="C1789" t="s">
        <v>9</v>
      </c>
      <c r="D1789" t="s">
        <v>19</v>
      </c>
      <c r="E1789">
        <v>11704</v>
      </c>
      <c r="F1789">
        <v>3381</v>
      </c>
      <c r="G1789">
        <v>20</v>
      </c>
      <c r="H1789">
        <v>8323</v>
      </c>
      <c r="I1789" s="2">
        <f>sa_retail_sales[[#This Row],[Profit]] / sa_retail_sales[[#This Row],[Revenue]]</f>
        <v>0.7111244019138756</v>
      </c>
      <c r="J1789">
        <f xml:space="preserve"> YEAR(sa_retail_sales[[#This Row],[Order Date]])</f>
        <v>2024</v>
      </c>
    </row>
    <row r="1790" spans="1:10" x14ac:dyDescent="0.3">
      <c r="A1790" s="1">
        <v>44897</v>
      </c>
      <c r="B1790" t="s">
        <v>18</v>
      </c>
      <c r="C1790" t="s">
        <v>13</v>
      </c>
      <c r="D1790" t="s">
        <v>12</v>
      </c>
      <c r="E1790">
        <v>8356</v>
      </c>
      <c r="F1790">
        <v>5748</v>
      </c>
      <c r="G1790">
        <v>20</v>
      </c>
      <c r="H1790">
        <v>2608</v>
      </c>
      <c r="I1790" s="2">
        <f>sa_retail_sales[[#This Row],[Profit]] / sa_retail_sales[[#This Row],[Revenue]]</f>
        <v>0.31211105792245092</v>
      </c>
      <c r="J1790">
        <f xml:space="preserve"> YEAR(sa_retail_sales[[#This Row],[Order Date]])</f>
        <v>2022</v>
      </c>
    </row>
    <row r="1791" spans="1:10" x14ac:dyDescent="0.3">
      <c r="A1791" s="1">
        <v>45383</v>
      </c>
      <c r="B1791" t="s">
        <v>8</v>
      </c>
      <c r="C1791" t="s">
        <v>13</v>
      </c>
      <c r="D1791" t="s">
        <v>10</v>
      </c>
      <c r="E1791">
        <v>5901</v>
      </c>
      <c r="F1791">
        <v>3558</v>
      </c>
      <c r="G1791">
        <v>10</v>
      </c>
      <c r="H1791">
        <v>2343</v>
      </c>
      <c r="I1791" s="2">
        <f>sa_retail_sales[[#This Row],[Profit]] / sa_retail_sales[[#This Row],[Revenue]]</f>
        <v>0.39705134722928315</v>
      </c>
      <c r="J1791">
        <f xml:space="preserve"> YEAR(sa_retail_sales[[#This Row],[Order Date]])</f>
        <v>2024</v>
      </c>
    </row>
    <row r="1792" spans="1:10" x14ac:dyDescent="0.3">
      <c r="A1792" s="1">
        <v>44799</v>
      </c>
      <c r="B1792" t="s">
        <v>8</v>
      </c>
      <c r="C1792" t="s">
        <v>13</v>
      </c>
      <c r="D1792" t="s">
        <v>19</v>
      </c>
      <c r="E1792">
        <v>12920</v>
      </c>
      <c r="F1792">
        <v>2407</v>
      </c>
      <c r="G1792">
        <v>20</v>
      </c>
      <c r="H1792">
        <v>10513</v>
      </c>
      <c r="I1792" s="2">
        <f>sa_retail_sales[[#This Row],[Profit]] / sa_retail_sales[[#This Row],[Revenue]]</f>
        <v>0.81369969040247681</v>
      </c>
      <c r="J1792">
        <f xml:space="preserve"> YEAR(sa_retail_sales[[#This Row],[Order Date]])</f>
        <v>2022</v>
      </c>
    </row>
    <row r="1793" spans="1:10" x14ac:dyDescent="0.3">
      <c r="A1793" s="1">
        <v>44942</v>
      </c>
      <c r="B1793" t="s">
        <v>11</v>
      </c>
      <c r="C1793" t="s">
        <v>14</v>
      </c>
      <c r="D1793" t="s">
        <v>12</v>
      </c>
      <c r="E1793">
        <v>3522</v>
      </c>
      <c r="F1793">
        <v>8228</v>
      </c>
      <c r="G1793">
        <v>5</v>
      </c>
      <c r="H1793">
        <v>-4706</v>
      </c>
      <c r="I1793" s="2">
        <f>sa_retail_sales[[#This Row],[Profit]] / sa_retail_sales[[#This Row],[Revenue]]</f>
        <v>-1.3361726291879614</v>
      </c>
      <c r="J1793">
        <f xml:space="preserve"> YEAR(sa_retail_sales[[#This Row],[Order Date]])</f>
        <v>2023</v>
      </c>
    </row>
    <row r="1794" spans="1:10" x14ac:dyDescent="0.3">
      <c r="A1794" s="1">
        <v>45460</v>
      </c>
      <c r="B1794" t="s">
        <v>8</v>
      </c>
      <c r="C1794" t="s">
        <v>9</v>
      </c>
      <c r="D1794" t="s">
        <v>10</v>
      </c>
      <c r="E1794">
        <v>12175</v>
      </c>
      <c r="F1794">
        <v>3233</v>
      </c>
      <c r="G1794">
        <v>10</v>
      </c>
      <c r="H1794">
        <v>8942</v>
      </c>
      <c r="I1794" s="2">
        <f>sa_retail_sales[[#This Row],[Profit]] / sa_retail_sales[[#This Row],[Revenue]]</f>
        <v>0.73445585215605746</v>
      </c>
      <c r="J1794">
        <f xml:space="preserve"> YEAR(sa_retail_sales[[#This Row],[Order Date]])</f>
        <v>2024</v>
      </c>
    </row>
    <row r="1795" spans="1:10" x14ac:dyDescent="0.3">
      <c r="A1795" s="1">
        <v>45044</v>
      </c>
      <c r="B1795" t="s">
        <v>11</v>
      </c>
      <c r="C1795" t="s">
        <v>13</v>
      </c>
      <c r="D1795" t="s">
        <v>15</v>
      </c>
      <c r="E1795">
        <v>11412</v>
      </c>
      <c r="F1795">
        <v>3129</v>
      </c>
      <c r="G1795">
        <v>20</v>
      </c>
      <c r="H1795">
        <v>8283</v>
      </c>
      <c r="I1795" s="2">
        <f>sa_retail_sales[[#This Row],[Profit]] / sa_retail_sales[[#This Row],[Revenue]]</f>
        <v>0.72581493165089384</v>
      </c>
      <c r="J1795">
        <f xml:space="preserve"> YEAR(sa_retail_sales[[#This Row],[Order Date]])</f>
        <v>2023</v>
      </c>
    </row>
    <row r="1796" spans="1:10" x14ac:dyDescent="0.3">
      <c r="A1796" s="1">
        <v>45463</v>
      </c>
      <c r="B1796" t="s">
        <v>17</v>
      </c>
      <c r="C1796" t="s">
        <v>16</v>
      </c>
      <c r="D1796" t="s">
        <v>19</v>
      </c>
      <c r="E1796">
        <v>6238</v>
      </c>
      <c r="F1796">
        <v>8933</v>
      </c>
      <c r="G1796">
        <v>10</v>
      </c>
      <c r="H1796">
        <v>-2695</v>
      </c>
      <c r="I1796" s="2">
        <f>sa_retail_sales[[#This Row],[Profit]] / sa_retail_sales[[#This Row],[Revenue]]</f>
        <v>-0.4320294966335364</v>
      </c>
      <c r="J1796">
        <f xml:space="preserve"> YEAR(sa_retail_sales[[#This Row],[Order Date]])</f>
        <v>2024</v>
      </c>
    </row>
    <row r="1797" spans="1:10" x14ac:dyDescent="0.3">
      <c r="A1797" s="1">
        <v>45610</v>
      </c>
      <c r="B1797" t="s">
        <v>18</v>
      </c>
      <c r="C1797" t="s">
        <v>16</v>
      </c>
      <c r="D1797" t="s">
        <v>19</v>
      </c>
      <c r="E1797">
        <v>6484</v>
      </c>
      <c r="F1797">
        <v>5306</v>
      </c>
      <c r="G1797">
        <v>5</v>
      </c>
      <c r="H1797">
        <v>1178</v>
      </c>
      <c r="I1797" s="2">
        <f>sa_retail_sales[[#This Row],[Profit]] / sa_retail_sales[[#This Row],[Revenue]]</f>
        <v>0.18167797655768045</v>
      </c>
      <c r="J1797">
        <f xml:space="preserve"> YEAR(sa_retail_sales[[#This Row],[Order Date]])</f>
        <v>2024</v>
      </c>
    </row>
    <row r="1798" spans="1:10" x14ac:dyDescent="0.3">
      <c r="A1798" s="1">
        <v>45043</v>
      </c>
      <c r="B1798" t="s">
        <v>8</v>
      </c>
      <c r="C1798" t="s">
        <v>14</v>
      </c>
      <c r="D1798" t="s">
        <v>10</v>
      </c>
      <c r="E1798">
        <v>2270</v>
      </c>
      <c r="F1798">
        <v>1859</v>
      </c>
      <c r="G1798">
        <v>20</v>
      </c>
      <c r="H1798">
        <v>411</v>
      </c>
      <c r="I1798" s="2">
        <f>sa_retail_sales[[#This Row],[Profit]] / sa_retail_sales[[#This Row],[Revenue]]</f>
        <v>0.18105726872246697</v>
      </c>
      <c r="J1798">
        <f xml:space="preserve"> YEAR(sa_retail_sales[[#This Row],[Order Date]])</f>
        <v>2023</v>
      </c>
    </row>
    <row r="1799" spans="1:10" x14ac:dyDescent="0.3">
      <c r="A1799" s="1">
        <v>45478</v>
      </c>
      <c r="B1799" t="s">
        <v>18</v>
      </c>
      <c r="C1799" t="s">
        <v>16</v>
      </c>
      <c r="D1799" t="s">
        <v>10</v>
      </c>
      <c r="E1799">
        <v>12805</v>
      </c>
      <c r="F1799">
        <v>2041</v>
      </c>
      <c r="G1799">
        <v>0</v>
      </c>
      <c r="H1799">
        <v>10764</v>
      </c>
      <c r="I1799" s="2">
        <f>sa_retail_sales[[#This Row],[Profit]] / sa_retail_sales[[#This Row],[Revenue]]</f>
        <v>0.84060913705583762</v>
      </c>
      <c r="J1799">
        <f xml:space="preserve"> YEAR(sa_retail_sales[[#This Row],[Order Date]])</f>
        <v>2024</v>
      </c>
    </row>
    <row r="1800" spans="1:10" x14ac:dyDescent="0.3">
      <c r="A1800" s="1">
        <v>45555</v>
      </c>
      <c r="B1800" t="s">
        <v>8</v>
      </c>
      <c r="C1800" t="s">
        <v>13</v>
      </c>
      <c r="D1800" t="s">
        <v>19</v>
      </c>
      <c r="E1800">
        <v>10469</v>
      </c>
      <c r="F1800">
        <v>6130</v>
      </c>
      <c r="G1800">
        <v>5</v>
      </c>
      <c r="H1800">
        <v>4339</v>
      </c>
      <c r="I1800" s="2">
        <f>sa_retail_sales[[#This Row],[Profit]] / sa_retail_sales[[#This Row],[Revenue]]</f>
        <v>0.41446174419715348</v>
      </c>
      <c r="J1800">
        <f xml:space="preserve"> YEAR(sa_retail_sales[[#This Row],[Order Date]])</f>
        <v>2024</v>
      </c>
    </row>
    <row r="1801" spans="1:10" x14ac:dyDescent="0.3">
      <c r="A1801" s="1">
        <v>45525</v>
      </c>
      <c r="B1801" t="s">
        <v>18</v>
      </c>
      <c r="C1801" t="s">
        <v>16</v>
      </c>
      <c r="D1801" t="s">
        <v>15</v>
      </c>
      <c r="E1801">
        <v>12904</v>
      </c>
      <c r="F1801">
        <v>7823</v>
      </c>
      <c r="G1801">
        <v>15</v>
      </c>
      <c r="H1801">
        <v>5081</v>
      </c>
      <c r="I1801" s="2">
        <f>sa_retail_sales[[#This Row],[Profit]] / sa_retail_sales[[#This Row],[Revenue]]</f>
        <v>0.39375387476751394</v>
      </c>
      <c r="J1801">
        <f xml:space="preserve"> YEAR(sa_retail_sales[[#This Row],[Order Date]])</f>
        <v>2024</v>
      </c>
    </row>
    <row r="1802" spans="1:10" x14ac:dyDescent="0.3">
      <c r="A1802" s="1">
        <v>45098</v>
      </c>
      <c r="B1802" t="s">
        <v>8</v>
      </c>
      <c r="C1802" t="s">
        <v>13</v>
      </c>
      <c r="D1802" t="s">
        <v>15</v>
      </c>
      <c r="E1802">
        <v>9489</v>
      </c>
      <c r="F1802">
        <v>925</v>
      </c>
      <c r="G1802">
        <v>15</v>
      </c>
      <c r="H1802">
        <v>8564</v>
      </c>
      <c r="I1802" s="2">
        <f>sa_retail_sales[[#This Row],[Profit]] / sa_retail_sales[[#This Row],[Revenue]]</f>
        <v>0.90251870586995464</v>
      </c>
      <c r="J1802">
        <f xml:space="preserve"> YEAR(sa_retail_sales[[#This Row],[Order Date]])</f>
        <v>2023</v>
      </c>
    </row>
    <row r="1803" spans="1:10" x14ac:dyDescent="0.3">
      <c r="A1803" s="1">
        <v>45597</v>
      </c>
      <c r="B1803" t="s">
        <v>8</v>
      </c>
      <c r="C1803" t="s">
        <v>16</v>
      </c>
      <c r="D1803" t="s">
        <v>12</v>
      </c>
      <c r="E1803">
        <v>3715</v>
      </c>
      <c r="F1803">
        <v>1990</v>
      </c>
      <c r="G1803">
        <v>5</v>
      </c>
      <c r="H1803">
        <v>1725</v>
      </c>
      <c r="I1803" s="2">
        <f>sa_retail_sales[[#This Row],[Profit]] / sa_retail_sales[[#This Row],[Revenue]]</f>
        <v>0.46433378196500674</v>
      </c>
      <c r="J1803">
        <f xml:space="preserve"> YEAR(sa_retail_sales[[#This Row],[Order Date]])</f>
        <v>2024</v>
      </c>
    </row>
    <row r="1804" spans="1:10" x14ac:dyDescent="0.3">
      <c r="A1804" s="1">
        <v>44689</v>
      </c>
      <c r="B1804" t="s">
        <v>8</v>
      </c>
      <c r="C1804" t="s">
        <v>9</v>
      </c>
      <c r="D1804" t="s">
        <v>10</v>
      </c>
      <c r="E1804">
        <v>12480</v>
      </c>
      <c r="F1804">
        <v>11273</v>
      </c>
      <c r="G1804">
        <v>15</v>
      </c>
      <c r="H1804">
        <v>1207</v>
      </c>
      <c r="I1804" s="2">
        <f>sa_retail_sales[[#This Row],[Profit]] / sa_retail_sales[[#This Row],[Revenue]]</f>
        <v>9.6714743589743593E-2</v>
      </c>
      <c r="J1804">
        <f xml:space="preserve"> YEAR(sa_retail_sales[[#This Row],[Order Date]])</f>
        <v>2022</v>
      </c>
    </row>
    <row r="1805" spans="1:10" x14ac:dyDescent="0.3">
      <c r="A1805" s="1">
        <v>44653</v>
      </c>
      <c r="B1805" t="s">
        <v>8</v>
      </c>
      <c r="C1805" t="s">
        <v>14</v>
      </c>
      <c r="D1805" t="s">
        <v>15</v>
      </c>
      <c r="E1805">
        <v>7194</v>
      </c>
      <c r="F1805">
        <v>8582</v>
      </c>
      <c r="G1805">
        <v>5</v>
      </c>
      <c r="H1805">
        <v>-1388</v>
      </c>
      <c r="I1805" s="2">
        <f>sa_retail_sales[[#This Row],[Profit]] / sa_retail_sales[[#This Row],[Revenue]]</f>
        <v>-0.19293855991103698</v>
      </c>
      <c r="J1805">
        <f xml:space="preserve"> YEAR(sa_retail_sales[[#This Row],[Order Date]])</f>
        <v>2022</v>
      </c>
    </row>
    <row r="1806" spans="1:10" x14ac:dyDescent="0.3">
      <c r="A1806" s="1">
        <v>45104</v>
      </c>
      <c r="B1806" t="s">
        <v>8</v>
      </c>
      <c r="C1806" t="s">
        <v>14</v>
      </c>
      <c r="D1806" t="s">
        <v>12</v>
      </c>
      <c r="E1806">
        <v>3476</v>
      </c>
      <c r="F1806">
        <v>6610</v>
      </c>
      <c r="G1806">
        <v>0</v>
      </c>
      <c r="H1806">
        <v>-3134</v>
      </c>
      <c r="I1806" s="2">
        <f>sa_retail_sales[[#This Row],[Profit]] / sa_retail_sales[[#This Row],[Revenue]]</f>
        <v>-0.90161104718066742</v>
      </c>
      <c r="J1806">
        <f xml:space="preserve"> YEAR(sa_retail_sales[[#This Row],[Order Date]])</f>
        <v>2023</v>
      </c>
    </row>
    <row r="1807" spans="1:10" x14ac:dyDescent="0.3">
      <c r="A1807" s="1">
        <v>45407</v>
      </c>
      <c r="B1807" t="s">
        <v>8</v>
      </c>
      <c r="C1807" t="s">
        <v>9</v>
      </c>
      <c r="D1807" t="s">
        <v>15</v>
      </c>
      <c r="E1807">
        <v>4237</v>
      </c>
      <c r="F1807">
        <v>3306</v>
      </c>
      <c r="G1807">
        <v>5</v>
      </c>
      <c r="H1807">
        <v>931</v>
      </c>
      <c r="I1807" s="2">
        <f>sa_retail_sales[[#This Row],[Profit]] / sa_retail_sales[[#This Row],[Revenue]]</f>
        <v>0.21973094170403587</v>
      </c>
      <c r="J1807">
        <f xml:space="preserve"> YEAR(sa_retail_sales[[#This Row],[Order Date]])</f>
        <v>2024</v>
      </c>
    </row>
    <row r="1808" spans="1:10" x14ac:dyDescent="0.3">
      <c r="A1808" s="1">
        <v>45550</v>
      </c>
      <c r="B1808" t="s">
        <v>8</v>
      </c>
      <c r="C1808" t="s">
        <v>9</v>
      </c>
      <c r="D1808" t="s">
        <v>10</v>
      </c>
      <c r="E1808">
        <v>10403</v>
      </c>
      <c r="F1808">
        <v>4602</v>
      </c>
      <c r="G1808">
        <v>20</v>
      </c>
      <c r="H1808">
        <v>5801</v>
      </c>
      <c r="I1808" s="2">
        <f>sa_retail_sales[[#This Row],[Profit]] / sa_retail_sales[[#This Row],[Revenue]]</f>
        <v>0.55762760742093631</v>
      </c>
      <c r="J1808">
        <f xml:space="preserve"> YEAR(sa_retail_sales[[#This Row],[Order Date]])</f>
        <v>2024</v>
      </c>
    </row>
    <row r="1809" spans="1:10" x14ac:dyDescent="0.3">
      <c r="A1809" s="1">
        <v>45008</v>
      </c>
      <c r="B1809" t="s">
        <v>8</v>
      </c>
      <c r="C1809" t="s">
        <v>14</v>
      </c>
      <c r="D1809" t="s">
        <v>12</v>
      </c>
      <c r="E1809">
        <v>1252</v>
      </c>
      <c r="F1809">
        <v>1388</v>
      </c>
      <c r="G1809">
        <v>20</v>
      </c>
      <c r="H1809">
        <v>-136</v>
      </c>
      <c r="I1809" s="2">
        <f>sa_retail_sales[[#This Row],[Profit]] / sa_retail_sales[[#This Row],[Revenue]]</f>
        <v>-0.10862619808306709</v>
      </c>
      <c r="J1809">
        <f xml:space="preserve"> YEAR(sa_retail_sales[[#This Row],[Order Date]])</f>
        <v>2023</v>
      </c>
    </row>
    <row r="1810" spans="1:10" x14ac:dyDescent="0.3">
      <c r="A1810" s="1">
        <v>44951</v>
      </c>
      <c r="B1810" t="s">
        <v>8</v>
      </c>
      <c r="C1810" t="s">
        <v>9</v>
      </c>
      <c r="D1810" t="s">
        <v>12</v>
      </c>
      <c r="E1810">
        <v>11161</v>
      </c>
      <c r="F1810">
        <v>6307</v>
      </c>
      <c r="G1810">
        <v>10</v>
      </c>
      <c r="H1810">
        <v>4854</v>
      </c>
      <c r="I1810" s="2">
        <f>sa_retail_sales[[#This Row],[Profit]] / sa_retail_sales[[#This Row],[Revenue]]</f>
        <v>0.43490726637398081</v>
      </c>
      <c r="J1810">
        <f xml:space="preserve"> YEAR(sa_retail_sales[[#This Row],[Order Date]])</f>
        <v>2023</v>
      </c>
    </row>
    <row r="1811" spans="1:10" x14ac:dyDescent="0.3">
      <c r="A1811" s="1">
        <v>45233</v>
      </c>
      <c r="B1811" t="s">
        <v>18</v>
      </c>
      <c r="C1811" t="s">
        <v>13</v>
      </c>
      <c r="D1811" t="s">
        <v>12</v>
      </c>
      <c r="E1811">
        <v>12661</v>
      </c>
      <c r="F1811">
        <v>4911</v>
      </c>
      <c r="G1811">
        <v>15</v>
      </c>
      <c r="H1811">
        <v>7750</v>
      </c>
      <c r="I1811" s="2">
        <f>sa_retail_sales[[#This Row],[Profit]] / sa_retail_sales[[#This Row],[Revenue]]</f>
        <v>0.61211594660769286</v>
      </c>
      <c r="J1811">
        <f xml:space="preserve"> YEAR(sa_retail_sales[[#This Row],[Order Date]])</f>
        <v>2023</v>
      </c>
    </row>
    <row r="1812" spans="1:10" x14ac:dyDescent="0.3">
      <c r="A1812" s="1">
        <v>44604</v>
      </c>
      <c r="B1812" t="s">
        <v>11</v>
      </c>
      <c r="C1812" t="s">
        <v>16</v>
      </c>
      <c r="D1812" t="s">
        <v>15</v>
      </c>
      <c r="E1812">
        <v>1892</v>
      </c>
      <c r="F1812">
        <v>9672</v>
      </c>
      <c r="G1812">
        <v>15</v>
      </c>
      <c r="H1812">
        <v>-7780</v>
      </c>
      <c r="I1812" s="2">
        <f>sa_retail_sales[[#This Row],[Profit]] / sa_retail_sales[[#This Row],[Revenue]]</f>
        <v>-4.1120507399577164</v>
      </c>
      <c r="J1812">
        <f xml:space="preserve"> YEAR(sa_retail_sales[[#This Row],[Order Date]])</f>
        <v>2022</v>
      </c>
    </row>
    <row r="1813" spans="1:10" x14ac:dyDescent="0.3">
      <c r="A1813" s="1">
        <v>44815</v>
      </c>
      <c r="B1813" t="s">
        <v>8</v>
      </c>
      <c r="C1813" t="s">
        <v>14</v>
      </c>
      <c r="D1813" t="s">
        <v>10</v>
      </c>
      <c r="E1813">
        <v>7289</v>
      </c>
      <c r="F1813">
        <v>8228</v>
      </c>
      <c r="G1813">
        <v>5</v>
      </c>
      <c r="H1813">
        <v>-939</v>
      </c>
      <c r="I1813" s="2">
        <f>sa_retail_sales[[#This Row],[Profit]] / sa_retail_sales[[#This Row],[Revenue]]</f>
        <v>-0.12882425572780903</v>
      </c>
      <c r="J1813">
        <f xml:space="preserve"> YEAR(sa_retail_sales[[#This Row],[Order Date]])</f>
        <v>2022</v>
      </c>
    </row>
    <row r="1814" spans="1:10" x14ac:dyDescent="0.3">
      <c r="A1814" s="1">
        <v>45645</v>
      </c>
      <c r="B1814" t="s">
        <v>11</v>
      </c>
      <c r="C1814" t="s">
        <v>9</v>
      </c>
      <c r="D1814" t="s">
        <v>12</v>
      </c>
      <c r="E1814">
        <v>11297</v>
      </c>
      <c r="F1814">
        <v>10393</v>
      </c>
      <c r="G1814">
        <v>15</v>
      </c>
      <c r="H1814">
        <v>904</v>
      </c>
      <c r="I1814" s="2">
        <f>sa_retail_sales[[#This Row],[Profit]] / sa_retail_sales[[#This Row],[Revenue]]</f>
        <v>8.0021244578206599E-2</v>
      </c>
      <c r="J1814">
        <f xml:space="preserve"> YEAR(sa_retail_sales[[#This Row],[Order Date]])</f>
        <v>2024</v>
      </c>
    </row>
    <row r="1815" spans="1:10" x14ac:dyDescent="0.3">
      <c r="A1815" s="1">
        <v>45224</v>
      </c>
      <c r="B1815" t="s">
        <v>8</v>
      </c>
      <c r="C1815" t="s">
        <v>13</v>
      </c>
      <c r="D1815" t="s">
        <v>19</v>
      </c>
      <c r="E1815">
        <v>14885</v>
      </c>
      <c r="F1815">
        <v>4790</v>
      </c>
      <c r="G1815">
        <v>20</v>
      </c>
      <c r="H1815">
        <v>10095</v>
      </c>
      <c r="I1815" s="2">
        <f>sa_retail_sales[[#This Row],[Profit]] / sa_retail_sales[[#This Row],[Revenue]]</f>
        <v>0.67819952972791397</v>
      </c>
      <c r="J1815">
        <f xml:space="preserve"> YEAR(sa_retail_sales[[#This Row],[Order Date]])</f>
        <v>2023</v>
      </c>
    </row>
    <row r="1816" spans="1:10" x14ac:dyDescent="0.3">
      <c r="A1816" s="1">
        <v>45028</v>
      </c>
      <c r="B1816" t="s">
        <v>8</v>
      </c>
      <c r="C1816" t="s">
        <v>14</v>
      </c>
      <c r="D1816" t="s">
        <v>10</v>
      </c>
      <c r="E1816">
        <v>1177</v>
      </c>
      <c r="F1816">
        <v>8678</v>
      </c>
      <c r="G1816">
        <v>0</v>
      </c>
      <c r="H1816">
        <v>-7501</v>
      </c>
      <c r="I1816" s="2">
        <f>sa_retail_sales[[#This Row],[Profit]] / sa_retail_sales[[#This Row],[Revenue]]</f>
        <v>-6.3729821580288872</v>
      </c>
      <c r="J1816">
        <f xml:space="preserve"> YEAR(sa_retail_sales[[#This Row],[Order Date]])</f>
        <v>2023</v>
      </c>
    </row>
    <row r="1817" spans="1:10" x14ac:dyDescent="0.3">
      <c r="A1817" s="1">
        <v>44848</v>
      </c>
      <c r="B1817" t="s">
        <v>18</v>
      </c>
      <c r="C1817" t="s">
        <v>9</v>
      </c>
      <c r="D1817" t="s">
        <v>19</v>
      </c>
      <c r="E1817">
        <v>605</v>
      </c>
      <c r="F1817">
        <v>1897</v>
      </c>
      <c r="G1817">
        <v>5</v>
      </c>
      <c r="H1817">
        <v>-1292</v>
      </c>
      <c r="I1817" s="2">
        <f>sa_retail_sales[[#This Row],[Profit]] / sa_retail_sales[[#This Row],[Revenue]]</f>
        <v>-2.1355371900826445</v>
      </c>
      <c r="J1817">
        <f xml:space="preserve"> YEAR(sa_retail_sales[[#This Row],[Order Date]])</f>
        <v>2022</v>
      </c>
    </row>
    <row r="1818" spans="1:10" x14ac:dyDescent="0.3">
      <c r="A1818" s="1">
        <v>45572</v>
      </c>
      <c r="B1818" t="s">
        <v>17</v>
      </c>
      <c r="C1818" t="s">
        <v>14</v>
      </c>
      <c r="D1818" t="s">
        <v>19</v>
      </c>
      <c r="E1818">
        <v>11979</v>
      </c>
      <c r="F1818">
        <v>11900</v>
      </c>
      <c r="G1818">
        <v>15</v>
      </c>
      <c r="H1818">
        <v>79</v>
      </c>
      <c r="I1818" s="2">
        <f>sa_retail_sales[[#This Row],[Profit]] / sa_retail_sales[[#This Row],[Revenue]]</f>
        <v>6.5948743634694044E-3</v>
      </c>
      <c r="J1818">
        <f xml:space="preserve"> YEAR(sa_retail_sales[[#This Row],[Order Date]])</f>
        <v>2024</v>
      </c>
    </row>
    <row r="1819" spans="1:10" x14ac:dyDescent="0.3">
      <c r="A1819" s="1">
        <v>45339</v>
      </c>
      <c r="B1819" t="s">
        <v>17</v>
      </c>
      <c r="C1819" t="s">
        <v>9</v>
      </c>
      <c r="D1819" t="s">
        <v>12</v>
      </c>
      <c r="E1819">
        <v>5253</v>
      </c>
      <c r="F1819">
        <v>4047</v>
      </c>
      <c r="G1819">
        <v>20</v>
      </c>
      <c r="H1819">
        <v>1206</v>
      </c>
      <c r="I1819" s="2">
        <f>sa_retail_sales[[#This Row],[Profit]] / sa_retail_sales[[#This Row],[Revenue]]</f>
        <v>0.22958309537407195</v>
      </c>
      <c r="J1819">
        <f xml:space="preserve"> YEAR(sa_retail_sales[[#This Row],[Order Date]])</f>
        <v>2024</v>
      </c>
    </row>
    <row r="1820" spans="1:10" x14ac:dyDescent="0.3">
      <c r="A1820" s="1">
        <v>44906</v>
      </c>
      <c r="B1820" t="s">
        <v>18</v>
      </c>
      <c r="C1820" t="s">
        <v>14</v>
      </c>
      <c r="D1820" t="s">
        <v>12</v>
      </c>
      <c r="E1820">
        <v>2446</v>
      </c>
      <c r="F1820">
        <v>2970</v>
      </c>
      <c r="G1820">
        <v>10</v>
      </c>
      <c r="H1820">
        <v>-524</v>
      </c>
      <c r="I1820" s="2">
        <f>sa_retail_sales[[#This Row],[Profit]] / sa_retail_sales[[#This Row],[Revenue]]</f>
        <v>-0.214227309893704</v>
      </c>
      <c r="J1820">
        <f xml:space="preserve"> YEAR(sa_retail_sales[[#This Row],[Order Date]])</f>
        <v>2022</v>
      </c>
    </row>
    <row r="1821" spans="1:10" x14ac:dyDescent="0.3">
      <c r="A1821" s="1">
        <v>45203</v>
      </c>
      <c r="B1821" t="s">
        <v>11</v>
      </c>
      <c r="C1821" t="s">
        <v>13</v>
      </c>
      <c r="D1821" t="s">
        <v>15</v>
      </c>
      <c r="E1821">
        <v>6044</v>
      </c>
      <c r="F1821">
        <v>8731</v>
      </c>
      <c r="G1821">
        <v>15</v>
      </c>
      <c r="H1821">
        <v>-2687</v>
      </c>
      <c r="I1821" s="2">
        <f>sa_retail_sales[[#This Row],[Profit]] / sa_retail_sales[[#This Row],[Revenue]]</f>
        <v>-0.44457313037723362</v>
      </c>
      <c r="J1821">
        <f xml:space="preserve"> YEAR(sa_retail_sales[[#This Row],[Order Date]])</f>
        <v>2023</v>
      </c>
    </row>
    <row r="1822" spans="1:10" x14ac:dyDescent="0.3">
      <c r="A1822" s="1">
        <v>44943</v>
      </c>
      <c r="B1822" t="s">
        <v>17</v>
      </c>
      <c r="C1822" t="s">
        <v>13</v>
      </c>
      <c r="D1822" t="s">
        <v>15</v>
      </c>
      <c r="E1822">
        <v>1595</v>
      </c>
      <c r="F1822">
        <v>2880</v>
      </c>
      <c r="G1822">
        <v>0</v>
      </c>
      <c r="H1822">
        <v>-1285</v>
      </c>
      <c r="I1822" s="2">
        <f>sa_retail_sales[[#This Row],[Profit]] / sa_retail_sales[[#This Row],[Revenue]]</f>
        <v>-0.80564263322884011</v>
      </c>
      <c r="J1822">
        <f xml:space="preserve"> YEAR(sa_retail_sales[[#This Row],[Order Date]])</f>
        <v>2023</v>
      </c>
    </row>
    <row r="1823" spans="1:10" x14ac:dyDescent="0.3">
      <c r="A1823" s="1">
        <v>45251</v>
      </c>
      <c r="B1823" t="s">
        <v>18</v>
      </c>
      <c r="C1823" t="s">
        <v>16</v>
      </c>
      <c r="D1823" t="s">
        <v>15</v>
      </c>
      <c r="E1823">
        <v>13775</v>
      </c>
      <c r="F1823">
        <v>7732</v>
      </c>
      <c r="G1823">
        <v>0</v>
      </c>
      <c r="H1823">
        <v>6043</v>
      </c>
      <c r="I1823" s="2">
        <f>sa_retail_sales[[#This Row],[Profit]] / sa_retail_sales[[#This Row],[Revenue]]</f>
        <v>0.43869328493647913</v>
      </c>
      <c r="J1823">
        <f xml:space="preserve"> YEAR(sa_retail_sales[[#This Row],[Order Date]])</f>
        <v>2023</v>
      </c>
    </row>
    <row r="1824" spans="1:10" x14ac:dyDescent="0.3">
      <c r="A1824" s="1">
        <v>45641</v>
      </c>
      <c r="B1824" t="s">
        <v>18</v>
      </c>
      <c r="C1824" t="s">
        <v>14</v>
      </c>
      <c r="D1824" t="s">
        <v>10</v>
      </c>
      <c r="E1824">
        <v>7485</v>
      </c>
      <c r="F1824">
        <v>8630</v>
      </c>
      <c r="G1824">
        <v>15</v>
      </c>
      <c r="H1824">
        <v>-1145</v>
      </c>
      <c r="I1824" s="2">
        <f>sa_retail_sales[[#This Row],[Profit]] / sa_retail_sales[[#This Row],[Revenue]]</f>
        <v>-0.15297261189044756</v>
      </c>
      <c r="J1824">
        <f xml:space="preserve"> YEAR(sa_retail_sales[[#This Row],[Order Date]])</f>
        <v>2024</v>
      </c>
    </row>
    <row r="1825" spans="1:10" x14ac:dyDescent="0.3">
      <c r="A1825" s="1">
        <v>45018</v>
      </c>
      <c r="B1825" t="s">
        <v>17</v>
      </c>
      <c r="C1825" t="s">
        <v>16</v>
      </c>
      <c r="D1825" t="s">
        <v>15</v>
      </c>
      <c r="E1825">
        <v>14596</v>
      </c>
      <c r="F1825">
        <v>2806</v>
      </c>
      <c r="G1825">
        <v>15</v>
      </c>
      <c r="H1825">
        <v>11790</v>
      </c>
      <c r="I1825" s="2">
        <f>sa_retail_sales[[#This Row],[Profit]] / sa_retail_sales[[#This Row],[Revenue]]</f>
        <v>0.80775554946560701</v>
      </c>
      <c r="J1825">
        <f xml:space="preserve"> YEAR(sa_retail_sales[[#This Row],[Order Date]])</f>
        <v>2023</v>
      </c>
    </row>
    <row r="1826" spans="1:10" x14ac:dyDescent="0.3">
      <c r="A1826" s="1">
        <v>45544</v>
      </c>
      <c r="B1826" t="s">
        <v>11</v>
      </c>
      <c r="C1826" t="s">
        <v>14</v>
      </c>
      <c r="D1826" t="s">
        <v>19</v>
      </c>
      <c r="E1826">
        <v>2282</v>
      </c>
      <c r="F1826">
        <v>5025</v>
      </c>
      <c r="G1826">
        <v>20</v>
      </c>
      <c r="H1826">
        <v>-2743</v>
      </c>
      <c r="I1826" s="2">
        <f>sa_retail_sales[[#This Row],[Profit]] / sa_retail_sales[[#This Row],[Revenue]]</f>
        <v>-1.2020157756354075</v>
      </c>
      <c r="J1826">
        <f xml:space="preserve"> YEAR(sa_retail_sales[[#This Row],[Order Date]])</f>
        <v>2024</v>
      </c>
    </row>
    <row r="1827" spans="1:10" x14ac:dyDescent="0.3">
      <c r="A1827" s="1">
        <v>44644</v>
      </c>
      <c r="B1827" t="s">
        <v>18</v>
      </c>
      <c r="C1827" t="s">
        <v>9</v>
      </c>
      <c r="D1827" t="s">
        <v>15</v>
      </c>
      <c r="E1827">
        <v>5041</v>
      </c>
      <c r="F1827">
        <v>10737</v>
      </c>
      <c r="G1827">
        <v>15</v>
      </c>
      <c r="H1827">
        <v>-5696</v>
      </c>
      <c r="I1827" s="2">
        <f>sa_retail_sales[[#This Row],[Profit]] / sa_retail_sales[[#This Row],[Revenue]]</f>
        <v>-1.1299345367982543</v>
      </c>
      <c r="J1827">
        <f xml:space="preserve"> YEAR(sa_retail_sales[[#This Row],[Order Date]])</f>
        <v>2022</v>
      </c>
    </row>
    <row r="1828" spans="1:10" x14ac:dyDescent="0.3">
      <c r="A1828" s="1">
        <v>44710</v>
      </c>
      <c r="B1828" t="s">
        <v>8</v>
      </c>
      <c r="C1828" t="s">
        <v>9</v>
      </c>
      <c r="D1828" t="s">
        <v>12</v>
      </c>
      <c r="E1828">
        <v>14736</v>
      </c>
      <c r="F1828">
        <v>4600</v>
      </c>
      <c r="G1828">
        <v>10</v>
      </c>
      <c r="H1828">
        <v>10136</v>
      </c>
      <c r="I1828" s="2">
        <f>sa_retail_sales[[#This Row],[Profit]] / sa_retail_sales[[#This Row],[Revenue]]</f>
        <v>0.68783930510314872</v>
      </c>
      <c r="J1828">
        <f xml:space="preserve"> YEAR(sa_retail_sales[[#This Row],[Order Date]])</f>
        <v>2022</v>
      </c>
    </row>
    <row r="1829" spans="1:10" x14ac:dyDescent="0.3">
      <c r="A1829" s="1">
        <v>44751</v>
      </c>
      <c r="B1829" t="s">
        <v>11</v>
      </c>
      <c r="C1829" t="s">
        <v>16</v>
      </c>
      <c r="D1829" t="s">
        <v>15</v>
      </c>
      <c r="E1829">
        <v>3757</v>
      </c>
      <c r="F1829">
        <v>10241</v>
      </c>
      <c r="G1829">
        <v>20</v>
      </c>
      <c r="H1829">
        <v>-6484</v>
      </c>
      <c r="I1829" s="2">
        <f>sa_retail_sales[[#This Row],[Profit]] / sa_retail_sales[[#This Row],[Revenue]]</f>
        <v>-1.7258450891668884</v>
      </c>
      <c r="J1829">
        <f xml:space="preserve"> YEAR(sa_retail_sales[[#This Row],[Order Date]])</f>
        <v>2022</v>
      </c>
    </row>
    <row r="1830" spans="1:10" x14ac:dyDescent="0.3">
      <c r="A1830" s="1">
        <v>45444</v>
      </c>
      <c r="B1830" t="s">
        <v>11</v>
      </c>
      <c r="C1830" t="s">
        <v>14</v>
      </c>
      <c r="D1830" t="s">
        <v>10</v>
      </c>
      <c r="E1830">
        <v>6713</v>
      </c>
      <c r="F1830">
        <v>9059</v>
      </c>
      <c r="G1830">
        <v>5</v>
      </c>
      <c r="H1830">
        <v>-2346</v>
      </c>
      <c r="I1830" s="2">
        <f>sa_retail_sales[[#This Row],[Profit]] / sa_retail_sales[[#This Row],[Revenue]]</f>
        <v>-0.34947117533144645</v>
      </c>
      <c r="J1830">
        <f xml:space="preserve"> YEAR(sa_retail_sales[[#This Row],[Order Date]])</f>
        <v>2024</v>
      </c>
    </row>
    <row r="1831" spans="1:10" x14ac:dyDescent="0.3">
      <c r="A1831" s="1">
        <v>44824</v>
      </c>
      <c r="B1831" t="s">
        <v>17</v>
      </c>
      <c r="C1831" t="s">
        <v>16</v>
      </c>
      <c r="D1831" t="s">
        <v>10</v>
      </c>
      <c r="E1831">
        <v>10689</v>
      </c>
      <c r="F1831">
        <v>7302</v>
      </c>
      <c r="G1831">
        <v>10</v>
      </c>
      <c r="H1831">
        <v>3387</v>
      </c>
      <c r="I1831" s="2">
        <f>sa_retail_sales[[#This Row],[Profit]] / sa_retail_sales[[#This Row],[Revenue]]</f>
        <v>0.31686780802694359</v>
      </c>
      <c r="J1831">
        <f xml:space="preserve"> YEAR(sa_retail_sales[[#This Row],[Order Date]])</f>
        <v>2022</v>
      </c>
    </row>
    <row r="1832" spans="1:10" x14ac:dyDescent="0.3">
      <c r="A1832" s="1">
        <v>44961</v>
      </c>
      <c r="B1832" t="s">
        <v>17</v>
      </c>
      <c r="C1832" t="s">
        <v>13</v>
      </c>
      <c r="D1832" t="s">
        <v>19</v>
      </c>
      <c r="E1832">
        <v>14985</v>
      </c>
      <c r="F1832">
        <v>9373</v>
      </c>
      <c r="G1832">
        <v>20</v>
      </c>
      <c r="H1832">
        <v>5612</v>
      </c>
      <c r="I1832" s="2">
        <f>sa_retail_sales[[#This Row],[Profit]] / sa_retail_sales[[#This Row],[Revenue]]</f>
        <v>0.37450784117450786</v>
      </c>
      <c r="J1832">
        <f xml:space="preserve"> YEAR(sa_retail_sales[[#This Row],[Order Date]])</f>
        <v>2023</v>
      </c>
    </row>
    <row r="1833" spans="1:10" x14ac:dyDescent="0.3">
      <c r="A1833" s="1">
        <v>45325</v>
      </c>
      <c r="B1833" t="s">
        <v>8</v>
      </c>
      <c r="C1833" t="s">
        <v>16</v>
      </c>
      <c r="D1833" t="s">
        <v>10</v>
      </c>
      <c r="E1833">
        <v>5369</v>
      </c>
      <c r="F1833">
        <v>6431</v>
      </c>
      <c r="G1833">
        <v>20</v>
      </c>
      <c r="H1833">
        <v>-1062</v>
      </c>
      <c r="I1833" s="2">
        <f>sa_retail_sales[[#This Row],[Profit]] / sa_retail_sales[[#This Row],[Revenue]]</f>
        <v>-0.19780219780219779</v>
      </c>
      <c r="J1833">
        <f xml:space="preserve"> YEAR(sa_retail_sales[[#This Row],[Order Date]])</f>
        <v>2024</v>
      </c>
    </row>
    <row r="1834" spans="1:10" x14ac:dyDescent="0.3">
      <c r="A1834" s="1">
        <v>45170</v>
      </c>
      <c r="B1834" t="s">
        <v>18</v>
      </c>
      <c r="C1834" t="s">
        <v>16</v>
      </c>
      <c r="D1834" t="s">
        <v>15</v>
      </c>
      <c r="E1834">
        <v>2061</v>
      </c>
      <c r="F1834">
        <v>9131</v>
      </c>
      <c r="G1834">
        <v>0</v>
      </c>
      <c r="H1834">
        <v>-7070</v>
      </c>
      <c r="I1834" s="2">
        <f>sa_retail_sales[[#This Row],[Profit]] / sa_retail_sales[[#This Row],[Revenue]]</f>
        <v>-3.430373605046094</v>
      </c>
      <c r="J1834">
        <f xml:space="preserve"> YEAR(sa_retail_sales[[#This Row],[Order Date]])</f>
        <v>2023</v>
      </c>
    </row>
    <row r="1835" spans="1:10" x14ac:dyDescent="0.3">
      <c r="A1835" s="1">
        <v>45346</v>
      </c>
      <c r="B1835" t="s">
        <v>17</v>
      </c>
      <c r="C1835" t="s">
        <v>9</v>
      </c>
      <c r="D1835" t="s">
        <v>12</v>
      </c>
      <c r="E1835">
        <v>4506</v>
      </c>
      <c r="F1835">
        <v>4837</v>
      </c>
      <c r="G1835">
        <v>20</v>
      </c>
      <c r="H1835">
        <v>-331</v>
      </c>
      <c r="I1835" s="2">
        <f>sa_retail_sales[[#This Row],[Profit]] / sa_retail_sales[[#This Row],[Revenue]]</f>
        <v>-7.3457612072791834E-2</v>
      </c>
      <c r="J1835">
        <f xml:space="preserve"> YEAR(sa_retail_sales[[#This Row],[Order Date]])</f>
        <v>2024</v>
      </c>
    </row>
    <row r="1836" spans="1:10" x14ac:dyDescent="0.3">
      <c r="A1836" s="1">
        <v>44662</v>
      </c>
      <c r="B1836" t="s">
        <v>17</v>
      </c>
      <c r="C1836" t="s">
        <v>16</v>
      </c>
      <c r="D1836" t="s">
        <v>10</v>
      </c>
      <c r="E1836">
        <v>10367</v>
      </c>
      <c r="F1836">
        <v>2635</v>
      </c>
      <c r="G1836">
        <v>10</v>
      </c>
      <c r="H1836">
        <v>7732</v>
      </c>
      <c r="I1836" s="2">
        <f>sa_retail_sales[[#This Row],[Profit]] / sa_retail_sales[[#This Row],[Revenue]]</f>
        <v>0.74582810842095104</v>
      </c>
      <c r="J1836">
        <f xml:space="preserve"> YEAR(sa_retail_sales[[#This Row],[Order Date]])</f>
        <v>2022</v>
      </c>
    </row>
    <row r="1837" spans="1:10" x14ac:dyDescent="0.3">
      <c r="A1837" s="1">
        <v>45381</v>
      </c>
      <c r="B1837" t="s">
        <v>11</v>
      </c>
      <c r="C1837" t="s">
        <v>14</v>
      </c>
      <c r="D1837" t="s">
        <v>19</v>
      </c>
      <c r="E1837">
        <v>9814</v>
      </c>
      <c r="F1837">
        <v>4621</v>
      </c>
      <c r="G1837">
        <v>15</v>
      </c>
      <c r="H1837">
        <v>5193</v>
      </c>
      <c r="I1837" s="2">
        <f>sa_retail_sales[[#This Row],[Profit]] / sa_retail_sales[[#This Row],[Revenue]]</f>
        <v>0.52914204198084369</v>
      </c>
      <c r="J1837">
        <f xml:space="preserve"> YEAR(sa_retail_sales[[#This Row],[Order Date]])</f>
        <v>2024</v>
      </c>
    </row>
    <row r="1838" spans="1:10" x14ac:dyDescent="0.3">
      <c r="A1838" s="1">
        <v>45381</v>
      </c>
      <c r="B1838" t="s">
        <v>17</v>
      </c>
      <c r="C1838" t="s">
        <v>9</v>
      </c>
      <c r="D1838" t="s">
        <v>15</v>
      </c>
      <c r="E1838">
        <v>4481</v>
      </c>
      <c r="F1838">
        <v>3285</v>
      </c>
      <c r="G1838">
        <v>10</v>
      </c>
      <c r="H1838">
        <v>1196</v>
      </c>
      <c r="I1838" s="2">
        <f>sa_retail_sales[[#This Row],[Profit]] / sa_retail_sales[[#This Row],[Revenue]]</f>
        <v>0.26690470877036376</v>
      </c>
      <c r="J1838">
        <f xml:space="preserve"> YEAR(sa_retail_sales[[#This Row],[Order Date]])</f>
        <v>2024</v>
      </c>
    </row>
    <row r="1839" spans="1:10" x14ac:dyDescent="0.3">
      <c r="A1839" s="1">
        <v>44981</v>
      </c>
      <c r="B1839" t="s">
        <v>17</v>
      </c>
      <c r="C1839" t="s">
        <v>16</v>
      </c>
      <c r="D1839" t="s">
        <v>19</v>
      </c>
      <c r="E1839">
        <v>9993</v>
      </c>
      <c r="F1839">
        <v>859</v>
      </c>
      <c r="G1839">
        <v>5</v>
      </c>
      <c r="H1839">
        <v>9134</v>
      </c>
      <c r="I1839" s="2">
        <f>sa_retail_sales[[#This Row],[Profit]] / sa_retail_sales[[#This Row],[Revenue]]</f>
        <v>0.91403982787951565</v>
      </c>
      <c r="J1839">
        <f xml:space="preserve"> YEAR(sa_retail_sales[[#This Row],[Order Date]])</f>
        <v>2023</v>
      </c>
    </row>
    <row r="1840" spans="1:10" x14ac:dyDescent="0.3">
      <c r="A1840" s="1">
        <v>44685</v>
      </c>
      <c r="B1840" t="s">
        <v>17</v>
      </c>
      <c r="C1840" t="s">
        <v>13</v>
      </c>
      <c r="D1840" t="s">
        <v>10</v>
      </c>
      <c r="E1840">
        <v>6182</v>
      </c>
      <c r="F1840">
        <v>1013</v>
      </c>
      <c r="G1840">
        <v>20</v>
      </c>
      <c r="H1840">
        <v>5169</v>
      </c>
      <c r="I1840" s="2">
        <f>sa_retail_sales[[#This Row],[Profit]] / sa_retail_sales[[#This Row],[Revenue]]</f>
        <v>0.83613717243610486</v>
      </c>
      <c r="J1840">
        <f xml:space="preserve"> YEAR(sa_retail_sales[[#This Row],[Order Date]])</f>
        <v>2022</v>
      </c>
    </row>
    <row r="1841" spans="1:10" x14ac:dyDescent="0.3">
      <c r="A1841" s="1">
        <v>44983</v>
      </c>
      <c r="B1841" t="s">
        <v>17</v>
      </c>
      <c r="C1841" t="s">
        <v>16</v>
      </c>
      <c r="D1841" t="s">
        <v>10</v>
      </c>
      <c r="E1841">
        <v>6282</v>
      </c>
      <c r="F1841">
        <v>4893</v>
      </c>
      <c r="G1841">
        <v>20</v>
      </c>
      <c r="H1841">
        <v>1389</v>
      </c>
      <c r="I1841" s="2">
        <f>sa_retail_sales[[#This Row],[Profit]] / sa_retail_sales[[#This Row],[Revenue]]</f>
        <v>0.22110792741165233</v>
      </c>
      <c r="J1841">
        <f xml:space="preserve"> YEAR(sa_retail_sales[[#This Row],[Order Date]])</f>
        <v>2023</v>
      </c>
    </row>
    <row r="1842" spans="1:10" x14ac:dyDescent="0.3">
      <c r="A1842" s="1">
        <v>45648</v>
      </c>
      <c r="B1842" t="s">
        <v>11</v>
      </c>
      <c r="C1842" t="s">
        <v>16</v>
      </c>
      <c r="D1842" t="s">
        <v>19</v>
      </c>
      <c r="E1842">
        <v>1443</v>
      </c>
      <c r="F1842">
        <v>4288</v>
      </c>
      <c r="G1842">
        <v>20</v>
      </c>
      <c r="H1842">
        <v>-2845</v>
      </c>
      <c r="I1842" s="2">
        <f>sa_retail_sales[[#This Row],[Profit]] / sa_retail_sales[[#This Row],[Revenue]]</f>
        <v>-1.9715869715869716</v>
      </c>
      <c r="J1842">
        <f xml:space="preserve"> YEAR(sa_retail_sales[[#This Row],[Order Date]])</f>
        <v>2024</v>
      </c>
    </row>
    <row r="1843" spans="1:10" x14ac:dyDescent="0.3">
      <c r="A1843" s="1">
        <v>45329</v>
      </c>
      <c r="B1843" t="s">
        <v>8</v>
      </c>
      <c r="C1843" t="s">
        <v>16</v>
      </c>
      <c r="D1843" t="s">
        <v>15</v>
      </c>
      <c r="E1843">
        <v>5050</v>
      </c>
      <c r="F1843">
        <v>6503</v>
      </c>
      <c r="G1843">
        <v>20</v>
      </c>
      <c r="H1843">
        <v>-1453</v>
      </c>
      <c r="I1843" s="2">
        <f>sa_retail_sales[[#This Row],[Profit]] / sa_retail_sales[[#This Row],[Revenue]]</f>
        <v>-0.2877227722772277</v>
      </c>
      <c r="J1843">
        <f xml:space="preserve"> YEAR(sa_retail_sales[[#This Row],[Order Date]])</f>
        <v>2024</v>
      </c>
    </row>
    <row r="1844" spans="1:10" x14ac:dyDescent="0.3">
      <c r="A1844" s="1">
        <v>45044</v>
      </c>
      <c r="B1844" t="s">
        <v>8</v>
      </c>
      <c r="C1844" t="s">
        <v>9</v>
      </c>
      <c r="D1844" t="s">
        <v>10</v>
      </c>
      <c r="E1844">
        <v>13915</v>
      </c>
      <c r="F1844">
        <v>556</v>
      </c>
      <c r="G1844">
        <v>0</v>
      </c>
      <c r="H1844">
        <v>13359</v>
      </c>
      <c r="I1844" s="2">
        <f>sa_retail_sales[[#This Row],[Profit]] / sa_retail_sales[[#This Row],[Revenue]]</f>
        <v>0.9600431189363996</v>
      </c>
      <c r="J1844">
        <f xml:space="preserve"> YEAR(sa_retail_sales[[#This Row],[Order Date]])</f>
        <v>2023</v>
      </c>
    </row>
    <row r="1845" spans="1:10" x14ac:dyDescent="0.3">
      <c r="A1845" s="1">
        <v>45080</v>
      </c>
      <c r="B1845" t="s">
        <v>18</v>
      </c>
      <c r="C1845" t="s">
        <v>14</v>
      </c>
      <c r="D1845" t="s">
        <v>12</v>
      </c>
      <c r="E1845">
        <v>9637</v>
      </c>
      <c r="F1845">
        <v>9068</v>
      </c>
      <c r="G1845">
        <v>0</v>
      </c>
      <c r="H1845">
        <v>569</v>
      </c>
      <c r="I1845" s="2">
        <f>sa_retail_sales[[#This Row],[Profit]] / sa_retail_sales[[#This Row],[Revenue]]</f>
        <v>5.9043270727404791E-2</v>
      </c>
      <c r="J1845">
        <f xml:space="preserve"> YEAR(sa_retail_sales[[#This Row],[Order Date]])</f>
        <v>2023</v>
      </c>
    </row>
    <row r="1846" spans="1:10" x14ac:dyDescent="0.3">
      <c r="A1846" s="1">
        <v>44716</v>
      </c>
      <c r="B1846" t="s">
        <v>17</v>
      </c>
      <c r="C1846" t="s">
        <v>13</v>
      </c>
      <c r="D1846" t="s">
        <v>10</v>
      </c>
      <c r="E1846">
        <v>1100</v>
      </c>
      <c r="F1846">
        <v>337</v>
      </c>
      <c r="G1846">
        <v>15</v>
      </c>
      <c r="H1846">
        <v>763</v>
      </c>
      <c r="I1846" s="2">
        <f>sa_retail_sales[[#This Row],[Profit]] / sa_retail_sales[[#This Row],[Revenue]]</f>
        <v>0.69363636363636361</v>
      </c>
      <c r="J1846">
        <f xml:space="preserve"> YEAR(sa_retail_sales[[#This Row],[Order Date]])</f>
        <v>2022</v>
      </c>
    </row>
    <row r="1847" spans="1:10" x14ac:dyDescent="0.3">
      <c r="A1847" s="1">
        <v>44653</v>
      </c>
      <c r="B1847" t="s">
        <v>11</v>
      </c>
      <c r="C1847" t="s">
        <v>16</v>
      </c>
      <c r="D1847" t="s">
        <v>15</v>
      </c>
      <c r="E1847">
        <v>11392</v>
      </c>
      <c r="F1847">
        <v>10564</v>
      </c>
      <c r="G1847">
        <v>20</v>
      </c>
      <c r="H1847">
        <v>828</v>
      </c>
      <c r="I1847" s="2">
        <f>sa_retail_sales[[#This Row],[Profit]] / sa_retail_sales[[#This Row],[Revenue]]</f>
        <v>7.2682584269662925E-2</v>
      </c>
      <c r="J1847">
        <f xml:space="preserve"> YEAR(sa_retail_sales[[#This Row],[Order Date]])</f>
        <v>2022</v>
      </c>
    </row>
    <row r="1848" spans="1:10" x14ac:dyDescent="0.3">
      <c r="A1848" s="1">
        <v>45543</v>
      </c>
      <c r="B1848" t="s">
        <v>18</v>
      </c>
      <c r="C1848" t="s">
        <v>14</v>
      </c>
      <c r="D1848" t="s">
        <v>10</v>
      </c>
      <c r="E1848">
        <v>13512</v>
      </c>
      <c r="F1848">
        <v>8952</v>
      </c>
      <c r="G1848">
        <v>5</v>
      </c>
      <c r="H1848">
        <v>4560</v>
      </c>
      <c r="I1848" s="2">
        <f>sa_retail_sales[[#This Row],[Profit]] / sa_retail_sales[[#This Row],[Revenue]]</f>
        <v>0.33747779751332146</v>
      </c>
      <c r="J1848">
        <f xml:space="preserve"> YEAR(sa_retail_sales[[#This Row],[Order Date]])</f>
        <v>2024</v>
      </c>
    </row>
    <row r="1849" spans="1:10" x14ac:dyDescent="0.3">
      <c r="A1849" s="1">
        <v>45016</v>
      </c>
      <c r="B1849" t="s">
        <v>18</v>
      </c>
      <c r="C1849" t="s">
        <v>14</v>
      </c>
      <c r="D1849" t="s">
        <v>19</v>
      </c>
      <c r="E1849">
        <v>6876</v>
      </c>
      <c r="F1849">
        <v>9932</v>
      </c>
      <c r="G1849">
        <v>15</v>
      </c>
      <c r="H1849">
        <v>-3056</v>
      </c>
      <c r="I1849" s="2">
        <f>sa_retail_sales[[#This Row],[Profit]] / sa_retail_sales[[#This Row],[Revenue]]</f>
        <v>-0.44444444444444442</v>
      </c>
      <c r="J1849">
        <f xml:space="preserve"> YEAR(sa_retail_sales[[#This Row],[Order Date]])</f>
        <v>2023</v>
      </c>
    </row>
    <row r="1850" spans="1:10" x14ac:dyDescent="0.3">
      <c r="A1850" s="1">
        <v>45159</v>
      </c>
      <c r="B1850" t="s">
        <v>8</v>
      </c>
      <c r="C1850" t="s">
        <v>9</v>
      </c>
      <c r="D1850" t="s">
        <v>10</v>
      </c>
      <c r="E1850">
        <v>10109</v>
      </c>
      <c r="F1850">
        <v>2132</v>
      </c>
      <c r="G1850">
        <v>20</v>
      </c>
      <c r="H1850">
        <v>7977</v>
      </c>
      <c r="I1850" s="2">
        <f>sa_retail_sales[[#This Row],[Profit]] / sa_retail_sales[[#This Row],[Revenue]]</f>
        <v>0.78909882283114052</v>
      </c>
      <c r="J1850">
        <f xml:space="preserve"> YEAR(sa_retail_sales[[#This Row],[Order Date]])</f>
        <v>2023</v>
      </c>
    </row>
    <row r="1851" spans="1:10" x14ac:dyDescent="0.3">
      <c r="A1851" s="1">
        <v>45071</v>
      </c>
      <c r="B1851" t="s">
        <v>11</v>
      </c>
      <c r="C1851" t="s">
        <v>13</v>
      </c>
      <c r="D1851" t="s">
        <v>10</v>
      </c>
      <c r="E1851">
        <v>2024</v>
      </c>
      <c r="F1851">
        <v>7900</v>
      </c>
      <c r="G1851">
        <v>0</v>
      </c>
      <c r="H1851">
        <v>-5876</v>
      </c>
      <c r="I1851" s="2">
        <f>sa_retail_sales[[#This Row],[Profit]] / sa_retail_sales[[#This Row],[Revenue]]</f>
        <v>-2.9031620553359683</v>
      </c>
      <c r="J1851">
        <f xml:space="preserve"> YEAR(sa_retail_sales[[#This Row],[Order Date]])</f>
        <v>2023</v>
      </c>
    </row>
    <row r="1852" spans="1:10" x14ac:dyDescent="0.3">
      <c r="A1852" s="1">
        <v>44947</v>
      </c>
      <c r="B1852" t="s">
        <v>11</v>
      </c>
      <c r="C1852" t="s">
        <v>9</v>
      </c>
      <c r="D1852" t="s">
        <v>15</v>
      </c>
      <c r="E1852">
        <v>4266</v>
      </c>
      <c r="F1852">
        <v>5467</v>
      </c>
      <c r="G1852">
        <v>5</v>
      </c>
      <c r="H1852">
        <v>-1201</v>
      </c>
      <c r="I1852" s="2">
        <f>sa_retail_sales[[#This Row],[Profit]] / sa_retail_sales[[#This Row],[Revenue]]</f>
        <v>-0.28152836380684482</v>
      </c>
      <c r="J1852">
        <f xml:space="preserve"> YEAR(sa_retail_sales[[#This Row],[Order Date]])</f>
        <v>2023</v>
      </c>
    </row>
    <row r="1853" spans="1:10" x14ac:dyDescent="0.3">
      <c r="A1853" s="1">
        <v>44966</v>
      </c>
      <c r="B1853" t="s">
        <v>11</v>
      </c>
      <c r="C1853" t="s">
        <v>14</v>
      </c>
      <c r="D1853" t="s">
        <v>19</v>
      </c>
      <c r="E1853">
        <v>750</v>
      </c>
      <c r="F1853">
        <v>11891</v>
      </c>
      <c r="G1853">
        <v>15</v>
      </c>
      <c r="H1853">
        <v>-11141</v>
      </c>
      <c r="I1853" s="2">
        <f>sa_retail_sales[[#This Row],[Profit]] / sa_retail_sales[[#This Row],[Revenue]]</f>
        <v>-14.854666666666667</v>
      </c>
      <c r="J1853">
        <f xml:space="preserve"> YEAR(sa_retail_sales[[#This Row],[Order Date]])</f>
        <v>2023</v>
      </c>
    </row>
    <row r="1854" spans="1:10" x14ac:dyDescent="0.3">
      <c r="A1854" s="1">
        <v>44807</v>
      </c>
      <c r="B1854" t="s">
        <v>8</v>
      </c>
      <c r="C1854" t="s">
        <v>14</v>
      </c>
      <c r="D1854" t="s">
        <v>15</v>
      </c>
      <c r="E1854">
        <v>10236</v>
      </c>
      <c r="F1854">
        <v>732</v>
      </c>
      <c r="G1854">
        <v>5</v>
      </c>
      <c r="H1854">
        <v>9504</v>
      </c>
      <c r="I1854" s="2">
        <f>sa_retail_sales[[#This Row],[Profit]] / sa_retail_sales[[#This Row],[Revenue]]</f>
        <v>0.92848769050410318</v>
      </c>
      <c r="J1854">
        <f xml:space="preserve"> YEAR(sa_retail_sales[[#This Row],[Order Date]])</f>
        <v>2022</v>
      </c>
    </row>
    <row r="1855" spans="1:10" x14ac:dyDescent="0.3">
      <c r="A1855" s="1">
        <v>45303</v>
      </c>
      <c r="B1855" t="s">
        <v>8</v>
      </c>
      <c r="C1855" t="s">
        <v>14</v>
      </c>
      <c r="D1855" t="s">
        <v>10</v>
      </c>
      <c r="E1855">
        <v>578</v>
      </c>
      <c r="F1855">
        <v>4451</v>
      </c>
      <c r="G1855">
        <v>20</v>
      </c>
      <c r="H1855">
        <v>-3873</v>
      </c>
      <c r="I1855" s="2">
        <f>sa_retail_sales[[#This Row],[Profit]] / sa_retail_sales[[#This Row],[Revenue]]</f>
        <v>-6.7006920415224913</v>
      </c>
      <c r="J1855">
        <f xml:space="preserve"> YEAR(sa_retail_sales[[#This Row],[Order Date]])</f>
        <v>2024</v>
      </c>
    </row>
    <row r="1856" spans="1:10" x14ac:dyDescent="0.3">
      <c r="A1856" s="1">
        <v>45222</v>
      </c>
      <c r="B1856" t="s">
        <v>8</v>
      </c>
      <c r="C1856" t="s">
        <v>9</v>
      </c>
      <c r="D1856" t="s">
        <v>12</v>
      </c>
      <c r="E1856">
        <v>3623</v>
      </c>
      <c r="F1856">
        <v>6711</v>
      </c>
      <c r="G1856">
        <v>10</v>
      </c>
      <c r="H1856">
        <v>-3088</v>
      </c>
      <c r="I1856" s="2">
        <f>sa_retail_sales[[#This Row],[Profit]] / sa_retail_sales[[#This Row],[Revenue]]</f>
        <v>-0.85233232128070657</v>
      </c>
      <c r="J1856">
        <f xml:space="preserve"> YEAR(sa_retail_sales[[#This Row],[Order Date]])</f>
        <v>2023</v>
      </c>
    </row>
    <row r="1857" spans="1:10" x14ac:dyDescent="0.3">
      <c r="A1857" s="1">
        <v>45211</v>
      </c>
      <c r="B1857" t="s">
        <v>8</v>
      </c>
      <c r="C1857" t="s">
        <v>13</v>
      </c>
      <c r="D1857" t="s">
        <v>10</v>
      </c>
      <c r="E1857">
        <v>9589</v>
      </c>
      <c r="F1857">
        <v>2051</v>
      </c>
      <c r="G1857">
        <v>5</v>
      </c>
      <c r="H1857">
        <v>7538</v>
      </c>
      <c r="I1857" s="2">
        <f>sa_retail_sales[[#This Row],[Profit]] / sa_retail_sales[[#This Row],[Revenue]]</f>
        <v>0.7861090833246428</v>
      </c>
      <c r="J1857">
        <f xml:space="preserve"> YEAR(sa_retail_sales[[#This Row],[Order Date]])</f>
        <v>2023</v>
      </c>
    </row>
    <row r="1858" spans="1:10" x14ac:dyDescent="0.3">
      <c r="A1858" s="1">
        <v>45462</v>
      </c>
      <c r="B1858" t="s">
        <v>8</v>
      </c>
      <c r="C1858" t="s">
        <v>16</v>
      </c>
      <c r="D1858" t="s">
        <v>15</v>
      </c>
      <c r="E1858">
        <v>7564</v>
      </c>
      <c r="F1858">
        <v>10539</v>
      </c>
      <c r="G1858">
        <v>5</v>
      </c>
      <c r="H1858">
        <v>-2975</v>
      </c>
      <c r="I1858" s="2">
        <f>sa_retail_sales[[#This Row],[Profit]] / sa_retail_sales[[#This Row],[Revenue]]</f>
        <v>-0.3933104177683765</v>
      </c>
      <c r="J1858">
        <f xml:space="preserve"> YEAR(sa_retail_sales[[#This Row],[Order Date]])</f>
        <v>2024</v>
      </c>
    </row>
    <row r="1859" spans="1:10" x14ac:dyDescent="0.3">
      <c r="A1859" s="1">
        <v>44626</v>
      </c>
      <c r="B1859" t="s">
        <v>17</v>
      </c>
      <c r="C1859" t="s">
        <v>9</v>
      </c>
      <c r="D1859" t="s">
        <v>12</v>
      </c>
      <c r="E1859">
        <v>13568</v>
      </c>
      <c r="F1859">
        <v>5297</v>
      </c>
      <c r="G1859">
        <v>0</v>
      </c>
      <c r="H1859">
        <v>8271</v>
      </c>
      <c r="I1859" s="2">
        <f>sa_retail_sales[[#This Row],[Profit]] / sa_retail_sales[[#This Row],[Revenue]]</f>
        <v>0.609596108490566</v>
      </c>
      <c r="J1859">
        <f xml:space="preserve"> YEAR(sa_retail_sales[[#This Row],[Order Date]])</f>
        <v>2022</v>
      </c>
    </row>
    <row r="1860" spans="1:10" x14ac:dyDescent="0.3">
      <c r="A1860" s="1">
        <v>45598</v>
      </c>
      <c r="B1860" t="s">
        <v>17</v>
      </c>
      <c r="C1860" t="s">
        <v>14</v>
      </c>
      <c r="D1860" t="s">
        <v>15</v>
      </c>
      <c r="E1860">
        <v>8917</v>
      </c>
      <c r="F1860">
        <v>6020</v>
      </c>
      <c r="G1860">
        <v>20</v>
      </c>
      <c r="H1860">
        <v>2897</v>
      </c>
      <c r="I1860" s="2">
        <f>sa_retail_sales[[#This Row],[Profit]] / sa_retail_sales[[#This Row],[Revenue]]</f>
        <v>0.32488505102612986</v>
      </c>
      <c r="J1860">
        <f xml:space="preserve"> YEAR(sa_retail_sales[[#This Row],[Order Date]])</f>
        <v>2024</v>
      </c>
    </row>
    <row r="1861" spans="1:10" x14ac:dyDescent="0.3">
      <c r="A1861" s="1">
        <v>44774</v>
      </c>
      <c r="B1861" t="s">
        <v>11</v>
      </c>
      <c r="C1861" t="s">
        <v>9</v>
      </c>
      <c r="D1861" t="s">
        <v>15</v>
      </c>
      <c r="E1861">
        <v>13862</v>
      </c>
      <c r="F1861">
        <v>7916</v>
      </c>
      <c r="G1861">
        <v>5</v>
      </c>
      <c r="H1861">
        <v>5946</v>
      </c>
      <c r="I1861" s="2">
        <f>sa_retail_sales[[#This Row],[Profit]] / sa_retail_sales[[#This Row],[Revenue]]</f>
        <v>0.42894243254941566</v>
      </c>
      <c r="J1861">
        <f xml:space="preserve"> YEAR(sa_retail_sales[[#This Row],[Order Date]])</f>
        <v>2022</v>
      </c>
    </row>
    <row r="1862" spans="1:10" x14ac:dyDescent="0.3">
      <c r="A1862" s="1">
        <v>44803</v>
      </c>
      <c r="B1862" t="s">
        <v>18</v>
      </c>
      <c r="C1862" t="s">
        <v>14</v>
      </c>
      <c r="D1862" t="s">
        <v>19</v>
      </c>
      <c r="E1862">
        <v>1709</v>
      </c>
      <c r="F1862">
        <v>11332</v>
      </c>
      <c r="G1862">
        <v>20</v>
      </c>
      <c r="H1862">
        <v>-9623</v>
      </c>
      <c r="I1862" s="2">
        <f>sa_retail_sales[[#This Row],[Profit]] / sa_retail_sales[[#This Row],[Revenue]]</f>
        <v>-5.6307782328847278</v>
      </c>
      <c r="J1862">
        <f xml:space="preserve"> YEAR(sa_retail_sales[[#This Row],[Order Date]])</f>
        <v>2022</v>
      </c>
    </row>
    <row r="1863" spans="1:10" x14ac:dyDescent="0.3">
      <c r="A1863" s="1">
        <v>45054</v>
      </c>
      <c r="B1863" t="s">
        <v>11</v>
      </c>
      <c r="C1863" t="s">
        <v>16</v>
      </c>
      <c r="D1863" t="s">
        <v>12</v>
      </c>
      <c r="E1863">
        <v>5653</v>
      </c>
      <c r="F1863">
        <v>556</v>
      </c>
      <c r="G1863">
        <v>0</v>
      </c>
      <c r="H1863">
        <v>5097</v>
      </c>
      <c r="I1863" s="2">
        <f>sa_retail_sales[[#This Row],[Profit]] / sa_retail_sales[[#This Row],[Revenue]]</f>
        <v>0.90164514417123653</v>
      </c>
      <c r="J1863">
        <f xml:space="preserve"> YEAR(sa_retail_sales[[#This Row],[Order Date]])</f>
        <v>2023</v>
      </c>
    </row>
    <row r="1864" spans="1:10" x14ac:dyDescent="0.3">
      <c r="A1864" s="1">
        <v>44899</v>
      </c>
      <c r="B1864" t="s">
        <v>18</v>
      </c>
      <c r="C1864" t="s">
        <v>16</v>
      </c>
      <c r="D1864" t="s">
        <v>10</v>
      </c>
      <c r="E1864">
        <v>5398</v>
      </c>
      <c r="F1864">
        <v>971</v>
      </c>
      <c r="G1864">
        <v>20</v>
      </c>
      <c r="H1864">
        <v>4427</v>
      </c>
      <c r="I1864" s="2">
        <f>sa_retail_sales[[#This Row],[Profit]] / sa_retail_sales[[#This Row],[Revenue]]</f>
        <v>0.82011856243052983</v>
      </c>
      <c r="J1864">
        <f xml:space="preserve"> YEAR(sa_retail_sales[[#This Row],[Order Date]])</f>
        <v>2022</v>
      </c>
    </row>
    <row r="1865" spans="1:10" x14ac:dyDescent="0.3">
      <c r="A1865" s="1">
        <v>44734</v>
      </c>
      <c r="B1865" t="s">
        <v>8</v>
      </c>
      <c r="C1865" t="s">
        <v>13</v>
      </c>
      <c r="D1865" t="s">
        <v>15</v>
      </c>
      <c r="E1865">
        <v>13529</v>
      </c>
      <c r="F1865">
        <v>789</v>
      </c>
      <c r="G1865">
        <v>0</v>
      </c>
      <c r="H1865">
        <v>12740</v>
      </c>
      <c r="I1865" s="2">
        <f>sa_retail_sales[[#This Row],[Profit]] / sa_retail_sales[[#This Row],[Revenue]]</f>
        <v>0.94168083376450584</v>
      </c>
      <c r="J1865">
        <f xml:space="preserve"> YEAR(sa_retail_sales[[#This Row],[Order Date]])</f>
        <v>2022</v>
      </c>
    </row>
    <row r="1866" spans="1:10" x14ac:dyDescent="0.3">
      <c r="A1866" s="1">
        <v>45233</v>
      </c>
      <c r="B1866" t="s">
        <v>18</v>
      </c>
      <c r="C1866" t="s">
        <v>14</v>
      </c>
      <c r="D1866" t="s">
        <v>10</v>
      </c>
      <c r="E1866">
        <v>2678</v>
      </c>
      <c r="F1866">
        <v>7189</v>
      </c>
      <c r="G1866">
        <v>0</v>
      </c>
      <c r="H1866">
        <v>-4511</v>
      </c>
      <c r="I1866" s="2">
        <f>sa_retail_sales[[#This Row],[Profit]] / sa_retail_sales[[#This Row],[Revenue]]</f>
        <v>-1.6844660194174756</v>
      </c>
      <c r="J1866">
        <f xml:space="preserve"> YEAR(sa_retail_sales[[#This Row],[Order Date]])</f>
        <v>2023</v>
      </c>
    </row>
    <row r="1867" spans="1:10" x14ac:dyDescent="0.3">
      <c r="A1867" s="1">
        <v>44725</v>
      </c>
      <c r="B1867" t="s">
        <v>11</v>
      </c>
      <c r="C1867" t="s">
        <v>13</v>
      </c>
      <c r="D1867" t="s">
        <v>19</v>
      </c>
      <c r="E1867">
        <v>11371</v>
      </c>
      <c r="F1867">
        <v>2396</v>
      </c>
      <c r="G1867">
        <v>15</v>
      </c>
      <c r="H1867">
        <v>8975</v>
      </c>
      <c r="I1867" s="2">
        <f>sa_retail_sales[[#This Row],[Profit]] / sa_retail_sales[[#This Row],[Revenue]]</f>
        <v>0.78928854102541557</v>
      </c>
      <c r="J1867">
        <f xml:space="preserve"> YEAR(sa_retail_sales[[#This Row],[Order Date]])</f>
        <v>2022</v>
      </c>
    </row>
    <row r="1868" spans="1:10" x14ac:dyDescent="0.3">
      <c r="A1868" s="1">
        <v>45026</v>
      </c>
      <c r="B1868" t="s">
        <v>11</v>
      </c>
      <c r="C1868" t="s">
        <v>13</v>
      </c>
      <c r="D1868" t="s">
        <v>19</v>
      </c>
      <c r="E1868">
        <v>8110</v>
      </c>
      <c r="F1868">
        <v>1982</v>
      </c>
      <c r="G1868">
        <v>20</v>
      </c>
      <c r="H1868">
        <v>6128</v>
      </c>
      <c r="I1868" s="2">
        <f>sa_retail_sales[[#This Row],[Profit]] / sa_retail_sales[[#This Row],[Revenue]]</f>
        <v>0.75561035758323059</v>
      </c>
      <c r="J1868">
        <f xml:space="preserve"> YEAR(sa_retail_sales[[#This Row],[Order Date]])</f>
        <v>2023</v>
      </c>
    </row>
    <row r="1869" spans="1:10" x14ac:dyDescent="0.3">
      <c r="A1869" s="1">
        <v>45556</v>
      </c>
      <c r="B1869" t="s">
        <v>18</v>
      </c>
      <c r="C1869" t="s">
        <v>16</v>
      </c>
      <c r="D1869" t="s">
        <v>12</v>
      </c>
      <c r="E1869">
        <v>11577</v>
      </c>
      <c r="F1869">
        <v>2760</v>
      </c>
      <c r="G1869">
        <v>10</v>
      </c>
      <c r="H1869">
        <v>8817</v>
      </c>
      <c r="I1869" s="2">
        <f>sa_retail_sales[[#This Row],[Profit]] / sa_retail_sales[[#This Row],[Revenue]]</f>
        <v>0.7615962684633325</v>
      </c>
      <c r="J1869">
        <f xml:space="preserve"> YEAR(sa_retail_sales[[#This Row],[Order Date]])</f>
        <v>2024</v>
      </c>
    </row>
    <row r="1870" spans="1:10" x14ac:dyDescent="0.3">
      <c r="A1870" s="1">
        <v>45058</v>
      </c>
      <c r="B1870" t="s">
        <v>17</v>
      </c>
      <c r="C1870" t="s">
        <v>9</v>
      </c>
      <c r="D1870" t="s">
        <v>19</v>
      </c>
      <c r="E1870">
        <v>11498</v>
      </c>
      <c r="F1870">
        <v>4829</v>
      </c>
      <c r="G1870">
        <v>15</v>
      </c>
      <c r="H1870">
        <v>6669</v>
      </c>
      <c r="I1870" s="2">
        <f>sa_retail_sales[[#This Row],[Profit]] / sa_retail_sales[[#This Row],[Revenue]]</f>
        <v>0.58001391546355885</v>
      </c>
      <c r="J1870">
        <f xml:space="preserve"> YEAR(sa_retail_sales[[#This Row],[Order Date]])</f>
        <v>2023</v>
      </c>
    </row>
    <row r="1871" spans="1:10" x14ac:dyDescent="0.3">
      <c r="A1871" s="1">
        <v>45261</v>
      </c>
      <c r="B1871" t="s">
        <v>8</v>
      </c>
      <c r="C1871" t="s">
        <v>9</v>
      </c>
      <c r="D1871" t="s">
        <v>19</v>
      </c>
      <c r="E1871">
        <v>9395</v>
      </c>
      <c r="F1871">
        <v>5421</v>
      </c>
      <c r="G1871">
        <v>0</v>
      </c>
      <c r="H1871">
        <v>3974</v>
      </c>
      <c r="I1871" s="2">
        <f>sa_retail_sales[[#This Row],[Profit]] / sa_retail_sales[[#This Row],[Revenue]]</f>
        <v>0.42299095263437997</v>
      </c>
      <c r="J1871">
        <f xml:space="preserve"> YEAR(sa_retail_sales[[#This Row],[Order Date]])</f>
        <v>2023</v>
      </c>
    </row>
    <row r="1872" spans="1:10" x14ac:dyDescent="0.3">
      <c r="A1872" s="1">
        <v>44956</v>
      </c>
      <c r="B1872" t="s">
        <v>8</v>
      </c>
      <c r="C1872" t="s">
        <v>13</v>
      </c>
      <c r="D1872" t="s">
        <v>10</v>
      </c>
      <c r="E1872">
        <v>3044</v>
      </c>
      <c r="F1872">
        <v>2275</v>
      </c>
      <c r="G1872">
        <v>10</v>
      </c>
      <c r="H1872">
        <v>769</v>
      </c>
      <c r="I1872" s="2">
        <f>sa_retail_sales[[#This Row],[Profit]] / sa_retail_sales[[#This Row],[Revenue]]</f>
        <v>0.25262812089356113</v>
      </c>
      <c r="J1872">
        <f xml:space="preserve"> YEAR(sa_retail_sales[[#This Row],[Order Date]])</f>
        <v>2023</v>
      </c>
    </row>
    <row r="1873" spans="1:10" x14ac:dyDescent="0.3">
      <c r="A1873" s="1">
        <v>45264</v>
      </c>
      <c r="B1873" t="s">
        <v>11</v>
      </c>
      <c r="C1873" t="s">
        <v>16</v>
      </c>
      <c r="D1873" t="s">
        <v>19</v>
      </c>
      <c r="E1873">
        <v>6022</v>
      </c>
      <c r="F1873">
        <v>3516</v>
      </c>
      <c r="G1873">
        <v>5</v>
      </c>
      <c r="H1873">
        <v>2506</v>
      </c>
      <c r="I1873" s="2">
        <f>sa_retail_sales[[#This Row],[Profit]] / sa_retail_sales[[#This Row],[Revenue]]</f>
        <v>0.41614081700431749</v>
      </c>
      <c r="J1873">
        <f xml:space="preserve"> YEAR(sa_retail_sales[[#This Row],[Order Date]])</f>
        <v>2023</v>
      </c>
    </row>
    <row r="1874" spans="1:10" x14ac:dyDescent="0.3">
      <c r="A1874" s="1">
        <v>44869</v>
      </c>
      <c r="B1874" t="s">
        <v>17</v>
      </c>
      <c r="C1874" t="s">
        <v>14</v>
      </c>
      <c r="D1874" t="s">
        <v>19</v>
      </c>
      <c r="E1874">
        <v>2870</v>
      </c>
      <c r="F1874">
        <v>9881</v>
      </c>
      <c r="G1874">
        <v>5</v>
      </c>
      <c r="H1874">
        <v>-7011</v>
      </c>
      <c r="I1874" s="2">
        <f>sa_retail_sales[[#This Row],[Profit]] / sa_retail_sales[[#This Row],[Revenue]]</f>
        <v>-2.4428571428571431</v>
      </c>
      <c r="J1874">
        <f xml:space="preserve"> YEAR(sa_retail_sales[[#This Row],[Order Date]])</f>
        <v>2022</v>
      </c>
    </row>
    <row r="1875" spans="1:10" x14ac:dyDescent="0.3">
      <c r="A1875" s="1">
        <v>44744</v>
      </c>
      <c r="B1875" t="s">
        <v>18</v>
      </c>
      <c r="C1875" t="s">
        <v>9</v>
      </c>
      <c r="D1875" t="s">
        <v>15</v>
      </c>
      <c r="E1875">
        <v>3781</v>
      </c>
      <c r="F1875">
        <v>4815</v>
      </c>
      <c r="G1875">
        <v>15</v>
      </c>
      <c r="H1875">
        <v>-1034</v>
      </c>
      <c r="I1875" s="2">
        <f>sa_retail_sales[[#This Row],[Profit]] / sa_retail_sales[[#This Row],[Revenue]]</f>
        <v>-0.27347262628934144</v>
      </c>
      <c r="J1875">
        <f xml:space="preserve"> YEAR(sa_retail_sales[[#This Row],[Order Date]])</f>
        <v>2022</v>
      </c>
    </row>
    <row r="1876" spans="1:10" x14ac:dyDescent="0.3">
      <c r="A1876" s="1">
        <v>45190</v>
      </c>
      <c r="B1876" t="s">
        <v>8</v>
      </c>
      <c r="C1876" t="s">
        <v>13</v>
      </c>
      <c r="D1876" t="s">
        <v>19</v>
      </c>
      <c r="E1876">
        <v>5210</v>
      </c>
      <c r="F1876">
        <v>5992</v>
      </c>
      <c r="G1876">
        <v>10</v>
      </c>
      <c r="H1876">
        <v>-782</v>
      </c>
      <c r="I1876" s="2">
        <f>sa_retail_sales[[#This Row],[Profit]] / sa_retail_sales[[#This Row],[Revenue]]</f>
        <v>-0.15009596928982727</v>
      </c>
      <c r="J1876">
        <f xml:space="preserve"> YEAR(sa_retail_sales[[#This Row],[Order Date]])</f>
        <v>2023</v>
      </c>
    </row>
    <row r="1877" spans="1:10" x14ac:dyDescent="0.3">
      <c r="A1877" s="1">
        <v>45071</v>
      </c>
      <c r="B1877" t="s">
        <v>17</v>
      </c>
      <c r="C1877" t="s">
        <v>9</v>
      </c>
      <c r="D1877" t="s">
        <v>15</v>
      </c>
      <c r="E1877">
        <v>828</v>
      </c>
      <c r="F1877">
        <v>10076</v>
      </c>
      <c r="G1877">
        <v>20</v>
      </c>
      <c r="H1877">
        <v>-9248</v>
      </c>
      <c r="I1877" s="2">
        <f>sa_retail_sales[[#This Row],[Profit]] / sa_retail_sales[[#This Row],[Revenue]]</f>
        <v>-11.169082125603865</v>
      </c>
      <c r="J1877">
        <f xml:space="preserve"> YEAR(sa_retail_sales[[#This Row],[Order Date]])</f>
        <v>2023</v>
      </c>
    </row>
    <row r="1878" spans="1:10" x14ac:dyDescent="0.3">
      <c r="A1878" s="1">
        <v>45107</v>
      </c>
      <c r="B1878" t="s">
        <v>8</v>
      </c>
      <c r="C1878" t="s">
        <v>9</v>
      </c>
      <c r="D1878" t="s">
        <v>19</v>
      </c>
      <c r="E1878">
        <v>14183</v>
      </c>
      <c r="F1878">
        <v>5239</v>
      </c>
      <c r="G1878">
        <v>10</v>
      </c>
      <c r="H1878">
        <v>8944</v>
      </c>
      <c r="I1878" s="2">
        <f>sa_retail_sales[[#This Row],[Profit]] / sa_retail_sales[[#This Row],[Revenue]]</f>
        <v>0.63061411549037583</v>
      </c>
      <c r="J1878">
        <f xml:space="preserve"> YEAR(sa_retail_sales[[#This Row],[Order Date]])</f>
        <v>2023</v>
      </c>
    </row>
    <row r="1879" spans="1:10" x14ac:dyDescent="0.3">
      <c r="A1879" s="1">
        <v>45185</v>
      </c>
      <c r="B1879" t="s">
        <v>17</v>
      </c>
      <c r="C1879" t="s">
        <v>14</v>
      </c>
      <c r="D1879" t="s">
        <v>19</v>
      </c>
      <c r="E1879">
        <v>6079</v>
      </c>
      <c r="F1879">
        <v>5863</v>
      </c>
      <c r="G1879">
        <v>15</v>
      </c>
      <c r="H1879">
        <v>216</v>
      </c>
      <c r="I1879" s="2">
        <f>sa_retail_sales[[#This Row],[Profit]] / sa_retail_sales[[#This Row],[Revenue]]</f>
        <v>3.5532159894719528E-2</v>
      </c>
      <c r="J1879">
        <f xml:space="preserve"> YEAR(sa_retail_sales[[#This Row],[Order Date]])</f>
        <v>2023</v>
      </c>
    </row>
    <row r="1880" spans="1:10" x14ac:dyDescent="0.3">
      <c r="A1880" s="1">
        <v>45155</v>
      </c>
      <c r="B1880" t="s">
        <v>17</v>
      </c>
      <c r="C1880" t="s">
        <v>16</v>
      </c>
      <c r="D1880" t="s">
        <v>12</v>
      </c>
      <c r="E1880">
        <v>4728</v>
      </c>
      <c r="F1880">
        <v>3263</v>
      </c>
      <c r="G1880">
        <v>20</v>
      </c>
      <c r="H1880">
        <v>1465</v>
      </c>
      <c r="I1880" s="2">
        <f>sa_retail_sales[[#This Row],[Profit]] / sa_retail_sales[[#This Row],[Revenue]]</f>
        <v>0.30985617597292725</v>
      </c>
      <c r="J1880">
        <f xml:space="preserve"> YEAR(sa_retail_sales[[#This Row],[Order Date]])</f>
        <v>2023</v>
      </c>
    </row>
    <row r="1881" spans="1:10" x14ac:dyDescent="0.3">
      <c r="A1881" s="1">
        <v>45305</v>
      </c>
      <c r="B1881" t="s">
        <v>11</v>
      </c>
      <c r="C1881" t="s">
        <v>14</v>
      </c>
      <c r="D1881" t="s">
        <v>12</v>
      </c>
      <c r="E1881">
        <v>13622</v>
      </c>
      <c r="F1881">
        <v>4829</v>
      </c>
      <c r="G1881">
        <v>20</v>
      </c>
      <c r="H1881">
        <v>8793</v>
      </c>
      <c r="I1881" s="2">
        <f>sa_retail_sales[[#This Row],[Profit]] / sa_retail_sales[[#This Row],[Revenue]]</f>
        <v>0.64549992658934074</v>
      </c>
      <c r="J1881">
        <f xml:space="preserve"> YEAR(sa_retail_sales[[#This Row],[Order Date]])</f>
        <v>2024</v>
      </c>
    </row>
    <row r="1882" spans="1:10" x14ac:dyDescent="0.3">
      <c r="A1882" s="1">
        <v>45115</v>
      </c>
      <c r="B1882" t="s">
        <v>8</v>
      </c>
      <c r="C1882" t="s">
        <v>16</v>
      </c>
      <c r="D1882" t="s">
        <v>15</v>
      </c>
      <c r="E1882">
        <v>7294</v>
      </c>
      <c r="F1882">
        <v>7086</v>
      </c>
      <c r="G1882">
        <v>5</v>
      </c>
      <c r="H1882">
        <v>208</v>
      </c>
      <c r="I1882" s="2">
        <f>sa_retail_sales[[#This Row],[Profit]] / sa_retail_sales[[#This Row],[Revenue]]</f>
        <v>2.8516588977241568E-2</v>
      </c>
      <c r="J1882">
        <f xml:space="preserve"> YEAR(sa_retail_sales[[#This Row],[Order Date]])</f>
        <v>2023</v>
      </c>
    </row>
    <row r="1883" spans="1:10" x14ac:dyDescent="0.3">
      <c r="A1883" s="1">
        <v>44582</v>
      </c>
      <c r="B1883" t="s">
        <v>18</v>
      </c>
      <c r="C1883" t="s">
        <v>9</v>
      </c>
      <c r="D1883" t="s">
        <v>19</v>
      </c>
      <c r="E1883">
        <v>620</v>
      </c>
      <c r="F1883">
        <v>6500</v>
      </c>
      <c r="G1883">
        <v>10</v>
      </c>
      <c r="H1883">
        <v>-5880</v>
      </c>
      <c r="I1883" s="2">
        <f>sa_retail_sales[[#This Row],[Profit]] / sa_retail_sales[[#This Row],[Revenue]]</f>
        <v>-9.4838709677419359</v>
      </c>
      <c r="J1883">
        <f xml:space="preserve"> YEAR(sa_retail_sales[[#This Row],[Order Date]])</f>
        <v>2022</v>
      </c>
    </row>
    <row r="1884" spans="1:10" x14ac:dyDescent="0.3">
      <c r="A1884" s="1">
        <v>45115</v>
      </c>
      <c r="B1884" t="s">
        <v>11</v>
      </c>
      <c r="C1884" t="s">
        <v>13</v>
      </c>
      <c r="D1884" t="s">
        <v>10</v>
      </c>
      <c r="E1884">
        <v>7249</v>
      </c>
      <c r="F1884">
        <v>1276</v>
      </c>
      <c r="G1884">
        <v>20</v>
      </c>
      <c r="H1884">
        <v>5973</v>
      </c>
      <c r="I1884" s="2">
        <f>sa_retail_sales[[#This Row],[Profit]] / sa_retail_sales[[#This Row],[Revenue]]</f>
        <v>0.82397572078907433</v>
      </c>
      <c r="J1884">
        <f xml:space="preserve"> YEAR(sa_retail_sales[[#This Row],[Order Date]])</f>
        <v>2023</v>
      </c>
    </row>
    <row r="1885" spans="1:10" x14ac:dyDescent="0.3">
      <c r="A1885" s="1">
        <v>44958</v>
      </c>
      <c r="B1885" t="s">
        <v>11</v>
      </c>
      <c r="C1885" t="s">
        <v>14</v>
      </c>
      <c r="D1885" t="s">
        <v>12</v>
      </c>
      <c r="E1885">
        <v>14263</v>
      </c>
      <c r="F1885">
        <v>7645</v>
      </c>
      <c r="G1885">
        <v>15</v>
      </c>
      <c r="H1885">
        <v>6618</v>
      </c>
      <c r="I1885" s="2">
        <f>sa_retail_sales[[#This Row],[Profit]] / sa_retail_sales[[#This Row],[Revenue]]</f>
        <v>0.46399775643272806</v>
      </c>
      <c r="J1885">
        <f xml:space="preserve"> YEAR(sa_retail_sales[[#This Row],[Order Date]])</f>
        <v>2023</v>
      </c>
    </row>
    <row r="1886" spans="1:10" x14ac:dyDescent="0.3">
      <c r="A1886" s="1">
        <v>45186</v>
      </c>
      <c r="B1886" t="s">
        <v>18</v>
      </c>
      <c r="C1886" t="s">
        <v>16</v>
      </c>
      <c r="D1886" t="s">
        <v>10</v>
      </c>
      <c r="E1886">
        <v>1464</v>
      </c>
      <c r="F1886">
        <v>11856</v>
      </c>
      <c r="G1886">
        <v>5</v>
      </c>
      <c r="H1886">
        <v>-10392</v>
      </c>
      <c r="I1886" s="2">
        <f>sa_retail_sales[[#This Row],[Profit]] / sa_retail_sales[[#This Row],[Revenue]]</f>
        <v>-7.0983606557377046</v>
      </c>
      <c r="J1886">
        <f xml:space="preserve"> YEAR(sa_retail_sales[[#This Row],[Order Date]])</f>
        <v>2023</v>
      </c>
    </row>
    <row r="1887" spans="1:10" x14ac:dyDescent="0.3">
      <c r="A1887" s="1">
        <v>44666</v>
      </c>
      <c r="B1887" t="s">
        <v>11</v>
      </c>
      <c r="C1887" t="s">
        <v>9</v>
      </c>
      <c r="D1887" t="s">
        <v>12</v>
      </c>
      <c r="E1887">
        <v>4724</v>
      </c>
      <c r="F1887">
        <v>345</v>
      </c>
      <c r="G1887">
        <v>20</v>
      </c>
      <c r="H1887">
        <v>4379</v>
      </c>
      <c r="I1887" s="2">
        <f>sa_retail_sales[[#This Row],[Profit]] / sa_retail_sales[[#This Row],[Revenue]]</f>
        <v>0.92696867061812027</v>
      </c>
      <c r="J1887">
        <f xml:space="preserve"> YEAR(sa_retail_sales[[#This Row],[Order Date]])</f>
        <v>2022</v>
      </c>
    </row>
    <row r="1888" spans="1:10" x14ac:dyDescent="0.3">
      <c r="A1888" s="1">
        <v>44753</v>
      </c>
      <c r="B1888" t="s">
        <v>17</v>
      </c>
      <c r="C1888" t="s">
        <v>16</v>
      </c>
      <c r="D1888" t="s">
        <v>12</v>
      </c>
      <c r="E1888">
        <v>4175</v>
      </c>
      <c r="F1888">
        <v>1493</v>
      </c>
      <c r="G1888">
        <v>10</v>
      </c>
      <c r="H1888">
        <v>2682</v>
      </c>
      <c r="I1888" s="2">
        <f>sa_retail_sales[[#This Row],[Profit]] / sa_retail_sales[[#This Row],[Revenue]]</f>
        <v>0.64239520958083829</v>
      </c>
      <c r="J1888">
        <f xml:space="preserve"> YEAR(sa_retail_sales[[#This Row],[Order Date]])</f>
        <v>2022</v>
      </c>
    </row>
    <row r="1889" spans="1:10" x14ac:dyDescent="0.3">
      <c r="A1889" s="1">
        <v>44578</v>
      </c>
      <c r="B1889" t="s">
        <v>17</v>
      </c>
      <c r="C1889" t="s">
        <v>16</v>
      </c>
      <c r="D1889" t="s">
        <v>19</v>
      </c>
      <c r="E1889">
        <v>6194</v>
      </c>
      <c r="F1889">
        <v>11834</v>
      </c>
      <c r="G1889">
        <v>5</v>
      </c>
      <c r="H1889">
        <v>-5640</v>
      </c>
      <c r="I1889" s="2">
        <f>sa_retail_sales[[#This Row],[Profit]] / sa_retail_sales[[#This Row],[Revenue]]</f>
        <v>-0.91055860510171138</v>
      </c>
      <c r="J1889">
        <f xml:space="preserve"> YEAR(sa_retail_sales[[#This Row],[Order Date]])</f>
        <v>2022</v>
      </c>
    </row>
    <row r="1890" spans="1:10" x14ac:dyDescent="0.3">
      <c r="A1890" s="1">
        <v>44954</v>
      </c>
      <c r="B1890" t="s">
        <v>8</v>
      </c>
      <c r="C1890" t="s">
        <v>16</v>
      </c>
      <c r="D1890" t="s">
        <v>12</v>
      </c>
      <c r="E1890">
        <v>2576</v>
      </c>
      <c r="F1890">
        <v>4812</v>
      </c>
      <c r="G1890">
        <v>10</v>
      </c>
      <c r="H1890">
        <v>-2236</v>
      </c>
      <c r="I1890" s="2">
        <f>sa_retail_sales[[#This Row],[Profit]] / sa_retail_sales[[#This Row],[Revenue]]</f>
        <v>-0.86801242236024845</v>
      </c>
      <c r="J1890">
        <f xml:space="preserve"> YEAR(sa_retail_sales[[#This Row],[Order Date]])</f>
        <v>2023</v>
      </c>
    </row>
    <row r="1891" spans="1:10" x14ac:dyDescent="0.3">
      <c r="A1891" s="1">
        <v>44986</v>
      </c>
      <c r="B1891" t="s">
        <v>8</v>
      </c>
      <c r="C1891" t="s">
        <v>9</v>
      </c>
      <c r="D1891" t="s">
        <v>10</v>
      </c>
      <c r="E1891">
        <v>7365</v>
      </c>
      <c r="F1891">
        <v>5243</v>
      </c>
      <c r="G1891">
        <v>10</v>
      </c>
      <c r="H1891">
        <v>2122</v>
      </c>
      <c r="I1891" s="2">
        <f>sa_retail_sales[[#This Row],[Profit]] / sa_retail_sales[[#This Row],[Revenue]]</f>
        <v>0.28811948404616428</v>
      </c>
      <c r="J1891">
        <f xml:space="preserve"> YEAR(sa_retail_sales[[#This Row],[Order Date]])</f>
        <v>2023</v>
      </c>
    </row>
    <row r="1892" spans="1:10" x14ac:dyDescent="0.3">
      <c r="A1892" s="1">
        <v>44690</v>
      </c>
      <c r="B1892" t="s">
        <v>18</v>
      </c>
      <c r="C1892" t="s">
        <v>13</v>
      </c>
      <c r="D1892" t="s">
        <v>12</v>
      </c>
      <c r="E1892">
        <v>6143</v>
      </c>
      <c r="F1892">
        <v>6582</v>
      </c>
      <c r="G1892">
        <v>10</v>
      </c>
      <c r="H1892">
        <v>-439</v>
      </c>
      <c r="I1892" s="2">
        <f>sa_retail_sales[[#This Row],[Profit]] / sa_retail_sales[[#This Row],[Revenue]]</f>
        <v>-7.1463454338271198E-2</v>
      </c>
      <c r="J1892">
        <f xml:space="preserve"> YEAR(sa_retail_sales[[#This Row],[Order Date]])</f>
        <v>2022</v>
      </c>
    </row>
    <row r="1893" spans="1:10" x14ac:dyDescent="0.3">
      <c r="A1893" s="1">
        <v>45133</v>
      </c>
      <c r="B1893" t="s">
        <v>8</v>
      </c>
      <c r="C1893" t="s">
        <v>13</v>
      </c>
      <c r="D1893" t="s">
        <v>15</v>
      </c>
      <c r="E1893">
        <v>9024</v>
      </c>
      <c r="F1893">
        <v>546</v>
      </c>
      <c r="G1893">
        <v>5</v>
      </c>
      <c r="H1893">
        <v>8478</v>
      </c>
      <c r="I1893" s="2">
        <f>sa_retail_sales[[#This Row],[Profit]] / sa_retail_sales[[#This Row],[Revenue]]</f>
        <v>0.9394946808510638</v>
      </c>
      <c r="J1893">
        <f xml:space="preserve"> YEAR(sa_retail_sales[[#This Row],[Order Date]])</f>
        <v>2023</v>
      </c>
    </row>
    <row r="1894" spans="1:10" x14ac:dyDescent="0.3">
      <c r="A1894" s="1">
        <v>44590</v>
      </c>
      <c r="B1894" t="s">
        <v>17</v>
      </c>
      <c r="C1894" t="s">
        <v>13</v>
      </c>
      <c r="D1894" t="s">
        <v>19</v>
      </c>
      <c r="E1894">
        <v>12060</v>
      </c>
      <c r="F1894">
        <v>3519</v>
      </c>
      <c r="G1894">
        <v>20</v>
      </c>
      <c r="H1894">
        <v>8541</v>
      </c>
      <c r="I1894" s="2">
        <f>sa_retail_sales[[#This Row],[Profit]] / sa_retail_sales[[#This Row],[Revenue]]</f>
        <v>0.70820895522388061</v>
      </c>
      <c r="J1894">
        <f xml:space="preserve"> YEAR(sa_retail_sales[[#This Row],[Order Date]])</f>
        <v>2022</v>
      </c>
    </row>
    <row r="1895" spans="1:10" x14ac:dyDescent="0.3">
      <c r="A1895" s="1">
        <v>45595</v>
      </c>
      <c r="B1895" t="s">
        <v>18</v>
      </c>
      <c r="C1895" t="s">
        <v>16</v>
      </c>
      <c r="D1895" t="s">
        <v>19</v>
      </c>
      <c r="E1895">
        <v>5749</v>
      </c>
      <c r="F1895">
        <v>9283</v>
      </c>
      <c r="G1895">
        <v>0</v>
      </c>
      <c r="H1895">
        <v>-3534</v>
      </c>
      <c r="I1895" s="2">
        <f>sa_retail_sales[[#This Row],[Profit]] / sa_retail_sales[[#This Row],[Revenue]]</f>
        <v>-0.61471560271351544</v>
      </c>
      <c r="J1895">
        <f xml:space="preserve"> YEAR(sa_retail_sales[[#This Row],[Order Date]])</f>
        <v>2024</v>
      </c>
    </row>
    <row r="1896" spans="1:10" x14ac:dyDescent="0.3">
      <c r="A1896" s="1">
        <v>44803</v>
      </c>
      <c r="B1896" t="s">
        <v>18</v>
      </c>
      <c r="C1896" t="s">
        <v>9</v>
      </c>
      <c r="D1896" t="s">
        <v>15</v>
      </c>
      <c r="E1896">
        <v>1816</v>
      </c>
      <c r="F1896">
        <v>936</v>
      </c>
      <c r="G1896">
        <v>20</v>
      </c>
      <c r="H1896">
        <v>880</v>
      </c>
      <c r="I1896" s="2">
        <f>sa_retail_sales[[#This Row],[Profit]] / sa_retail_sales[[#This Row],[Revenue]]</f>
        <v>0.48458149779735682</v>
      </c>
      <c r="J1896">
        <f xml:space="preserve"> YEAR(sa_retail_sales[[#This Row],[Order Date]])</f>
        <v>2022</v>
      </c>
    </row>
    <row r="1897" spans="1:10" x14ac:dyDescent="0.3">
      <c r="A1897" s="1">
        <v>44793</v>
      </c>
      <c r="B1897" t="s">
        <v>8</v>
      </c>
      <c r="C1897" t="s">
        <v>16</v>
      </c>
      <c r="D1897" t="s">
        <v>15</v>
      </c>
      <c r="E1897">
        <v>1696</v>
      </c>
      <c r="F1897">
        <v>4075</v>
      </c>
      <c r="G1897">
        <v>5</v>
      </c>
      <c r="H1897">
        <v>-2379</v>
      </c>
      <c r="I1897" s="2">
        <f>sa_retail_sales[[#This Row],[Profit]] / sa_retail_sales[[#This Row],[Revenue]]</f>
        <v>-1.4027122641509433</v>
      </c>
      <c r="J1897">
        <f xml:space="preserve"> YEAR(sa_retail_sales[[#This Row],[Order Date]])</f>
        <v>2022</v>
      </c>
    </row>
    <row r="1898" spans="1:10" x14ac:dyDescent="0.3">
      <c r="A1898" s="1">
        <v>45350</v>
      </c>
      <c r="B1898" t="s">
        <v>17</v>
      </c>
      <c r="C1898" t="s">
        <v>13</v>
      </c>
      <c r="D1898" t="s">
        <v>15</v>
      </c>
      <c r="E1898">
        <v>3670</v>
      </c>
      <c r="F1898">
        <v>2721</v>
      </c>
      <c r="G1898">
        <v>0</v>
      </c>
      <c r="H1898">
        <v>949</v>
      </c>
      <c r="I1898" s="2">
        <f>sa_retail_sales[[#This Row],[Profit]] / sa_retail_sales[[#This Row],[Revenue]]</f>
        <v>0.25858310626702996</v>
      </c>
      <c r="J1898">
        <f xml:space="preserve"> YEAR(sa_retail_sales[[#This Row],[Order Date]])</f>
        <v>2024</v>
      </c>
    </row>
    <row r="1899" spans="1:10" x14ac:dyDescent="0.3">
      <c r="A1899" s="1">
        <v>45276</v>
      </c>
      <c r="B1899" t="s">
        <v>18</v>
      </c>
      <c r="C1899" t="s">
        <v>13</v>
      </c>
      <c r="D1899" t="s">
        <v>12</v>
      </c>
      <c r="E1899">
        <v>10121</v>
      </c>
      <c r="F1899">
        <v>9580</v>
      </c>
      <c r="G1899">
        <v>0</v>
      </c>
      <c r="H1899">
        <v>541</v>
      </c>
      <c r="I1899" s="2">
        <f>sa_retail_sales[[#This Row],[Profit]] / sa_retail_sales[[#This Row],[Revenue]]</f>
        <v>5.3453216085367058E-2</v>
      </c>
      <c r="J1899">
        <f xml:space="preserve"> YEAR(sa_retail_sales[[#This Row],[Order Date]])</f>
        <v>2023</v>
      </c>
    </row>
    <row r="1900" spans="1:10" x14ac:dyDescent="0.3">
      <c r="A1900" s="1">
        <v>45320</v>
      </c>
      <c r="B1900" t="s">
        <v>17</v>
      </c>
      <c r="C1900" t="s">
        <v>9</v>
      </c>
      <c r="D1900" t="s">
        <v>19</v>
      </c>
      <c r="E1900">
        <v>855</v>
      </c>
      <c r="F1900">
        <v>4483</v>
      </c>
      <c r="G1900">
        <v>0</v>
      </c>
      <c r="H1900">
        <v>-3628</v>
      </c>
      <c r="I1900" s="2">
        <f>sa_retail_sales[[#This Row],[Profit]] / sa_retail_sales[[#This Row],[Revenue]]</f>
        <v>-4.2432748538011698</v>
      </c>
      <c r="J1900">
        <f xml:space="preserve"> YEAR(sa_retail_sales[[#This Row],[Order Date]])</f>
        <v>2024</v>
      </c>
    </row>
    <row r="1901" spans="1:10" x14ac:dyDescent="0.3">
      <c r="A1901" s="1">
        <v>45363</v>
      </c>
      <c r="B1901" t="s">
        <v>17</v>
      </c>
      <c r="C1901" t="s">
        <v>16</v>
      </c>
      <c r="D1901" t="s">
        <v>15</v>
      </c>
      <c r="E1901">
        <v>12926</v>
      </c>
      <c r="F1901">
        <v>11651</v>
      </c>
      <c r="G1901">
        <v>15</v>
      </c>
      <c r="H1901">
        <v>1275</v>
      </c>
      <c r="I1901" s="2">
        <f>sa_retail_sales[[#This Row],[Profit]] / sa_retail_sales[[#This Row],[Revenue]]</f>
        <v>9.8638403218319667E-2</v>
      </c>
      <c r="J1901">
        <f xml:space="preserve"> YEAR(sa_retail_sales[[#This Row],[Order Date]])</f>
        <v>2024</v>
      </c>
    </row>
    <row r="1902" spans="1:10" x14ac:dyDescent="0.3">
      <c r="A1902" s="1">
        <v>45337</v>
      </c>
      <c r="B1902" t="s">
        <v>17</v>
      </c>
      <c r="C1902" t="s">
        <v>14</v>
      </c>
      <c r="D1902" t="s">
        <v>12</v>
      </c>
      <c r="E1902">
        <v>10218</v>
      </c>
      <c r="F1902">
        <v>1012</v>
      </c>
      <c r="G1902">
        <v>5</v>
      </c>
      <c r="H1902">
        <v>9206</v>
      </c>
      <c r="I1902" s="2">
        <f>sa_retail_sales[[#This Row],[Profit]] / sa_retail_sales[[#This Row],[Revenue]]</f>
        <v>0.90095909179878642</v>
      </c>
      <c r="J1902">
        <f xml:space="preserve"> YEAR(sa_retail_sales[[#This Row],[Order Date]])</f>
        <v>2024</v>
      </c>
    </row>
    <row r="1903" spans="1:10" x14ac:dyDescent="0.3">
      <c r="A1903" s="1">
        <v>45287</v>
      </c>
      <c r="B1903" t="s">
        <v>8</v>
      </c>
      <c r="C1903" t="s">
        <v>14</v>
      </c>
      <c r="D1903" t="s">
        <v>15</v>
      </c>
      <c r="E1903">
        <v>12589</v>
      </c>
      <c r="F1903">
        <v>6145</v>
      </c>
      <c r="G1903">
        <v>15</v>
      </c>
      <c r="H1903">
        <v>6444</v>
      </c>
      <c r="I1903" s="2">
        <f>sa_retail_sales[[#This Row],[Profit]] / sa_retail_sales[[#This Row],[Revenue]]</f>
        <v>0.51187544681865116</v>
      </c>
      <c r="J1903">
        <f xml:space="preserve"> YEAR(sa_retail_sales[[#This Row],[Order Date]])</f>
        <v>2023</v>
      </c>
    </row>
    <row r="1904" spans="1:10" x14ac:dyDescent="0.3">
      <c r="A1904" s="1">
        <v>44761</v>
      </c>
      <c r="B1904" t="s">
        <v>11</v>
      </c>
      <c r="C1904" t="s">
        <v>13</v>
      </c>
      <c r="D1904" t="s">
        <v>10</v>
      </c>
      <c r="E1904">
        <v>13985</v>
      </c>
      <c r="F1904">
        <v>5623</v>
      </c>
      <c r="G1904">
        <v>0</v>
      </c>
      <c r="H1904">
        <v>8362</v>
      </c>
      <c r="I1904" s="2">
        <f>sa_retail_sales[[#This Row],[Profit]] / sa_retail_sales[[#This Row],[Revenue]]</f>
        <v>0.59792634966035041</v>
      </c>
      <c r="J1904">
        <f xml:space="preserve"> YEAR(sa_retail_sales[[#This Row],[Order Date]])</f>
        <v>2022</v>
      </c>
    </row>
    <row r="1905" spans="1:10" x14ac:dyDescent="0.3">
      <c r="A1905" s="1">
        <v>45506</v>
      </c>
      <c r="B1905" t="s">
        <v>11</v>
      </c>
      <c r="C1905" t="s">
        <v>9</v>
      </c>
      <c r="D1905" t="s">
        <v>10</v>
      </c>
      <c r="E1905">
        <v>528</v>
      </c>
      <c r="F1905">
        <v>6332</v>
      </c>
      <c r="G1905">
        <v>15</v>
      </c>
      <c r="H1905">
        <v>-5804</v>
      </c>
      <c r="I1905" s="2">
        <f>sa_retail_sales[[#This Row],[Profit]] / sa_retail_sales[[#This Row],[Revenue]]</f>
        <v>-10.992424242424242</v>
      </c>
      <c r="J1905">
        <f xml:space="preserve"> YEAR(sa_retail_sales[[#This Row],[Order Date]])</f>
        <v>2024</v>
      </c>
    </row>
    <row r="1906" spans="1:10" x14ac:dyDescent="0.3">
      <c r="A1906" s="1">
        <v>44640</v>
      </c>
      <c r="B1906" t="s">
        <v>18</v>
      </c>
      <c r="C1906" t="s">
        <v>16</v>
      </c>
      <c r="D1906" t="s">
        <v>19</v>
      </c>
      <c r="E1906">
        <v>13718</v>
      </c>
      <c r="F1906">
        <v>3944</v>
      </c>
      <c r="G1906">
        <v>15</v>
      </c>
      <c r="H1906">
        <v>9774</v>
      </c>
      <c r="I1906" s="2">
        <f>sa_retail_sales[[#This Row],[Profit]] / sa_retail_sales[[#This Row],[Revenue]]</f>
        <v>0.71249453273071872</v>
      </c>
      <c r="J1906">
        <f xml:space="preserve"> YEAR(sa_retail_sales[[#This Row],[Order Date]])</f>
        <v>2022</v>
      </c>
    </row>
    <row r="1907" spans="1:10" x14ac:dyDescent="0.3">
      <c r="A1907" s="1">
        <v>45517</v>
      </c>
      <c r="B1907" t="s">
        <v>17</v>
      </c>
      <c r="C1907" t="s">
        <v>16</v>
      </c>
      <c r="D1907" t="s">
        <v>12</v>
      </c>
      <c r="E1907">
        <v>1513</v>
      </c>
      <c r="F1907">
        <v>8073</v>
      </c>
      <c r="G1907">
        <v>5</v>
      </c>
      <c r="H1907">
        <v>-6560</v>
      </c>
      <c r="I1907" s="2">
        <f>sa_retail_sales[[#This Row],[Profit]] / sa_retail_sales[[#This Row],[Revenue]]</f>
        <v>-4.3357567746199601</v>
      </c>
      <c r="J1907">
        <f xml:space="preserve"> YEAR(sa_retail_sales[[#This Row],[Order Date]])</f>
        <v>2024</v>
      </c>
    </row>
    <row r="1908" spans="1:10" x14ac:dyDescent="0.3">
      <c r="A1908" s="1">
        <v>45417</v>
      </c>
      <c r="B1908" t="s">
        <v>8</v>
      </c>
      <c r="C1908" t="s">
        <v>13</v>
      </c>
      <c r="D1908" t="s">
        <v>10</v>
      </c>
      <c r="E1908">
        <v>11394</v>
      </c>
      <c r="F1908">
        <v>11078</v>
      </c>
      <c r="G1908">
        <v>10</v>
      </c>
      <c r="H1908">
        <v>316</v>
      </c>
      <c r="I1908" s="2">
        <f>sa_retail_sales[[#This Row],[Profit]] / sa_retail_sales[[#This Row],[Revenue]]</f>
        <v>2.773389503247323E-2</v>
      </c>
      <c r="J1908">
        <f xml:space="preserve"> YEAR(sa_retail_sales[[#This Row],[Order Date]])</f>
        <v>2024</v>
      </c>
    </row>
    <row r="1909" spans="1:10" x14ac:dyDescent="0.3">
      <c r="A1909" s="1">
        <v>45028</v>
      </c>
      <c r="B1909" t="s">
        <v>17</v>
      </c>
      <c r="C1909" t="s">
        <v>13</v>
      </c>
      <c r="D1909" t="s">
        <v>10</v>
      </c>
      <c r="E1909">
        <v>9519</v>
      </c>
      <c r="F1909">
        <v>2408</v>
      </c>
      <c r="G1909">
        <v>15</v>
      </c>
      <c r="H1909">
        <v>7111</v>
      </c>
      <c r="I1909" s="2">
        <f>sa_retail_sales[[#This Row],[Profit]] / sa_retail_sales[[#This Row],[Revenue]]</f>
        <v>0.74703225128689987</v>
      </c>
      <c r="J1909">
        <f xml:space="preserve"> YEAR(sa_retail_sales[[#This Row],[Order Date]])</f>
        <v>2023</v>
      </c>
    </row>
    <row r="1910" spans="1:10" x14ac:dyDescent="0.3">
      <c r="A1910" s="1">
        <v>45142</v>
      </c>
      <c r="B1910" t="s">
        <v>17</v>
      </c>
      <c r="C1910" t="s">
        <v>16</v>
      </c>
      <c r="D1910" t="s">
        <v>12</v>
      </c>
      <c r="E1910">
        <v>13138</v>
      </c>
      <c r="F1910">
        <v>3914</v>
      </c>
      <c r="G1910">
        <v>15</v>
      </c>
      <c r="H1910">
        <v>9224</v>
      </c>
      <c r="I1910" s="2">
        <f>sa_retail_sales[[#This Row],[Profit]] / sa_retail_sales[[#This Row],[Revenue]]</f>
        <v>0.70208555335667533</v>
      </c>
      <c r="J1910">
        <f xml:space="preserve"> YEAR(sa_retail_sales[[#This Row],[Order Date]])</f>
        <v>2023</v>
      </c>
    </row>
    <row r="1911" spans="1:10" x14ac:dyDescent="0.3">
      <c r="A1911" s="1">
        <v>45501</v>
      </c>
      <c r="B1911" t="s">
        <v>8</v>
      </c>
      <c r="C1911" t="s">
        <v>16</v>
      </c>
      <c r="D1911" t="s">
        <v>15</v>
      </c>
      <c r="E1911">
        <v>2524</v>
      </c>
      <c r="F1911">
        <v>9734</v>
      </c>
      <c r="G1911">
        <v>0</v>
      </c>
      <c r="H1911">
        <v>-7210</v>
      </c>
      <c r="I1911" s="2">
        <f>sa_retail_sales[[#This Row],[Profit]] / sa_retail_sales[[#This Row],[Revenue]]</f>
        <v>-2.8565768621236134</v>
      </c>
      <c r="J1911">
        <f xml:space="preserve"> YEAR(sa_retail_sales[[#This Row],[Order Date]])</f>
        <v>2024</v>
      </c>
    </row>
    <row r="1912" spans="1:10" x14ac:dyDescent="0.3">
      <c r="A1912" s="1">
        <v>45010</v>
      </c>
      <c r="B1912" t="s">
        <v>11</v>
      </c>
      <c r="C1912" t="s">
        <v>13</v>
      </c>
      <c r="D1912" t="s">
        <v>12</v>
      </c>
      <c r="E1912">
        <v>8990</v>
      </c>
      <c r="F1912">
        <v>10551</v>
      </c>
      <c r="G1912">
        <v>0</v>
      </c>
      <c r="H1912">
        <v>-1561</v>
      </c>
      <c r="I1912" s="2">
        <f>sa_retail_sales[[#This Row],[Profit]] / sa_retail_sales[[#This Row],[Revenue]]</f>
        <v>-0.17363737486095662</v>
      </c>
      <c r="J1912">
        <f xml:space="preserve"> YEAR(sa_retail_sales[[#This Row],[Order Date]])</f>
        <v>2023</v>
      </c>
    </row>
    <row r="1913" spans="1:10" x14ac:dyDescent="0.3">
      <c r="A1913" s="1">
        <v>44648</v>
      </c>
      <c r="B1913" t="s">
        <v>17</v>
      </c>
      <c r="C1913" t="s">
        <v>16</v>
      </c>
      <c r="D1913" t="s">
        <v>15</v>
      </c>
      <c r="E1913">
        <v>6339</v>
      </c>
      <c r="F1913">
        <v>7257</v>
      </c>
      <c r="G1913">
        <v>0</v>
      </c>
      <c r="H1913">
        <v>-918</v>
      </c>
      <c r="I1913" s="2">
        <f>sa_retail_sales[[#This Row],[Profit]] / sa_retail_sales[[#This Row],[Revenue]]</f>
        <v>-0.14481779460482727</v>
      </c>
      <c r="J1913">
        <f xml:space="preserve"> YEAR(sa_retail_sales[[#This Row],[Order Date]])</f>
        <v>2022</v>
      </c>
    </row>
    <row r="1914" spans="1:10" x14ac:dyDescent="0.3">
      <c r="A1914" s="1">
        <v>44662</v>
      </c>
      <c r="B1914" t="s">
        <v>17</v>
      </c>
      <c r="C1914" t="s">
        <v>14</v>
      </c>
      <c r="D1914" t="s">
        <v>10</v>
      </c>
      <c r="E1914">
        <v>10557</v>
      </c>
      <c r="F1914">
        <v>11978</v>
      </c>
      <c r="G1914">
        <v>20</v>
      </c>
      <c r="H1914">
        <v>-1421</v>
      </c>
      <c r="I1914" s="2">
        <f>sa_retail_sales[[#This Row],[Profit]] / sa_retail_sales[[#This Row],[Revenue]]</f>
        <v>-0.13460263332386094</v>
      </c>
      <c r="J1914">
        <f xml:space="preserve"> YEAR(sa_retail_sales[[#This Row],[Order Date]])</f>
        <v>2022</v>
      </c>
    </row>
    <row r="1915" spans="1:10" x14ac:dyDescent="0.3">
      <c r="A1915" s="1">
        <v>45593</v>
      </c>
      <c r="B1915" t="s">
        <v>11</v>
      </c>
      <c r="C1915" t="s">
        <v>13</v>
      </c>
      <c r="D1915" t="s">
        <v>10</v>
      </c>
      <c r="E1915">
        <v>12708</v>
      </c>
      <c r="F1915">
        <v>5579</v>
      </c>
      <c r="G1915">
        <v>15</v>
      </c>
      <c r="H1915">
        <v>7129</v>
      </c>
      <c r="I1915" s="2">
        <f>sa_retail_sales[[#This Row],[Profit]] / sa_retail_sales[[#This Row],[Revenue]]</f>
        <v>0.56098520616934211</v>
      </c>
      <c r="J1915">
        <f xml:space="preserve"> YEAR(sa_retail_sales[[#This Row],[Order Date]])</f>
        <v>2024</v>
      </c>
    </row>
    <row r="1916" spans="1:10" x14ac:dyDescent="0.3">
      <c r="A1916" s="1">
        <v>45406</v>
      </c>
      <c r="B1916" t="s">
        <v>8</v>
      </c>
      <c r="C1916" t="s">
        <v>16</v>
      </c>
      <c r="D1916" t="s">
        <v>10</v>
      </c>
      <c r="E1916">
        <v>14003</v>
      </c>
      <c r="F1916">
        <v>4632</v>
      </c>
      <c r="G1916">
        <v>0</v>
      </c>
      <c r="H1916">
        <v>9371</v>
      </c>
      <c r="I1916" s="2">
        <f>sa_retail_sales[[#This Row],[Profit]] / sa_retail_sales[[#This Row],[Revenue]]</f>
        <v>0.6692137399128758</v>
      </c>
      <c r="J1916">
        <f xml:space="preserve"> YEAR(sa_retail_sales[[#This Row],[Order Date]])</f>
        <v>2024</v>
      </c>
    </row>
    <row r="1917" spans="1:10" x14ac:dyDescent="0.3">
      <c r="A1917" s="1">
        <v>44648</v>
      </c>
      <c r="B1917" t="s">
        <v>18</v>
      </c>
      <c r="C1917" t="s">
        <v>13</v>
      </c>
      <c r="D1917" t="s">
        <v>19</v>
      </c>
      <c r="E1917">
        <v>6291</v>
      </c>
      <c r="F1917">
        <v>4200</v>
      </c>
      <c r="G1917">
        <v>5</v>
      </c>
      <c r="H1917">
        <v>2091</v>
      </c>
      <c r="I1917" s="2">
        <f>sa_retail_sales[[#This Row],[Profit]] / sa_retail_sales[[#This Row],[Revenue]]</f>
        <v>0.33237958989031952</v>
      </c>
      <c r="J1917">
        <f xml:space="preserve"> YEAR(sa_retail_sales[[#This Row],[Order Date]])</f>
        <v>2022</v>
      </c>
    </row>
    <row r="1918" spans="1:10" x14ac:dyDescent="0.3">
      <c r="A1918" s="1">
        <v>44604</v>
      </c>
      <c r="B1918" t="s">
        <v>11</v>
      </c>
      <c r="C1918" t="s">
        <v>9</v>
      </c>
      <c r="D1918" t="s">
        <v>19</v>
      </c>
      <c r="E1918">
        <v>10803</v>
      </c>
      <c r="F1918">
        <v>11097</v>
      </c>
      <c r="G1918">
        <v>20</v>
      </c>
      <c r="H1918">
        <v>-294</v>
      </c>
      <c r="I1918" s="2">
        <f>sa_retail_sales[[#This Row],[Profit]] / sa_retail_sales[[#This Row],[Revenue]]</f>
        <v>-2.7214662593723966E-2</v>
      </c>
      <c r="J1918">
        <f xml:space="preserve"> YEAR(sa_retail_sales[[#This Row],[Order Date]])</f>
        <v>2022</v>
      </c>
    </row>
    <row r="1919" spans="1:10" x14ac:dyDescent="0.3">
      <c r="A1919" s="1">
        <v>44969</v>
      </c>
      <c r="B1919" t="s">
        <v>18</v>
      </c>
      <c r="C1919" t="s">
        <v>13</v>
      </c>
      <c r="D1919" t="s">
        <v>19</v>
      </c>
      <c r="E1919">
        <v>1254</v>
      </c>
      <c r="F1919">
        <v>8239</v>
      </c>
      <c r="G1919">
        <v>10</v>
      </c>
      <c r="H1919">
        <v>-6985</v>
      </c>
      <c r="I1919" s="2">
        <f>sa_retail_sales[[#This Row],[Profit]] / sa_retail_sales[[#This Row],[Revenue]]</f>
        <v>-5.5701754385964914</v>
      </c>
      <c r="J1919">
        <f xml:space="preserve"> YEAR(sa_retail_sales[[#This Row],[Order Date]])</f>
        <v>2023</v>
      </c>
    </row>
    <row r="1920" spans="1:10" x14ac:dyDescent="0.3">
      <c r="A1920" s="1">
        <v>45225</v>
      </c>
      <c r="B1920" t="s">
        <v>18</v>
      </c>
      <c r="C1920" t="s">
        <v>13</v>
      </c>
      <c r="D1920" t="s">
        <v>12</v>
      </c>
      <c r="E1920">
        <v>9461</v>
      </c>
      <c r="F1920">
        <v>11526</v>
      </c>
      <c r="G1920">
        <v>15</v>
      </c>
      <c r="H1920">
        <v>-2065</v>
      </c>
      <c r="I1920" s="2">
        <f>sa_retail_sales[[#This Row],[Profit]] / sa_retail_sales[[#This Row],[Revenue]]</f>
        <v>-0.21826445407462214</v>
      </c>
      <c r="J1920">
        <f xml:space="preserve"> YEAR(sa_retail_sales[[#This Row],[Order Date]])</f>
        <v>2023</v>
      </c>
    </row>
    <row r="1921" spans="1:10" x14ac:dyDescent="0.3">
      <c r="A1921" s="1">
        <v>45602</v>
      </c>
      <c r="B1921" t="s">
        <v>11</v>
      </c>
      <c r="C1921" t="s">
        <v>9</v>
      </c>
      <c r="D1921" t="s">
        <v>10</v>
      </c>
      <c r="E1921">
        <v>4235</v>
      </c>
      <c r="F1921">
        <v>7263</v>
      </c>
      <c r="G1921">
        <v>15</v>
      </c>
      <c r="H1921">
        <v>-3028</v>
      </c>
      <c r="I1921" s="2">
        <f>sa_retail_sales[[#This Row],[Profit]] / sa_retail_sales[[#This Row],[Revenue]]</f>
        <v>-0.71499409681227866</v>
      </c>
      <c r="J1921">
        <f xml:space="preserve"> YEAR(sa_retail_sales[[#This Row],[Order Date]])</f>
        <v>2024</v>
      </c>
    </row>
    <row r="1922" spans="1:10" x14ac:dyDescent="0.3">
      <c r="A1922" s="1">
        <v>44709</v>
      </c>
      <c r="B1922" t="s">
        <v>17</v>
      </c>
      <c r="C1922" t="s">
        <v>14</v>
      </c>
      <c r="D1922" t="s">
        <v>10</v>
      </c>
      <c r="E1922">
        <v>1738</v>
      </c>
      <c r="F1922">
        <v>4868</v>
      </c>
      <c r="G1922">
        <v>5</v>
      </c>
      <c r="H1922">
        <v>-3130</v>
      </c>
      <c r="I1922" s="2">
        <f>sa_retail_sales[[#This Row],[Profit]] / sa_retail_sales[[#This Row],[Revenue]]</f>
        <v>-1.8009205983889529</v>
      </c>
      <c r="J1922">
        <f xml:space="preserve"> YEAR(sa_retail_sales[[#This Row],[Order Date]])</f>
        <v>2022</v>
      </c>
    </row>
    <row r="1923" spans="1:10" x14ac:dyDescent="0.3">
      <c r="A1923" s="1">
        <v>44838</v>
      </c>
      <c r="B1923" t="s">
        <v>18</v>
      </c>
      <c r="C1923" t="s">
        <v>16</v>
      </c>
      <c r="D1923" t="s">
        <v>12</v>
      </c>
      <c r="E1923">
        <v>13621</v>
      </c>
      <c r="F1923">
        <v>8138</v>
      </c>
      <c r="G1923">
        <v>10</v>
      </c>
      <c r="H1923">
        <v>5483</v>
      </c>
      <c r="I1923" s="2">
        <f>sa_retail_sales[[#This Row],[Profit]] / sa_retail_sales[[#This Row],[Revenue]]</f>
        <v>0.40254019528668966</v>
      </c>
      <c r="J1923">
        <f xml:space="preserve"> YEAR(sa_retail_sales[[#This Row],[Order Date]])</f>
        <v>2022</v>
      </c>
    </row>
    <row r="1924" spans="1:10" x14ac:dyDescent="0.3">
      <c r="A1924" s="1">
        <v>44793</v>
      </c>
      <c r="B1924" t="s">
        <v>18</v>
      </c>
      <c r="C1924" t="s">
        <v>9</v>
      </c>
      <c r="D1924" t="s">
        <v>19</v>
      </c>
      <c r="E1924">
        <v>10905</v>
      </c>
      <c r="F1924">
        <v>11855</v>
      </c>
      <c r="G1924">
        <v>10</v>
      </c>
      <c r="H1924">
        <v>-950</v>
      </c>
      <c r="I1924" s="2">
        <f>sa_retail_sales[[#This Row],[Profit]] / sa_retail_sales[[#This Row],[Revenue]]</f>
        <v>-8.7116001834021087E-2</v>
      </c>
      <c r="J1924">
        <f xml:space="preserve"> YEAR(sa_retail_sales[[#This Row],[Order Date]])</f>
        <v>2022</v>
      </c>
    </row>
    <row r="1925" spans="1:10" x14ac:dyDescent="0.3">
      <c r="A1925" s="1">
        <v>44927</v>
      </c>
      <c r="B1925" t="s">
        <v>8</v>
      </c>
      <c r="C1925" t="s">
        <v>13</v>
      </c>
      <c r="D1925" t="s">
        <v>12</v>
      </c>
      <c r="E1925">
        <v>2406</v>
      </c>
      <c r="F1925">
        <v>2145</v>
      </c>
      <c r="G1925">
        <v>20</v>
      </c>
      <c r="H1925">
        <v>261</v>
      </c>
      <c r="I1925" s="2">
        <f>sa_retail_sales[[#This Row],[Profit]] / sa_retail_sales[[#This Row],[Revenue]]</f>
        <v>0.10847880299251871</v>
      </c>
      <c r="J1925">
        <f xml:space="preserve"> YEAR(sa_retail_sales[[#This Row],[Order Date]])</f>
        <v>2023</v>
      </c>
    </row>
    <row r="1926" spans="1:10" x14ac:dyDescent="0.3">
      <c r="A1926" s="1">
        <v>44997</v>
      </c>
      <c r="B1926" t="s">
        <v>17</v>
      </c>
      <c r="C1926" t="s">
        <v>16</v>
      </c>
      <c r="D1926" t="s">
        <v>19</v>
      </c>
      <c r="E1926">
        <v>7899</v>
      </c>
      <c r="F1926">
        <v>682</v>
      </c>
      <c r="G1926">
        <v>15</v>
      </c>
      <c r="H1926">
        <v>7217</v>
      </c>
      <c r="I1926" s="2">
        <f>sa_retail_sales[[#This Row],[Profit]] / sa_retail_sales[[#This Row],[Revenue]]</f>
        <v>0.91365995695657676</v>
      </c>
      <c r="J1926">
        <f xml:space="preserve"> YEAR(sa_retail_sales[[#This Row],[Order Date]])</f>
        <v>2023</v>
      </c>
    </row>
    <row r="1927" spans="1:10" x14ac:dyDescent="0.3">
      <c r="A1927" s="1">
        <v>44960</v>
      </c>
      <c r="B1927" t="s">
        <v>18</v>
      </c>
      <c r="C1927" t="s">
        <v>9</v>
      </c>
      <c r="D1927" t="s">
        <v>10</v>
      </c>
      <c r="E1927">
        <v>8461</v>
      </c>
      <c r="F1927">
        <v>4412</v>
      </c>
      <c r="G1927">
        <v>0</v>
      </c>
      <c r="H1927">
        <v>4049</v>
      </c>
      <c r="I1927" s="2">
        <f>sa_retail_sales[[#This Row],[Profit]] / sa_retail_sales[[#This Row],[Revenue]]</f>
        <v>0.47854863491313082</v>
      </c>
      <c r="J1927">
        <f xml:space="preserve"> YEAR(sa_retail_sales[[#This Row],[Order Date]])</f>
        <v>2023</v>
      </c>
    </row>
    <row r="1928" spans="1:10" x14ac:dyDescent="0.3">
      <c r="A1928" s="1">
        <v>45060</v>
      </c>
      <c r="B1928" t="s">
        <v>8</v>
      </c>
      <c r="C1928" t="s">
        <v>16</v>
      </c>
      <c r="D1928" t="s">
        <v>15</v>
      </c>
      <c r="E1928">
        <v>10256</v>
      </c>
      <c r="F1928">
        <v>7369</v>
      </c>
      <c r="G1928">
        <v>5</v>
      </c>
      <c r="H1928">
        <v>2887</v>
      </c>
      <c r="I1928" s="2">
        <f>sa_retail_sales[[#This Row],[Profit]] / sa_retail_sales[[#This Row],[Revenue]]</f>
        <v>0.28149375975039004</v>
      </c>
      <c r="J1928">
        <f xml:space="preserve"> YEAR(sa_retail_sales[[#This Row],[Order Date]])</f>
        <v>2023</v>
      </c>
    </row>
    <row r="1929" spans="1:10" x14ac:dyDescent="0.3">
      <c r="A1929" s="1">
        <v>45101</v>
      </c>
      <c r="B1929" t="s">
        <v>17</v>
      </c>
      <c r="C1929" t="s">
        <v>16</v>
      </c>
      <c r="D1929" t="s">
        <v>19</v>
      </c>
      <c r="E1929">
        <v>9910</v>
      </c>
      <c r="F1929">
        <v>4110</v>
      </c>
      <c r="G1929">
        <v>5</v>
      </c>
      <c r="H1929">
        <v>5800</v>
      </c>
      <c r="I1929" s="2">
        <f>sa_retail_sales[[#This Row],[Profit]] / sa_retail_sales[[#This Row],[Revenue]]</f>
        <v>0.58526740665993948</v>
      </c>
      <c r="J1929">
        <f xml:space="preserve"> YEAR(sa_retail_sales[[#This Row],[Order Date]])</f>
        <v>2023</v>
      </c>
    </row>
    <row r="1930" spans="1:10" x14ac:dyDescent="0.3">
      <c r="A1930" s="1">
        <v>45124</v>
      </c>
      <c r="B1930" t="s">
        <v>11</v>
      </c>
      <c r="C1930" t="s">
        <v>9</v>
      </c>
      <c r="D1930" t="s">
        <v>10</v>
      </c>
      <c r="E1930">
        <v>5101</v>
      </c>
      <c r="F1930">
        <v>10388</v>
      </c>
      <c r="G1930">
        <v>5</v>
      </c>
      <c r="H1930">
        <v>-5287</v>
      </c>
      <c r="I1930" s="2">
        <f>sa_retail_sales[[#This Row],[Profit]] / sa_retail_sales[[#This Row],[Revenue]]</f>
        <v>-1.0364634385414624</v>
      </c>
      <c r="J1930">
        <f xml:space="preserve"> YEAR(sa_retail_sales[[#This Row],[Order Date]])</f>
        <v>2023</v>
      </c>
    </row>
    <row r="1931" spans="1:10" x14ac:dyDescent="0.3">
      <c r="A1931" s="1">
        <v>45003</v>
      </c>
      <c r="B1931" t="s">
        <v>11</v>
      </c>
      <c r="C1931" t="s">
        <v>16</v>
      </c>
      <c r="D1931" t="s">
        <v>10</v>
      </c>
      <c r="E1931">
        <v>10049</v>
      </c>
      <c r="F1931">
        <v>1809</v>
      </c>
      <c r="G1931">
        <v>5</v>
      </c>
      <c r="H1931">
        <v>8240</v>
      </c>
      <c r="I1931" s="2">
        <f>sa_retail_sales[[#This Row],[Profit]] / sa_retail_sales[[#This Row],[Revenue]]</f>
        <v>0.81998208776992731</v>
      </c>
      <c r="J1931">
        <f xml:space="preserve"> YEAR(sa_retail_sales[[#This Row],[Order Date]])</f>
        <v>2023</v>
      </c>
    </row>
    <row r="1932" spans="1:10" x14ac:dyDescent="0.3">
      <c r="A1932" s="1">
        <v>45334</v>
      </c>
      <c r="B1932" t="s">
        <v>8</v>
      </c>
      <c r="C1932" t="s">
        <v>14</v>
      </c>
      <c r="D1932" t="s">
        <v>15</v>
      </c>
      <c r="E1932">
        <v>12531</v>
      </c>
      <c r="F1932">
        <v>7873</v>
      </c>
      <c r="G1932">
        <v>0</v>
      </c>
      <c r="H1932">
        <v>4658</v>
      </c>
      <c r="I1932" s="2">
        <f>sa_retail_sales[[#This Row],[Profit]] / sa_retail_sales[[#This Row],[Revenue]]</f>
        <v>0.3717181390152422</v>
      </c>
      <c r="J1932">
        <f xml:space="preserve"> YEAR(sa_retail_sales[[#This Row],[Order Date]])</f>
        <v>2024</v>
      </c>
    </row>
    <row r="1933" spans="1:10" x14ac:dyDescent="0.3">
      <c r="A1933" s="1">
        <v>44911</v>
      </c>
      <c r="B1933" t="s">
        <v>11</v>
      </c>
      <c r="C1933" t="s">
        <v>9</v>
      </c>
      <c r="D1933" t="s">
        <v>10</v>
      </c>
      <c r="E1933">
        <v>1960</v>
      </c>
      <c r="F1933">
        <v>1878</v>
      </c>
      <c r="G1933">
        <v>0</v>
      </c>
      <c r="H1933">
        <v>82</v>
      </c>
      <c r="I1933" s="2">
        <f>sa_retail_sales[[#This Row],[Profit]] / sa_retail_sales[[#This Row],[Revenue]]</f>
        <v>4.1836734693877553E-2</v>
      </c>
      <c r="J1933">
        <f xml:space="preserve"> YEAR(sa_retail_sales[[#This Row],[Order Date]])</f>
        <v>2022</v>
      </c>
    </row>
    <row r="1934" spans="1:10" x14ac:dyDescent="0.3">
      <c r="A1934" s="1">
        <v>45081</v>
      </c>
      <c r="B1934" t="s">
        <v>18</v>
      </c>
      <c r="C1934" t="s">
        <v>14</v>
      </c>
      <c r="D1934" t="s">
        <v>10</v>
      </c>
      <c r="E1934">
        <v>8169</v>
      </c>
      <c r="F1934">
        <v>1179</v>
      </c>
      <c r="G1934">
        <v>20</v>
      </c>
      <c r="H1934">
        <v>6990</v>
      </c>
      <c r="I1934" s="2">
        <f>sa_retail_sales[[#This Row],[Profit]] / sa_retail_sales[[#This Row],[Revenue]]</f>
        <v>0.8556738890929122</v>
      </c>
      <c r="J1934">
        <f xml:space="preserve"> YEAR(sa_retail_sales[[#This Row],[Order Date]])</f>
        <v>2023</v>
      </c>
    </row>
    <row r="1935" spans="1:10" x14ac:dyDescent="0.3">
      <c r="A1935" s="1">
        <v>44699</v>
      </c>
      <c r="B1935" t="s">
        <v>17</v>
      </c>
      <c r="C1935" t="s">
        <v>13</v>
      </c>
      <c r="D1935" t="s">
        <v>19</v>
      </c>
      <c r="E1935">
        <v>12677</v>
      </c>
      <c r="F1935">
        <v>2462</v>
      </c>
      <c r="G1935">
        <v>15</v>
      </c>
      <c r="H1935">
        <v>10215</v>
      </c>
      <c r="I1935" s="2">
        <f>sa_retail_sales[[#This Row],[Profit]] / sa_retail_sales[[#This Row],[Revenue]]</f>
        <v>0.8057900134101128</v>
      </c>
      <c r="J1935">
        <f xml:space="preserve"> YEAR(sa_retail_sales[[#This Row],[Order Date]])</f>
        <v>2022</v>
      </c>
    </row>
    <row r="1936" spans="1:10" x14ac:dyDescent="0.3">
      <c r="A1936" s="1">
        <v>45553</v>
      </c>
      <c r="B1936" t="s">
        <v>18</v>
      </c>
      <c r="C1936" t="s">
        <v>16</v>
      </c>
      <c r="D1936" t="s">
        <v>19</v>
      </c>
      <c r="E1936">
        <v>1916</v>
      </c>
      <c r="F1936">
        <v>10064</v>
      </c>
      <c r="G1936">
        <v>0</v>
      </c>
      <c r="H1936">
        <v>-8148</v>
      </c>
      <c r="I1936" s="2">
        <f>sa_retail_sales[[#This Row],[Profit]] / sa_retail_sales[[#This Row],[Revenue]]</f>
        <v>-4.252609603340292</v>
      </c>
      <c r="J1936">
        <f xml:space="preserve"> YEAR(sa_retail_sales[[#This Row],[Order Date]])</f>
        <v>2024</v>
      </c>
    </row>
    <row r="1937" spans="1:10" x14ac:dyDescent="0.3">
      <c r="A1937" s="1">
        <v>44929</v>
      </c>
      <c r="B1937" t="s">
        <v>18</v>
      </c>
      <c r="C1937" t="s">
        <v>13</v>
      </c>
      <c r="D1937" t="s">
        <v>15</v>
      </c>
      <c r="E1937">
        <v>11545</v>
      </c>
      <c r="F1937">
        <v>10140</v>
      </c>
      <c r="G1937">
        <v>20</v>
      </c>
      <c r="H1937">
        <v>1405</v>
      </c>
      <c r="I1937" s="2">
        <f>sa_retail_sales[[#This Row],[Profit]] / sa_retail_sales[[#This Row],[Revenue]]</f>
        <v>0.12169770463404071</v>
      </c>
      <c r="J1937">
        <f xml:space="preserve"> YEAR(sa_retail_sales[[#This Row],[Order Date]])</f>
        <v>2023</v>
      </c>
    </row>
    <row r="1938" spans="1:10" x14ac:dyDescent="0.3">
      <c r="A1938" s="1">
        <v>44921</v>
      </c>
      <c r="B1938" t="s">
        <v>11</v>
      </c>
      <c r="C1938" t="s">
        <v>13</v>
      </c>
      <c r="D1938" t="s">
        <v>15</v>
      </c>
      <c r="E1938">
        <v>8266</v>
      </c>
      <c r="F1938">
        <v>8014</v>
      </c>
      <c r="G1938">
        <v>10</v>
      </c>
      <c r="H1938">
        <v>252</v>
      </c>
      <c r="I1938" s="2">
        <f>sa_retail_sales[[#This Row],[Profit]] / sa_retail_sales[[#This Row],[Revenue]]</f>
        <v>3.0486329542705057E-2</v>
      </c>
      <c r="J1938">
        <f xml:space="preserve"> YEAR(sa_retail_sales[[#This Row],[Order Date]])</f>
        <v>2022</v>
      </c>
    </row>
    <row r="1939" spans="1:10" x14ac:dyDescent="0.3">
      <c r="A1939" s="1">
        <v>45482</v>
      </c>
      <c r="B1939" t="s">
        <v>18</v>
      </c>
      <c r="C1939" t="s">
        <v>16</v>
      </c>
      <c r="D1939" t="s">
        <v>10</v>
      </c>
      <c r="E1939">
        <v>13960</v>
      </c>
      <c r="F1939">
        <v>1659</v>
      </c>
      <c r="G1939">
        <v>15</v>
      </c>
      <c r="H1939">
        <v>12301</v>
      </c>
      <c r="I1939" s="2">
        <f>sa_retail_sales[[#This Row],[Profit]] / sa_retail_sales[[#This Row],[Revenue]]</f>
        <v>0.88116045845272206</v>
      </c>
      <c r="J1939">
        <f xml:space="preserve"> YEAR(sa_retail_sales[[#This Row],[Order Date]])</f>
        <v>2024</v>
      </c>
    </row>
    <row r="1940" spans="1:10" x14ac:dyDescent="0.3">
      <c r="A1940" s="1">
        <v>44890</v>
      </c>
      <c r="B1940" t="s">
        <v>11</v>
      </c>
      <c r="C1940" t="s">
        <v>9</v>
      </c>
      <c r="D1940" t="s">
        <v>19</v>
      </c>
      <c r="E1940">
        <v>13548</v>
      </c>
      <c r="F1940">
        <v>4731</v>
      </c>
      <c r="G1940">
        <v>0</v>
      </c>
      <c r="H1940">
        <v>8817</v>
      </c>
      <c r="I1940" s="2">
        <f>sa_retail_sales[[#This Row],[Profit]] / sa_retail_sales[[#This Row],[Revenue]]</f>
        <v>0.65079716563330381</v>
      </c>
      <c r="J1940">
        <f xml:space="preserve"> YEAR(sa_retail_sales[[#This Row],[Order Date]])</f>
        <v>2022</v>
      </c>
    </row>
    <row r="1941" spans="1:10" x14ac:dyDescent="0.3">
      <c r="A1941" s="1">
        <v>45523</v>
      </c>
      <c r="B1941" t="s">
        <v>17</v>
      </c>
      <c r="C1941" t="s">
        <v>16</v>
      </c>
      <c r="D1941" t="s">
        <v>15</v>
      </c>
      <c r="E1941">
        <v>13620</v>
      </c>
      <c r="F1941">
        <v>8448</v>
      </c>
      <c r="G1941">
        <v>10</v>
      </c>
      <c r="H1941">
        <v>5172</v>
      </c>
      <c r="I1941" s="2">
        <f>sa_retail_sales[[#This Row],[Profit]] / sa_retail_sales[[#This Row],[Revenue]]</f>
        <v>0.37973568281938325</v>
      </c>
      <c r="J1941">
        <f xml:space="preserve"> YEAR(sa_retail_sales[[#This Row],[Order Date]])</f>
        <v>2024</v>
      </c>
    </row>
    <row r="1942" spans="1:10" x14ac:dyDescent="0.3">
      <c r="A1942" s="1">
        <v>45024</v>
      </c>
      <c r="B1942" t="s">
        <v>17</v>
      </c>
      <c r="C1942" t="s">
        <v>13</v>
      </c>
      <c r="D1942" t="s">
        <v>15</v>
      </c>
      <c r="E1942">
        <v>1928</v>
      </c>
      <c r="F1942">
        <v>11461</v>
      </c>
      <c r="G1942">
        <v>20</v>
      </c>
      <c r="H1942">
        <v>-9533</v>
      </c>
      <c r="I1942" s="2">
        <f>sa_retail_sales[[#This Row],[Profit]] / sa_retail_sales[[#This Row],[Revenue]]</f>
        <v>-4.9445020746887964</v>
      </c>
      <c r="J1942">
        <f xml:space="preserve"> YEAR(sa_retail_sales[[#This Row],[Order Date]])</f>
        <v>2023</v>
      </c>
    </row>
    <row r="1943" spans="1:10" x14ac:dyDescent="0.3">
      <c r="A1943" s="1">
        <v>45507</v>
      </c>
      <c r="B1943" t="s">
        <v>18</v>
      </c>
      <c r="C1943" t="s">
        <v>13</v>
      </c>
      <c r="D1943" t="s">
        <v>12</v>
      </c>
      <c r="E1943">
        <v>4878</v>
      </c>
      <c r="F1943">
        <v>4260</v>
      </c>
      <c r="G1943">
        <v>0</v>
      </c>
      <c r="H1943">
        <v>618</v>
      </c>
      <c r="I1943" s="2">
        <f>sa_retail_sales[[#This Row],[Profit]] / sa_retail_sales[[#This Row],[Revenue]]</f>
        <v>0.12669126691266913</v>
      </c>
      <c r="J1943">
        <f xml:space="preserve"> YEAR(sa_retail_sales[[#This Row],[Order Date]])</f>
        <v>2024</v>
      </c>
    </row>
    <row r="1944" spans="1:10" x14ac:dyDescent="0.3">
      <c r="A1944" s="1">
        <v>45524</v>
      </c>
      <c r="B1944" t="s">
        <v>8</v>
      </c>
      <c r="C1944" t="s">
        <v>9</v>
      </c>
      <c r="D1944" t="s">
        <v>15</v>
      </c>
      <c r="E1944">
        <v>8029</v>
      </c>
      <c r="F1944">
        <v>4111</v>
      </c>
      <c r="G1944">
        <v>0</v>
      </c>
      <c r="H1944">
        <v>3918</v>
      </c>
      <c r="I1944" s="2">
        <f>sa_retail_sales[[#This Row],[Profit]] / sa_retail_sales[[#This Row],[Revenue]]</f>
        <v>0.48798106862622992</v>
      </c>
      <c r="J1944">
        <f xml:space="preserve"> YEAR(sa_retail_sales[[#This Row],[Order Date]])</f>
        <v>2024</v>
      </c>
    </row>
    <row r="1945" spans="1:10" x14ac:dyDescent="0.3">
      <c r="A1945" s="1">
        <v>45397</v>
      </c>
      <c r="B1945" t="s">
        <v>11</v>
      </c>
      <c r="C1945" t="s">
        <v>16</v>
      </c>
      <c r="D1945" t="s">
        <v>10</v>
      </c>
      <c r="E1945">
        <v>4974</v>
      </c>
      <c r="F1945">
        <v>4542</v>
      </c>
      <c r="G1945">
        <v>10</v>
      </c>
      <c r="H1945">
        <v>432</v>
      </c>
      <c r="I1945" s="2">
        <f>sa_retail_sales[[#This Row],[Profit]] / sa_retail_sales[[#This Row],[Revenue]]</f>
        <v>8.6851628468033779E-2</v>
      </c>
      <c r="J1945">
        <f xml:space="preserve"> YEAR(sa_retail_sales[[#This Row],[Order Date]])</f>
        <v>2024</v>
      </c>
    </row>
    <row r="1946" spans="1:10" x14ac:dyDescent="0.3">
      <c r="A1946" s="1">
        <v>44730</v>
      </c>
      <c r="B1946" t="s">
        <v>11</v>
      </c>
      <c r="C1946" t="s">
        <v>13</v>
      </c>
      <c r="D1946" t="s">
        <v>19</v>
      </c>
      <c r="E1946">
        <v>12985</v>
      </c>
      <c r="F1946">
        <v>4517</v>
      </c>
      <c r="G1946">
        <v>0</v>
      </c>
      <c r="H1946">
        <v>8468</v>
      </c>
      <c r="I1946" s="2">
        <f>sa_retail_sales[[#This Row],[Profit]] / sa_retail_sales[[#This Row],[Revenue]]</f>
        <v>0.6521370812475934</v>
      </c>
      <c r="J1946">
        <f xml:space="preserve"> YEAR(sa_retail_sales[[#This Row],[Order Date]])</f>
        <v>2022</v>
      </c>
    </row>
    <row r="1947" spans="1:10" x14ac:dyDescent="0.3">
      <c r="A1947" s="1">
        <v>44778</v>
      </c>
      <c r="B1947" t="s">
        <v>18</v>
      </c>
      <c r="C1947" t="s">
        <v>14</v>
      </c>
      <c r="D1947" t="s">
        <v>15</v>
      </c>
      <c r="E1947">
        <v>11754</v>
      </c>
      <c r="F1947">
        <v>380</v>
      </c>
      <c r="G1947">
        <v>5</v>
      </c>
      <c r="H1947">
        <v>11374</v>
      </c>
      <c r="I1947" s="2">
        <f>sa_retail_sales[[#This Row],[Profit]] / sa_retail_sales[[#This Row],[Revenue]]</f>
        <v>0.96767058022800745</v>
      </c>
      <c r="J1947">
        <f xml:space="preserve"> YEAR(sa_retail_sales[[#This Row],[Order Date]])</f>
        <v>2022</v>
      </c>
    </row>
    <row r="1948" spans="1:10" x14ac:dyDescent="0.3">
      <c r="A1948" s="1">
        <v>44939</v>
      </c>
      <c r="B1948" t="s">
        <v>11</v>
      </c>
      <c r="C1948" t="s">
        <v>13</v>
      </c>
      <c r="D1948" t="s">
        <v>12</v>
      </c>
      <c r="E1948">
        <v>3571</v>
      </c>
      <c r="F1948">
        <v>3032</v>
      </c>
      <c r="G1948">
        <v>0</v>
      </c>
      <c r="H1948">
        <v>539</v>
      </c>
      <c r="I1948" s="2">
        <f>sa_retail_sales[[#This Row],[Profit]] / sa_retail_sales[[#This Row],[Revenue]]</f>
        <v>0.15093811257350881</v>
      </c>
      <c r="J1948">
        <f xml:space="preserve"> YEAR(sa_retail_sales[[#This Row],[Order Date]])</f>
        <v>2023</v>
      </c>
    </row>
    <row r="1949" spans="1:10" x14ac:dyDescent="0.3">
      <c r="A1949" s="1">
        <v>44680</v>
      </c>
      <c r="B1949" t="s">
        <v>11</v>
      </c>
      <c r="C1949" t="s">
        <v>13</v>
      </c>
      <c r="D1949" t="s">
        <v>19</v>
      </c>
      <c r="E1949">
        <v>1055</v>
      </c>
      <c r="F1949">
        <v>8133</v>
      </c>
      <c r="G1949">
        <v>15</v>
      </c>
      <c r="H1949">
        <v>-7078</v>
      </c>
      <c r="I1949" s="2">
        <f>sa_retail_sales[[#This Row],[Profit]] / sa_retail_sales[[#This Row],[Revenue]]</f>
        <v>-6.7090047393364927</v>
      </c>
      <c r="J1949">
        <f xml:space="preserve"> YEAR(sa_retail_sales[[#This Row],[Order Date]])</f>
        <v>2022</v>
      </c>
    </row>
    <row r="1950" spans="1:10" x14ac:dyDescent="0.3">
      <c r="A1950" s="1">
        <v>44751</v>
      </c>
      <c r="B1950" t="s">
        <v>8</v>
      </c>
      <c r="C1950" t="s">
        <v>9</v>
      </c>
      <c r="D1950" t="s">
        <v>15</v>
      </c>
      <c r="E1950">
        <v>9047</v>
      </c>
      <c r="F1950">
        <v>3009</v>
      </c>
      <c r="G1950">
        <v>10</v>
      </c>
      <c r="H1950">
        <v>6038</v>
      </c>
      <c r="I1950" s="2">
        <f>sa_retail_sales[[#This Row],[Profit]] / sa_retail_sales[[#This Row],[Revenue]]</f>
        <v>0.667403559190892</v>
      </c>
      <c r="J1950">
        <f xml:space="preserve"> YEAR(sa_retail_sales[[#This Row],[Order Date]])</f>
        <v>2022</v>
      </c>
    </row>
    <row r="1951" spans="1:10" x14ac:dyDescent="0.3">
      <c r="A1951" s="1">
        <v>45328</v>
      </c>
      <c r="B1951" t="s">
        <v>8</v>
      </c>
      <c r="C1951" t="s">
        <v>14</v>
      </c>
      <c r="D1951" t="s">
        <v>12</v>
      </c>
      <c r="E1951">
        <v>2063</v>
      </c>
      <c r="F1951">
        <v>2722</v>
      </c>
      <c r="G1951">
        <v>15</v>
      </c>
      <c r="H1951">
        <v>-659</v>
      </c>
      <c r="I1951" s="2">
        <f>sa_retail_sales[[#This Row],[Profit]] / sa_retail_sales[[#This Row],[Revenue]]</f>
        <v>-0.31943771206980126</v>
      </c>
      <c r="J1951">
        <f xml:space="preserve"> YEAR(sa_retail_sales[[#This Row],[Order Date]])</f>
        <v>2024</v>
      </c>
    </row>
    <row r="1952" spans="1:10" x14ac:dyDescent="0.3">
      <c r="A1952" s="1">
        <v>44931</v>
      </c>
      <c r="B1952" t="s">
        <v>18</v>
      </c>
      <c r="C1952" t="s">
        <v>13</v>
      </c>
      <c r="D1952" t="s">
        <v>15</v>
      </c>
      <c r="E1952">
        <v>12192</v>
      </c>
      <c r="F1952">
        <v>3941</v>
      </c>
      <c r="G1952">
        <v>20</v>
      </c>
      <c r="H1952">
        <v>8251</v>
      </c>
      <c r="I1952" s="2">
        <f>sa_retail_sales[[#This Row],[Profit]] / sa_retail_sales[[#This Row],[Revenue]]</f>
        <v>0.67675524934383202</v>
      </c>
      <c r="J1952">
        <f xml:space="preserve"> YEAR(sa_retail_sales[[#This Row],[Order Date]])</f>
        <v>2023</v>
      </c>
    </row>
    <row r="1953" spans="1:10" x14ac:dyDescent="0.3">
      <c r="A1953" s="1">
        <v>44710</v>
      </c>
      <c r="B1953" t="s">
        <v>8</v>
      </c>
      <c r="C1953" t="s">
        <v>13</v>
      </c>
      <c r="D1953" t="s">
        <v>19</v>
      </c>
      <c r="E1953">
        <v>1540</v>
      </c>
      <c r="F1953">
        <v>967</v>
      </c>
      <c r="G1953">
        <v>15</v>
      </c>
      <c r="H1953">
        <v>573</v>
      </c>
      <c r="I1953" s="2">
        <f>sa_retail_sales[[#This Row],[Profit]] / sa_retail_sales[[#This Row],[Revenue]]</f>
        <v>0.37207792207792206</v>
      </c>
      <c r="J1953">
        <f xml:space="preserve"> YEAR(sa_retail_sales[[#This Row],[Order Date]])</f>
        <v>2022</v>
      </c>
    </row>
    <row r="1954" spans="1:10" x14ac:dyDescent="0.3">
      <c r="A1954" s="1">
        <v>45213</v>
      </c>
      <c r="B1954" t="s">
        <v>18</v>
      </c>
      <c r="C1954" t="s">
        <v>14</v>
      </c>
      <c r="D1954" t="s">
        <v>19</v>
      </c>
      <c r="E1954">
        <v>3186</v>
      </c>
      <c r="F1954">
        <v>2796</v>
      </c>
      <c r="G1954">
        <v>5</v>
      </c>
      <c r="H1954">
        <v>390</v>
      </c>
      <c r="I1954" s="2">
        <f>sa_retail_sales[[#This Row],[Profit]] / sa_retail_sales[[#This Row],[Revenue]]</f>
        <v>0.1224105461393597</v>
      </c>
      <c r="J1954">
        <f xml:space="preserve"> YEAR(sa_retail_sales[[#This Row],[Order Date]])</f>
        <v>2023</v>
      </c>
    </row>
    <row r="1955" spans="1:10" x14ac:dyDescent="0.3">
      <c r="A1955" s="1">
        <v>45331</v>
      </c>
      <c r="B1955" t="s">
        <v>17</v>
      </c>
      <c r="C1955" t="s">
        <v>16</v>
      </c>
      <c r="D1955" t="s">
        <v>19</v>
      </c>
      <c r="E1955">
        <v>13166</v>
      </c>
      <c r="F1955">
        <v>3799</v>
      </c>
      <c r="G1955">
        <v>5</v>
      </c>
      <c r="H1955">
        <v>9367</v>
      </c>
      <c r="I1955" s="2">
        <f>sa_retail_sales[[#This Row],[Profit]] / sa_retail_sales[[#This Row],[Revenue]]</f>
        <v>0.71145374449339205</v>
      </c>
      <c r="J1955">
        <f xml:space="preserve"> YEAR(sa_retail_sales[[#This Row],[Order Date]])</f>
        <v>2024</v>
      </c>
    </row>
    <row r="1956" spans="1:10" x14ac:dyDescent="0.3">
      <c r="A1956" s="1">
        <v>44935</v>
      </c>
      <c r="B1956" t="s">
        <v>18</v>
      </c>
      <c r="C1956" t="s">
        <v>16</v>
      </c>
      <c r="D1956" t="s">
        <v>10</v>
      </c>
      <c r="E1956">
        <v>13467</v>
      </c>
      <c r="F1956">
        <v>11990</v>
      </c>
      <c r="G1956">
        <v>15</v>
      </c>
      <c r="H1956">
        <v>1477</v>
      </c>
      <c r="I1956" s="2">
        <f>sa_retail_sales[[#This Row],[Profit]] / sa_retail_sales[[#This Row],[Revenue]]</f>
        <v>0.1096755030816069</v>
      </c>
      <c r="J1956">
        <f xml:space="preserve"> YEAR(sa_retail_sales[[#This Row],[Order Date]])</f>
        <v>2023</v>
      </c>
    </row>
    <row r="1957" spans="1:10" x14ac:dyDescent="0.3">
      <c r="A1957" s="1">
        <v>45342</v>
      </c>
      <c r="B1957" t="s">
        <v>17</v>
      </c>
      <c r="C1957" t="s">
        <v>13</v>
      </c>
      <c r="D1957" t="s">
        <v>15</v>
      </c>
      <c r="E1957">
        <v>3053</v>
      </c>
      <c r="F1957">
        <v>9936</v>
      </c>
      <c r="G1957">
        <v>20</v>
      </c>
      <c r="H1957">
        <v>-6883</v>
      </c>
      <c r="I1957" s="2">
        <f>sa_retail_sales[[#This Row],[Profit]] / sa_retail_sales[[#This Row],[Revenue]]</f>
        <v>-2.2545037667867671</v>
      </c>
      <c r="J1957">
        <f xml:space="preserve"> YEAR(sa_retail_sales[[#This Row],[Order Date]])</f>
        <v>2024</v>
      </c>
    </row>
    <row r="1958" spans="1:10" x14ac:dyDescent="0.3">
      <c r="A1958" s="1">
        <v>44721</v>
      </c>
      <c r="B1958" t="s">
        <v>18</v>
      </c>
      <c r="C1958" t="s">
        <v>13</v>
      </c>
      <c r="D1958" t="s">
        <v>10</v>
      </c>
      <c r="E1958">
        <v>2279</v>
      </c>
      <c r="F1958">
        <v>9837</v>
      </c>
      <c r="G1958">
        <v>0</v>
      </c>
      <c r="H1958">
        <v>-7558</v>
      </c>
      <c r="I1958" s="2">
        <f>sa_retail_sales[[#This Row],[Profit]] / sa_retail_sales[[#This Row],[Revenue]]</f>
        <v>-3.3163668275559455</v>
      </c>
      <c r="J1958">
        <f xml:space="preserve"> YEAR(sa_retail_sales[[#This Row],[Order Date]])</f>
        <v>2022</v>
      </c>
    </row>
    <row r="1959" spans="1:10" x14ac:dyDescent="0.3">
      <c r="A1959" s="1">
        <v>44912</v>
      </c>
      <c r="B1959" t="s">
        <v>11</v>
      </c>
      <c r="C1959" t="s">
        <v>16</v>
      </c>
      <c r="D1959" t="s">
        <v>19</v>
      </c>
      <c r="E1959">
        <v>13686</v>
      </c>
      <c r="F1959">
        <v>8380</v>
      </c>
      <c r="G1959">
        <v>5</v>
      </c>
      <c r="H1959">
        <v>5306</v>
      </c>
      <c r="I1959" s="2">
        <f>sa_retail_sales[[#This Row],[Profit]] / sa_retail_sales[[#This Row],[Revenue]]</f>
        <v>0.38769545520970333</v>
      </c>
      <c r="J1959">
        <f xml:space="preserve"> YEAR(sa_retail_sales[[#This Row],[Order Date]])</f>
        <v>2022</v>
      </c>
    </row>
    <row r="1960" spans="1:10" x14ac:dyDescent="0.3">
      <c r="A1960" s="1">
        <v>45453</v>
      </c>
      <c r="B1960" t="s">
        <v>8</v>
      </c>
      <c r="C1960" t="s">
        <v>9</v>
      </c>
      <c r="D1960" t="s">
        <v>12</v>
      </c>
      <c r="E1960">
        <v>575</v>
      </c>
      <c r="F1960">
        <v>7123</v>
      </c>
      <c r="G1960">
        <v>15</v>
      </c>
      <c r="H1960">
        <v>-6548</v>
      </c>
      <c r="I1960" s="2">
        <f>sa_retail_sales[[#This Row],[Profit]] / sa_retail_sales[[#This Row],[Revenue]]</f>
        <v>-11.387826086956522</v>
      </c>
      <c r="J1960">
        <f xml:space="preserve"> YEAR(sa_retail_sales[[#This Row],[Order Date]])</f>
        <v>2024</v>
      </c>
    </row>
    <row r="1961" spans="1:10" x14ac:dyDescent="0.3">
      <c r="A1961" s="1">
        <v>45084</v>
      </c>
      <c r="B1961" t="s">
        <v>17</v>
      </c>
      <c r="C1961" t="s">
        <v>14</v>
      </c>
      <c r="D1961" t="s">
        <v>15</v>
      </c>
      <c r="E1961">
        <v>4826</v>
      </c>
      <c r="F1961">
        <v>1489</v>
      </c>
      <c r="G1961">
        <v>15</v>
      </c>
      <c r="H1961">
        <v>3337</v>
      </c>
      <c r="I1961" s="2">
        <f>sa_retail_sales[[#This Row],[Profit]] / sa_retail_sales[[#This Row],[Revenue]]</f>
        <v>0.69146290924160791</v>
      </c>
      <c r="J1961">
        <f xml:space="preserve"> YEAR(sa_retail_sales[[#This Row],[Order Date]])</f>
        <v>2023</v>
      </c>
    </row>
    <row r="1962" spans="1:10" x14ac:dyDescent="0.3">
      <c r="A1962" s="1">
        <v>45083</v>
      </c>
      <c r="B1962" t="s">
        <v>18</v>
      </c>
      <c r="C1962" t="s">
        <v>14</v>
      </c>
      <c r="D1962" t="s">
        <v>10</v>
      </c>
      <c r="E1962">
        <v>6335</v>
      </c>
      <c r="F1962">
        <v>6904</v>
      </c>
      <c r="G1962">
        <v>15</v>
      </c>
      <c r="H1962">
        <v>-569</v>
      </c>
      <c r="I1962" s="2">
        <f>sa_retail_sales[[#This Row],[Profit]] / sa_retail_sales[[#This Row],[Revenue]]</f>
        <v>-8.9818468823993691E-2</v>
      </c>
      <c r="J1962">
        <f xml:space="preserve"> YEAR(sa_retail_sales[[#This Row],[Order Date]])</f>
        <v>2023</v>
      </c>
    </row>
    <row r="1963" spans="1:10" x14ac:dyDescent="0.3">
      <c r="A1963" s="1">
        <v>45344</v>
      </c>
      <c r="B1963" t="s">
        <v>8</v>
      </c>
      <c r="C1963" t="s">
        <v>9</v>
      </c>
      <c r="D1963" t="s">
        <v>15</v>
      </c>
      <c r="E1963">
        <v>5557</v>
      </c>
      <c r="F1963">
        <v>8950</v>
      </c>
      <c r="G1963">
        <v>0</v>
      </c>
      <c r="H1963">
        <v>-3393</v>
      </c>
      <c r="I1963" s="2">
        <f>sa_retail_sales[[#This Row],[Profit]] / sa_retail_sales[[#This Row],[Revenue]]</f>
        <v>-0.61058124887529241</v>
      </c>
      <c r="J1963">
        <f xml:space="preserve"> YEAR(sa_retail_sales[[#This Row],[Order Date]])</f>
        <v>2024</v>
      </c>
    </row>
    <row r="1964" spans="1:10" x14ac:dyDescent="0.3">
      <c r="A1964" s="1">
        <v>44834</v>
      </c>
      <c r="B1964" t="s">
        <v>18</v>
      </c>
      <c r="C1964" t="s">
        <v>9</v>
      </c>
      <c r="D1964" t="s">
        <v>12</v>
      </c>
      <c r="E1964">
        <v>12011</v>
      </c>
      <c r="F1964">
        <v>9704</v>
      </c>
      <c r="G1964">
        <v>10</v>
      </c>
      <c r="H1964">
        <v>2307</v>
      </c>
      <c r="I1964" s="2">
        <f>sa_retail_sales[[#This Row],[Profit]] / sa_retail_sales[[#This Row],[Revenue]]</f>
        <v>0.19207393222879027</v>
      </c>
      <c r="J1964">
        <f xml:space="preserve"> YEAR(sa_retail_sales[[#This Row],[Order Date]])</f>
        <v>2022</v>
      </c>
    </row>
    <row r="1965" spans="1:10" x14ac:dyDescent="0.3">
      <c r="A1965" s="1">
        <v>45497</v>
      </c>
      <c r="B1965" t="s">
        <v>8</v>
      </c>
      <c r="C1965" t="s">
        <v>9</v>
      </c>
      <c r="D1965" t="s">
        <v>10</v>
      </c>
      <c r="E1965">
        <v>2849</v>
      </c>
      <c r="F1965">
        <v>9403</v>
      </c>
      <c r="G1965">
        <v>20</v>
      </c>
      <c r="H1965">
        <v>-6554</v>
      </c>
      <c r="I1965" s="2">
        <f>sa_retail_sales[[#This Row],[Profit]] / sa_retail_sales[[#This Row],[Revenue]]</f>
        <v>-2.3004563004563003</v>
      </c>
      <c r="J1965">
        <f xml:space="preserve"> YEAR(sa_retail_sales[[#This Row],[Order Date]])</f>
        <v>2024</v>
      </c>
    </row>
    <row r="1966" spans="1:10" x14ac:dyDescent="0.3">
      <c r="A1966" s="1">
        <v>44744</v>
      </c>
      <c r="B1966" t="s">
        <v>8</v>
      </c>
      <c r="C1966" t="s">
        <v>9</v>
      </c>
      <c r="D1966" t="s">
        <v>19</v>
      </c>
      <c r="E1966">
        <v>3273</v>
      </c>
      <c r="F1966">
        <v>1325</v>
      </c>
      <c r="G1966">
        <v>10</v>
      </c>
      <c r="H1966">
        <v>1948</v>
      </c>
      <c r="I1966" s="2">
        <f>sa_retail_sales[[#This Row],[Profit]] / sa_retail_sales[[#This Row],[Revenue]]</f>
        <v>0.5951726245035136</v>
      </c>
      <c r="J1966">
        <f xml:space="preserve"> YEAR(sa_retail_sales[[#This Row],[Order Date]])</f>
        <v>2022</v>
      </c>
    </row>
    <row r="1967" spans="1:10" x14ac:dyDescent="0.3">
      <c r="A1967" s="1">
        <v>45049</v>
      </c>
      <c r="B1967" t="s">
        <v>18</v>
      </c>
      <c r="C1967" t="s">
        <v>9</v>
      </c>
      <c r="D1967" t="s">
        <v>10</v>
      </c>
      <c r="E1967">
        <v>2762</v>
      </c>
      <c r="F1967">
        <v>8085</v>
      </c>
      <c r="G1967">
        <v>20</v>
      </c>
      <c r="H1967">
        <v>-5323</v>
      </c>
      <c r="I1967" s="2">
        <f>sa_retail_sales[[#This Row],[Profit]] / sa_retail_sales[[#This Row],[Revenue]]</f>
        <v>-1.9272266473569877</v>
      </c>
      <c r="J1967">
        <f xml:space="preserve"> YEAR(sa_retail_sales[[#This Row],[Order Date]])</f>
        <v>2023</v>
      </c>
    </row>
    <row r="1968" spans="1:10" x14ac:dyDescent="0.3">
      <c r="A1968" s="1">
        <v>45407</v>
      </c>
      <c r="B1968" t="s">
        <v>17</v>
      </c>
      <c r="C1968" t="s">
        <v>9</v>
      </c>
      <c r="D1968" t="s">
        <v>15</v>
      </c>
      <c r="E1968">
        <v>3729</v>
      </c>
      <c r="F1968">
        <v>10903</v>
      </c>
      <c r="G1968">
        <v>20</v>
      </c>
      <c r="H1968">
        <v>-7174</v>
      </c>
      <c r="I1968" s="2">
        <f>sa_retail_sales[[#This Row],[Profit]] / sa_retail_sales[[#This Row],[Revenue]]</f>
        <v>-1.9238401716277822</v>
      </c>
      <c r="J1968">
        <f xml:space="preserve"> YEAR(sa_retail_sales[[#This Row],[Order Date]])</f>
        <v>2024</v>
      </c>
    </row>
    <row r="1969" spans="1:10" x14ac:dyDescent="0.3">
      <c r="A1969" s="1">
        <v>44685</v>
      </c>
      <c r="B1969" t="s">
        <v>17</v>
      </c>
      <c r="C1969" t="s">
        <v>14</v>
      </c>
      <c r="D1969" t="s">
        <v>15</v>
      </c>
      <c r="E1969">
        <v>10808</v>
      </c>
      <c r="F1969">
        <v>371</v>
      </c>
      <c r="G1969">
        <v>15</v>
      </c>
      <c r="H1969">
        <v>10437</v>
      </c>
      <c r="I1969" s="2">
        <f>sa_retail_sales[[#This Row],[Profit]] / sa_retail_sales[[#This Row],[Revenue]]</f>
        <v>0.96567357512953367</v>
      </c>
      <c r="J1969">
        <f xml:space="preserve"> YEAR(sa_retail_sales[[#This Row],[Order Date]])</f>
        <v>2022</v>
      </c>
    </row>
    <row r="1970" spans="1:10" x14ac:dyDescent="0.3">
      <c r="A1970" s="1">
        <v>45546</v>
      </c>
      <c r="B1970" t="s">
        <v>11</v>
      </c>
      <c r="C1970" t="s">
        <v>9</v>
      </c>
      <c r="D1970" t="s">
        <v>15</v>
      </c>
      <c r="E1970">
        <v>892</v>
      </c>
      <c r="F1970">
        <v>5846</v>
      </c>
      <c r="G1970">
        <v>5</v>
      </c>
      <c r="H1970">
        <v>-4954</v>
      </c>
      <c r="I1970" s="2">
        <f>sa_retail_sales[[#This Row],[Profit]] / sa_retail_sales[[#This Row],[Revenue]]</f>
        <v>-5.5538116591928253</v>
      </c>
      <c r="J1970">
        <f xml:space="preserve"> YEAR(sa_retail_sales[[#This Row],[Order Date]])</f>
        <v>2024</v>
      </c>
    </row>
    <row r="1971" spans="1:10" x14ac:dyDescent="0.3">
      <c r="A1971" s="1">
        <v>45351</v>
      </c>
      <c r="B1971" t="s">
        <v>8</v>
      </c>
      <c r="C1971" t="s">
        <v>16</v>
      </c>
      <c r="D1971" t="s">
        <v>15</v>
      </c>
      <c r="E1971">
        <v>1608</v>
      </c>
      <c r="F1971">
        <v>2985</v>
      </c>
      <c r="G1971">
        <v>15</v>
      </c>
      <c r="H1971">
        <v>-1377</v>
      </c>
      <c r="I1971" s="2">
        <f>sa_retail_sales[[#This Row],[Profit]] / sa_retail_sales[[#This Row],[Revenue]]</f>
        <v>-0.85634328358208955</v>
      </c>
      <c r="J1971">
        <f xml:space="preserve"> YEAR(sa_retail_sales[[#This Row],[Order Date]])</f>
        <v>2024</v>
      </c>
    </row>
    <row r="1972" spans="1:10" x14ac:dyDescent="0.3">
      <c r="A1972" s="1">
        <v>44975</v>
      </c>
      <c r="B1972" t="s">
        <v>11</v>
      </c>
      <c r="C1972" t="s">
        <v>9</v>
      </c>
      <c r="D1972" t="s">
        <v>19</v>
      </c>
      <c r="E1972">
        <v>4862</v>
      </c>
      <c r="F1972">
        <v>9685</v>
      </c>
      <c r="G1972">
        <v>0</v>
      </c>
      <c r="H1972">
        <v>-4823</v>
      </c>
      <c r="I1972" s="2">
        <f>sa_retail_sales[[#This Row],[Profit]] / sa_retail_sales[[#This Row],[Revenue]]</f>
        <v>-0.99197860962566842</v>
      </c>
      <c r="J1972">
        <f xml:space="preserve"> YEAR(sa_retail_sales[[#This Row],[Order Date]])</f>
        <v>2023</v>
      </c>
    </row>
    <row r="1973" spans="1:10" x14ac:dyDescent="0.3">
      <c r="A1973" s="1">
        <v>45247</v>
      </c>
      <c r="B1973" t="s">
        <v>11</v>
      </c>
      <c r="C1973" t="s">
        <v>9</v>
      </c>
      <c r="D1973" t="s">
        <v>10</v>
      </c>
      <c r="E1973">
        <v>5688</v>
      </c>
      <c r="F1973">
        <v>7672</v>
      </c>
      <c r="G1973">
        <v>20</v>
      </c>
      <c r="H1973">
        <v>-1984</v>
      </c>
      <c r="I1973" s="2">
        <f>sa_retail_sales[[#This Row],[Profit]] / sa_retail_sales[[#This Row],[Revenue]]</f>
        <v>-0.34880450070323488</v>
      </c>
      <c r="J1973">
        <f xml:space="preserve"> YEAR(sa_retail_sales[[#This Row],[Order Date]])</f>
        <v>2023</v>
      </c>
    </row>
    <row r="1974" spans="1:10" x14ac:dyDescent="0.3">
      <c r="A1974" s="1">
        <v>44674</v>
      </c>
      <c r="B1974" t="s">
        <v>18</v>
      </c>
      <c r="C1974" t="s">
        <v>14</v>
      </c>
      <c r="D1974" t="s">
        <v>19</v>
      </c>
      <c r="E1974">
        <v>9302</v>
      </c>
      <c r="F1974">
        <v>2148</v>
      </c>
      <c r="G1974">
        <v>5</v>
      </c>
      <c r="H1974">
        <v>7154</v>
      </c>
      <c r="I1974" s="2">
        <f>sa_retail_sales[[#This Row],[Profit]] / sa_retail_sales[[#This Row],[Revenue]]</f>
        <v>0.76908191786712532</v>
      </c>
      <c r="J1974">
        <f xml:space="preserve"> YEAR(sa_retail_sales[[#This Row],[Order Date]])</f>
        <v>2022</v>
      </c>
    </row>
    <row r="1975" spans="1:10" x14ac:dyDescent="0.3">
      <c r="A1975" s="1">
        <v>45449</v>
      </c>
      <c r="B1975" t="s">
        <v>18</v>
      </c>
      <c r="C1975" t="s">
        <v>14</v>
      </c>
      <c r="D1975" t="s">
        <v>19</v>
      </c>
      <c r="E1975">
        <v>14158</v>
      </c>
      <c r="F1975">
        <v>10876</v>
      </c>
      <c r="G1975">
        <v>20</v>
      </c>
      <c r="H1975">
        <v>3282</v>
      </c>
      <c r="I1975" s="2">
        <f>sa_retail_sales[[#This Row],[Profit]] / sa_retail_sales[[#This Row],[Revenue]]</f>
        <v>0.23181240288176297</v>
      </c>
      <c r="J1975">
        <f xml:space="preserve"> YEAR(sa_retail_sales[[#This Row],[Order Date]])</f>
        <v>2024</v>
      </c>
    </row>
    <row r="1976" spans="1:10" x14ac:dyDescent="0.3">
      <c r="A1976" s="1">
        <v>44683</v>
      </c>
      <c r="B1976" t="s">
        <v>18</v>
      </c>
      <c r="C1976" t="s">
        <v>9</v>
      </c>
      <c r="D1976" t="s">
        <v>19</v>
      </c>
      <c r="E1976">
        <v>13796</v>
      </c>
      <c r="F1976">
        <v>2322</v>
      </c>
      <c r="G1976">
        <v>20</v>
      </c>
      <c r="H1976">
        <v>11474</v>
      </c>
      <c r="I1976" s="2">
        <f>sa_retail_sales[[#This Row],[Profit]] / sa_retail_sales[[#This Row],[Revenue]]</f>
        <v>0.83169034502754424</v>
      </c>
      <c r="J1976">
        <f xml:space="preserve"> YEAR(sa_retail_sales[[#This Row],[Order Date]])</f>
        <v>2022</v>
      </c>
    </row>
    <row r="1977" spans="1:10" x14ac:dyDescent="0.3">
      <c r="A1977" s="1">
        <v>44600</v>
      </c>
      <c r="B1977" t="s">
        <v>8</v>
      </c>
      <c r="C1977" t="s">
        <v>14</v>
      </c>
      <c r="D1977" t="s">
        <v>15</v>
      </c>
      <c r="E1977">
        <v>5557</v>
      </c>
      <c r="F1977">
        <v>6638</v>
      </c>
      <c r="G1977">
        <v>15</v>
      </c>
      <c r="H1977">
        <v>-1081</v>
      </c>
      <c r="I1977" s="2">
        <f>sa_retail_sales[[#This Row],[Profit]] / sa_retail_sales[[#This Row],[Revenue]]</f>
        <v>-0.19452942235018894</v>
      </c>
      <c r="J1977">
        <f xml:space="preserve"> YEAR(sa_retail_sales[[#This Row],[Order Date]])</f>
        <v>2022</v>
      </c>
    </row>
    <row r="1978" spans="1:10" x14ac:dyDescent="0.3">
      <c r="A1978" s="1">
        <v>45058</v>
      </c>
      <c r="B1978" t="s">
        <v>18</v>
      </c>
      <c r="C1978" t="s">
        <v>13</v>
      </c>
      <c r="D1978" t="s">
        <v>15</v>
      </c>
      <c r="E1978">
        <v>11467</v>
      </c>
      <c r="F1978">
        <v>4041</v>
      </c>
      <c r="G1978">
        <v>5</v>
      </c>
      <c r="H1978">
        <v>7426</v>
      </c>
      <c r="I1978" s="2">
        <f>sa_retail_sales[[#This Row],[Profit]] / sa_retail_sales[[#This Row],[Revenue]]</f>
        <v>0.6475974535623964</v>
      </c>
      <c r="J1978">
        <f xml:space="preserve"> YEAR(sa_retail_sales[[#This Row],[Order Date]])</f>
        <v>2023</v>
      </c>
    </row>
    <row r="1979" spans="1:10" x14ac:dyDescent="0.3">
      <c r="A1979" s="1">
        <v>45341</v>
      </c>
      <c r="B1979" t="s">
        <v>18</v>
      </c>
      <c r="C1979" t="s">
        <v>14</v>
      </c>
      <c r="D1979" t="s">
        <v>15</v>
      </c>
      <c r="E1979">
        <v>4498</v>
      </c>
      <c r="F1979">
        <v>1598</v>
      </c>
      <c r="G1979">
        <v>5</v>
      </c>
      <c r="H1979">
        <v>2900</v>
      </c>
      <c r="I1979" s="2">
        <f>sa_retail_sales[[#This Row],[Profit]] / sa_retail_sales[[#This Row],[Revenue]]</f>
        <v>0.6447309915518008</v>
      </c>
      <c r="J1979">
        <f xml:space="preserve"> YEAR(sa_retail_sales[[#This Row],[Order Date]])</f>
        <v>2024</v>
      </c>
    </row>
    <row r="1980" spans="1:10" x14ac:dyDescent="0.3">
      <c r="A1980" s="1">
        <v>45504</v>
      </c>
      <c r="B1980" t="s">
        <v>8</v>
      </c>
      <c r="C1980" t="s">
        <v>14</v>
      </c>
      <c r="D1980" t="s">
        <v>10</v>
      </c>
      <c r="E1980">
        <v>9364</v>
      </c>
      <c r="F1980">
        <v>4402</v>
      </c>
      <c r="G1980">
        <v>20</v>
      </c>
      <c r="H1980">
        <v>4962</v>
      </c>
      <c r="I1980" s="2">
        <f>sa_retail_sales[[#This Row],[Profit]] / sa_retail_sales[[#This Row],[Revenue]]</f>
        <v>0.52990175138829565</v>
      </c>
      <c r="J1980">
        <f xml:space="preserve"> YEAR(sa_retail_sales[[#This Row],[Order Date]])</f>
        <v>2024</v>
      </c>
    </row>
    <row r="1981" spans="1:10" x14ac:dyDescent="0.3">
      <c r="A1981" s="1">
        <v>44710</v>
      </c>
      <c r="B1981" t="s">
        <v>8</v>
      </c>
      <c r="C1981" t="s">
        <v>14</v>
      </c>
      <c r="D1981" t="s">
        <v>12</v>
      </c>
      <c r="E1981">
        <v>7066</v>
      </c>
      <c r="F1981">
        <v>1204</v>
      </c>
      <c r="G1981">
        <v>5</v>
      </c>
      <c r="H1981">
        <v>5862</v>
      </c>
      <c r="I1981" s="2">
        <f>sa_retail_sales[[#This Row],[Profit]] / sa_retail_sales[[#This Row],[Revenue]]</f>
        <v>0.82960656665723187</v>
      </c>
      <c r="J1981">
        <f xml:space="preserve"> YEAR(sa_retail_sales[[#This Row],[Order Date]])</f>
        <v>2022</v>
      </c>
    </row>
    <row r="1982" spans="1:10" x14ac:dyDescent="0.3">
      <c r="A1982" s="1">
        <v>45583</v>
      </c>
      <c r="B1982" t="s">
        <v>17</v>
      </c>
      <c r="C1982" t="s">
        <v>14</v>
      </c>
      <c r="D1982" t="s">
        <v>15</v>
      </c>
      <c r="E1982">
        <v>4177</v>
      </c>
      <c r="F1982">
        <v>3326</v>
      </c>
      <c r="G1982">
        <v>5</v>
      </c>
      <c r="H1982">
        <v>851</v>
      </c>
      <c r="I1982" s="2">
        <f>sa_retail_sales[[#This Row],[Profit]] / sa_retail_sales[[#This Row],[Revenue]]</f>
        <v>0.20373473785013169</v>
      </c>
      <c r="J1982">
        <f xml:space="preserve"> YEAR(sa_retail_sales[[#This Row],[Order Date]])</f>
        <v>2024</v>
      </c>
    </row>
    <row r="1983" spans="1:10" x14ac:dyDescent="0.3">
      <c r="A1983" s="1">
        <v>45222</v>
      </c>
      <c r="B1983" t="s">
        <v>18</v>
      </c>
      <c r="C1983" t="s">
        <v>16</v>
      </c>
      <c r="D1983" t="s">
        <v>10</v>
      </c>
      <c r="E1983">
        <v>6296</v>
      </c>
      <c r="F1983">
        <v>10520</v>
      </c>
      <c r="G1983">
        <v>15</v>
      </c>
      <c r="H1983">
        <v>-4224</v>
      </c>
      <c r="I1983" s="2">
        <f>sa_retail_sales[[#This Row],[Profit]] / sa_retail_sales[[#This Row],[Revenue]]</f>
        <v>-0.67090216010165182</v>
      </c>
      <c r="J1983">
        <f xml:space="preserve"> YEAR(sa_retail_sales[[#This Row],[Order Date]])</f>
        <v>2023</v>
      </c>
    </row>
    <row r="1984" spans="1:10" x14ac:dyDescent="0.3">
      <c r="A1984" s="1">
        <v>44863</v>
      </c>
      <c r="B1984" t="s">
        <v>18</v>
      </c>
      <c r="C1984" t="s">
        <v>16</v>
      </c>
      <c r="D1984" t="s">
        <v>15</v>
      </c>
      <c r="E1984">
        <v>14950</v>
      </c>
      <c r="F1984">
        <v>7009</v>
      </c>
      <c r="G1984">
        <v>10</v>
      </c>
      <c r="H1984">
        <v>7941</v>
      </c>
      <c r="I1984" s="2">
        <f>sa_retail_sales[[#This Row],[Profit]] / sa_retail_sales[[#This Row],[Revenue]]</f>
        <v>0.53117056856187295</v>
      </c>
      <c r="J1984">
        <f xml:space="preserve"> YEAR(sa_retail_sales[[#This Row],[Order Date]])</f>
        <v>2022</v>
      </c>
    </row>
    <row r="1985" spans="1:10" x14ac:dyDescent="0.3">
      <c r="A1985" s="1">
        <v>44799</v>
      </c>
      <c r="B1985" t="s">
        <v>18</v>
      </c>
      <c r="C1985" t="s">
        <v>16</v>
      </c>
      <c r="D1985" t="s">
        <v>15</v>
      </c>
      <c r="E1985">
        <v>6863</v>
      </c>
      <c r="F1985">
        <v>5011</v>
      </c>
      <c r="G1985">
        <v>0</v>
      </c>
      <c r="H1985">
        <v>1852</v>
      </c>
      <c r="I1985" s="2">
        <f>sa_retail_sales[[#This Row],[Profit]] / sa_retail_sales[[#This Row],[Revenue]]</f>
        <v>0.26985283403759291</v>
      </c>
      <c r="J1985">
        <f xml:space="preserve"> YEAR(sa_retail_sales[[#This Row],[Order Date]])</f>
        <v>2022</v>
      </c>
    </row>
    <row r="1986" spans="1:10" x14ac:dyDescent="0.3">
      <c r="A1986" s="1">
        <v>45208</v>
      </c>
      <c r="B1986" t="s">
        <v>17</v>
      </c>
      <c r="C1986" t="s">
        <v>9</v>
      </c>
      <c r="D1986" t="s">
        <v>19</v>
      </c>
      <c r="E1986">
        <v>8623</v>
      </c>
      <c r="F1986">
        <v>8321</v>
      </c>
      <c r="G1986">
        <v>10</v>
      </c>
      <c r="H1986">
        <v>302</v>
      </c>
      <c r="I1986" s="2">
        <f>sa_retail_sales[[#This Row],[Profit]] / sa_retail_sales[[#This Row],[Revenue]]</f>
        <v>3.5022613939464223E-2</v>
      </c>
      <c r="J1986">
        <f xml:space="preserve"> YEAR(sa_retail_sales[[#This Row],[Order Date]])</f>
        <v>2023</v>
      </c>
    </row>
    <row r="1987" spans="1:10" x14ac:dyDescent="0.3">
      <c r="A1987" s="1">
        <v>45224</v>
      </c>
      <c r="B1987" t="s">
        <v>18</v>
      </c>
      <c r="C1987" t="s">
        <v>9</v>
      </c>
      <c r="D1987" t="s">
        <v>19</v>
      </c>
      <c r="E1987">
        <v>8722</v>
      </c>
      <c r="F1987">
        <v>6269</v>
      </c>
      <c r="G1987">
        <v>5</v>
      </c>
      <c r="H1987">
        <v>2453</v>
      </c>
      <c r="I1987" s="2">
        <f>sa_retail_sales[[#This Row],[Profit]] / sa_retail_sales[[#This Row],[Revenue]]</f>
        <v>0.28124283421233665</v>
      </c>
      <c r="J1987">
        <f xml:space="preserve"> YEAR(sa_retail_sales[[#This Row],[Order Date]])</f>
        <v>2023</v>
      </c>
    </row>
    <row r="1988" spans="1:10" x14ac:dyDescent="0.3">
      <c r="A1988" s="1">
        <v>44797</v>
      </c>
      <c r="B1988" t="s">
        <v>17</v>
      </c>
      <c r="C1988" t="s">
        <v>13</v>
      </c>
      <c r="D1988" t="s">
        <v>19</v>
      </c>
      <c r="E1988">
        <v>8190</v>
      </c>
      <c r="F1988">
        <v>2920</v>
      </c>
      <c r="G1988">
        <v>20</v>
      </c>
      <c r="H1988">
        <v>5270</v>
      </c>
      <c r="I1988" s="2">
        <f>sa_retail_sales[[#This Row],[Profit]] / sa_retail_sales[[#This Row],[Revenue]]</f>
        <v>0.64346764346764351</v>
      </c>
      <c r="J1988">
        <f xml:space="preserve"> YEAR(sa_retail_sales[[#This Row],[Order Date]])</f>
        <v>2022</v>
      </c>
    </row>
    <row r="1989" spans="1:10" x14ac:dyDescent="0.3">
      <c r="A1989" s="1">
        <v>44764</v>
      </c>
      <c r="B1989" t="s">
        <v>11</v>
      </c>
      <c r="C1989" t="s">
        <v>16</v>
      </c>
      <c r="D1989" t="s">
        <v>10</v>
      </c>
      <c r="E1989">
        <v>14154</v>
      </c>
      <c r="F1989">
        <v>2946</v>
      </c>
      <c r="G1989">
        <v>0</v>
      </c>
      <c r="H1989">
        <v>11208</v>
      </c>
      <c r="I1989" s="2">
        <f>sa_retail_sales[[#This Row],[Profit]] / sa_retail_sales[[#This Row],[Revenue]]</f>
        <v>0.79186095803306489</v>
      </c>
      <c r="J1989">
        <f xml:space="preserve"> YEAR(sa_retail_sales[[#This Row],[Order Date]])</f>
        <v>2022</v>
      </c>
    </row>
    <row r="1990" spans="1:10" x14ac:dyDescent="0.3">
      <c r="A1990" s="1">
        <v>44817</v>
      </c>
      <c r="B1990" t="s">
        <v>17</v>
      </c>
      <c r="C1990" t="s">
        <v>9</v>
      </c>
      <c r="D1990" t="s">
        <v>12</v>
      </c>
      <c r="E1990">
        <v>1900</v>
      </c>
      <c r="F1990">
        <v>5165</v>
      </c>
      <c r="G1990">
        <v>0</v>
      </c>
      <c r="H1990">
        <v>-3265</v>
      </c>
      <c r="I1990" s="2">
        <f>sa_retail_sales[[#This Row],[Profit]] / sa_retail_sales[[#This Row],[Revenue]]</f>
        <v>-1.7184210526315788</v>
      </c>
      <c r="J1990">
        <f xml:space="preserve"> YEAR(sa_retail_sales[[#This Row],[Order Date]])</f>
        <v>2022</v>
      </c>
    </row>
    <row r="1991" spans="1:10" x14ac:dyDescent="0.3">
      <c r="A1991" s="1">
        <v>45159</v>
      </c>
      <c r="B1991" t="s">
        <v>11</v>
      </c>
      <c r="C1991" t="s">
        <v>14</v>
      </c>
      <c r="D1991" t="s">
        <v>12</v>
      </c>
      <c r="E1991">
        <v>13941</v>
      </c>
      <c r="F1991">
        <v>7645</v>
      </c>
      <c r="G1991">
        <v>20</v>
      </c>
      <c r="H1991">
        <v>6296</v>
      </c>
      <c r="I1991" s="2">
        <f>sa_retail_sales[[#This Row],[Profit]] / sa_retail_sales[[#This Row],[Revenue]]</f>
        <v>0.45161753102359947</v>
      </c>
      <c r="J1991">
        <f xml:space="preserve"> YEAR(sa_retail_sales[[#This Row],[Order Date]])</f>
        <v>2023</v>
      </c>
    </row>
    <row r="1992" spans="1:10" x14ac:dyDescent="0.3">
      <c r="A1992" s="1">
        <v>45223</v>
      </c>
      <c r="B1992" t="s">
        <v>18</v>
      </c>
      <c r="C1992" t="s">
        <v>14</v>
      </c>
      <c r="D1992" t="s">
        <v>10</v>
      </c>
      <c r="E1992">
        <v>4571</v>
      </c>
      <c r="F1992">
        <v>2589</v>
      </c>
      <c r="G1992">
        <v>0</v>
      </c>
      <c r="H1992">
        <v>1982</v>
      </c>
      <c r="I1992" s="2">
        <f>sa_retail_sales[[#This Row],[Profit]] / sa_retail_sales[[#This Row],[Revenue]]</f>
        <v>0.43360315029534019</v>
      </c>
      <c r="J1992">
        <f xml:space="preserve"> YEAR(sa_retail_sales[[#This Row],[Order Date]])</f>
        <v>2023</v>
      </c>
    </row>
    <row r="1993" spans="1:10" x14ac:dyDescent="0.3">
      <c r="A1993" s="1">
        <v>44796</v>
      </c>
      <c r="B1993" t="s">
        <v>11</v>
      </c>
      <c r="C1993" t="s">
        <v>16</v>
      </c>
      <c r="D1993" t="s">
        <v>15</v>
      </c>
      <c r="E1993">
        <v>9308</v>
      </c>
      <c r="F1993">
        <v>7670</v>
      </c>
      <c r="G1993">
        <v>20</v>
      </c>
      <c r="H1993">
        <v>1638</v>
      </c>
      <c r="I1993" s="2">
        <f>sa_retail_sales[[#This Row],[Profit]] / sa_retail_sales[[#This Row],[Revenue]]</f>
        <v>0.17597765363128492</v>
      </c>
      <c r="J1993">
        <f xml:space="preserve"> YEAR(sa_retail_sales[[#This Row],[Order Date]])</f>
        <v>2022</v>
      </c>
    </row>
    <row r="1994" spans="1:10" x14ac:dyDescent="0.3">
      <c r="A1994" s="1">
        <v>45095</v>
      </c>
      <c r="B1994" t="s">
        <v>17</v>
      </c>
      <c r="C1994" t="s">
        <v>13</v>
      </c>
      <c r="D1994" t="s">
        <v>10</v>
      </c>
      <c r="E1994">
        <v>13326</v>
      </c>
      <c r="F1994">
        <v>4172</v>
      </c>
      <c r="G1994">
        <v>0</v>
      </c>
      <c r="H1994">
        <v>9154</v>
      </c>
      <c r="I1994" s="2">
        <f>sa_retail_sales[[#This Row],[Profit]] / sa_retail_sales[[#This Row],[Revenue]]</f>
        <v>0.68692781029566263</v>
      </c>
      <c r="J1994">
        <f xml:space="preserve"> YEAR(sa_retail_sales[[#This Row],[Order Date]])</f>
        <v>2023</v>
      </c>
    </row>
    <row r="1995" spans="1:10" x14ac:dyDescent="0.3">
      <c r="A1995" s="1">
        <v>45421</v>
      </c>
      <c r="B1995" t="s">
        <v>8</v>
      </c>
      <c r="C1995" t="s">
        <v>13</v>
      </c>
      <c r="D1995" t="s">
        <v>15</v>
      </c>
      <c r="E1995">
        <v>3286</v>
      </c>
      <c r="F1995">
        <v>9977</v>
      </c>
      <c r="G1995">
        <v>10</v>
      </c>
      <c r="H1995">
        <v>-6691</v>
      </c>
      <c r="I1995" s="2">
        <f>sa_retail_sales[[#This Row],[Profit]] / sa_retail_sales[[#This Row],[Revenue]]</f>
        <v>-2.0362142422398053</v>
      </c>
      <c r="J1995">
        <f xml:space="preserve"> YEAR(sa_retail_sales[[#This Row],[Order Date]])</f>
        <v>2024</v>
      </c>
    </row>
    <row r="1996" spans="1:10" x14ac:dyDescent="0.3">
      <c r="A1996" s="1">
        <v>45331</v>
      </c>
      <c r="B1996" t="s">
        <v>11</v>
      </c>
      <c r="C1996" t="s">
        <v>14</v>
      </c>
      <c r="D1996" t="s">
        <v>10</v>
      </c>
      <c r="E1996">
        <v>7669</v>
      </c>
      <c r="F1996">
        <v>11643</v>
      </c>
      <c r="G1996">
        <v>0</v>
      </c>
      <c r="H1996">
        <v>-3974</v>
      </c>
      <c r="I1996" s="2">
        <f>sa_retail_sales[[#This Row],[Profit]] / sa_retail_sales[[#This Row],[Revenue]]</f>
        <v>-0.51819011605163645</v>
      </c>
      <c r="J1996">
        <f xml:space="preserve"> YEAR(sa_retail_sales[[#This Row],[Order Date]])</f>
        <v>2024</v>
      </c>
    </row>
    <row r="1997" spans="1:10" x14ac:dyDescent="0.3">
      <c r="A1997" s="1">
        <v>45102</v>
      </c>
      <c r="B1997" t="s">
        <v>11</v>
      </c>
      <c r="C1997" t="s">
        <v>13</v>
      </c>
      <c r="D1997" t="s">
        <v>10</v>
      </c>
      <c r="E1997">
        <v>1370</v>
      </c>
      <c r="F1997">
        <v>7990</v>
      </c>
      <c r="G1997">
        <v>15</v>
      </c>
      <c r="H1997">
        <v>-6620</v>
      </c>
      <c r="I1997" s="2">
        <f>sa_retail_sales[[#This Row],[Profit]] / sa_retail_sales[[#This Row],[Revenue]]</f>
        <v>-4.8321167883211675</v>
      </c>
      <c r="J1997">
        <f xml:space="preserve"> YEAR(sa_retail_sales[[#This Row],[Order Date]])</f>
        <v>2023</v>
      </c>
    </row>
    <row r="1998" spans="1:10" x14ac:dyDescent="0.3">
      <c r="A1998" s="1">
        <v>44774</v>
      </c>
      <c r="B1998" t="s">
        <v>18</v>
      </c>
      <c r="C1998" t="s">
        <v>16</v>
      </c>
      <c r="D1998" t="s">
        <v>10</v>
      </c>
      <c r="E1998">
        <v>4696</v>
      </c>
      <c r="F1998">
        <v>1740</v>
      </c>
      <c r="G1998">
        <v>20</v>
      </c>
      <c r="H1998">
        <v>2956</v>
      </c>
      <c r="I1998" s="2">
        <f>sa_retail_sales[[#This Row],[Profit]] / sa_retail_sales[[#This Row],[Revenue]]</f>
        <v>0.62947189097103917</v>
      </c>
      <c r="J1998">
        <f xml:space="preserve"> YEAR(sa_retail_sales[[#This Row],[Order Date]])</f>
        <v>2022</v>
      </c>
    </row>
    <row r="1999" spans="1:10" x14ac:dyDescent="0.3">
      <c r="A1999" s="1">
        <v>45024</v>
      </c>
      <c r="B1999" t="s">
        <v>17</v>
      </c>
      <c r="C1999" t="s">
        <v>14</v>
      </c>
      <c r="D1999" t="s">
        <v>12</v>
      </c>
      <c r="E1999">
        <v>12296</v>
      </c>
      <c r="F1999">
        <v>1065</v>
      </c>
      <c r="G1999">
        <v>0</v>
      </c>
      <c r="H1999">
        <v>11231</v>
      </c>
      <c r="I1999" s="2">
        <f>sa_retail_sales[[#This Row],[Profit]] / sa_retail_sales[[#This Row],[Revenue]]</f>
        <v>0.91338646714378657</v>
      </c>
      <c r="J1999">
        <f xml:space="preserve"> YEAR(sa_retail_sales[[#This Row],[Order Date]])</f>
        <v>2023</v>
      </c>
    </row>
    <row r="2000" spans="1:10" x14ac:dyDescent="0.3">
      <c r="A2000" s="1">
        <v>44997</v>
      </c>
      <c r="B2000" t="s">
        <v>11</v>
      </c>
      <c r="C2000" t="s">
        <v>9</v>
      </c>
      <c r="D2000" t="s">
        <v>19</v>
      </c>
      <c r="E2000">
        <v>10104</v>
      </c>
      <c r="F2000">
        <v>10930</v>
      </c>
      <c r="G2000">
        <v>20</v>
      </c>
      <c r="H2000">
        <v>-826</v>
      </c>
      <c r="I2000" s="2">
        <f>sa_retail_sales[[#This Row],[Profit]] / sa_retail_sales[[#This Row],[Revenue]]</f>
        <v>-8.1749802058590657E-2</v>
      </c>
      <c r="J2000">
        <f xml:space="preserve"> YEAR(sa_retail_sales[[#This Row],[Order Date]])</f>
        <v>2023</v>
      </c>
    </row>
    <row r="2001" spans="1:10" x14ac:dyDescent="0.3">
      <c r="A2001" s="1">
        <v>44844</v>
      </c>
      <c r="B2001" t="s">
        <v>11</v>
      </c>
      <c r="C2001" t="s">
        <v>9</v>
      </c>
      <c r="D2001" t="s">
        <v>10</v>
      </c>
      <c r="E2001">
        <v>3239</v>
      </c>
      <c r="F2001">
        <v>4392</v>
      </c>
      <c r="G2001">
        <v>15</v>
      </c>
      <c r="H2001">
        <v>-1153</v>
      </c>
      <c r="I2001" s="2">
        <f>sa_retail_sales[[#This Row],[Profit]] / sa_retail_sales[[#This Row],[Revenue]]</f>
        <v>-0.35597406606977461</v>
      </c>
      <c r="J2001">
        <f xml:space="preserve"> YEAR(sa_retail_sales[[#This Row],[Order Date]])</f>
        <v>2022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FEEF27-E4C6-4C62-8387-3B15D6D937A9}">
  <dimension ref="A3:E26"/>
  <sheetViews>
    <sheetView workbookViewId="0">
      <selection activeCell="D15" sqref="D15:E20"/>
    </sheetView>
  </sheetViews>
  <sheetFormatPr defaultRowHeight="14.4" x14ac:dyDescent="0.3"/>
  <cols>
    <col min="1" max="1" width="12.44140625" bestFit="1" customWidth="1"/>
    <col min="2" max="2" width="14.109375" bestFit="1" customWidth="1"/>
    <col min="4" max="4" width="14.77734375" bestFit="1" customWidth="1"/>
    <col min="5" max="5" width="14.109375" bestFit="1" customWidth="1"/>
  </cols>
  <sheetData>
    <row r="3" spans="1:5" x14ac:dyDescent="0.3">
      <c r="A3" s="3" t="s">
        <v>22</v>
      </c>
      <c r="B3" t="s">
        <v>25</v>
      </c>
      <c r="D3" s="3" t="s">
        <v>22</v>
      </c>
      <c r="E3" t="s">
        <v>25</v>
      </c>
    </row>
    <row r="4" spans="1:5" x14ac:dyDescent="0.3">
      <c r="A4" s="4" t="s">
        <v>18</v>
      </c>
      <c r="B4">
        <v>3963178</v>
      </c>
      <c r="D4" s="4" t="s">
        <v>19</v>
      </c>
      <c r="E4">
        <v>3695884</v>
      </c>
    </row>
    <row r="5" spans="1:5" x14ac:dyDescent="0.3">
      <c r="A5" s="4" t="s">
        <v>17</v>
      </c>
      <c r="B5">
        <v>3908847</v>
      </c>
      <c r="D5" s="4" t="s">
        <v>10</v>
      </c>
      <c r="E5">
        <v>3936331</v>
      </c>
    </row>
    <row r="6" spans="1:5" x14ac:dyDescent="0.3">
      <c r="A6" s="4" t="s">
        <v>11</v>
      </c>
      <c r="B6">
        <v>3838481</v>
      </c>
      <c r="D6" s="4" t="s">
        <v>15</v>
      </c>
      <c r="E6">
        <v>3988480</v>
      </c>
    </row>
    <row r="7" spans="1:5" x14ac:dyDescent="0.3">
      <c r="A7" s="4" t="s">
        <v>8</v>
      </c>
      <c r="B7">
        <v>3635911</v>
      </c>
      <c r="D7" s="4" t="s">
        <v>12</v>
      </c>
      <c r="E7">
        <v>3725722</v>
      </c>
    </row>
    <row r="8" spans="1:5" x14ac:dyDescent="0.3">
      <c r="A8" s="4" t="s">
        <v>23</v>
      </c>
      <c r="B8">
        <v>15346417</v>
      </c>
      <c r="D8" s="4" t="s">
        <v>23</v>
      </c>
      <c r="E8">
        <v>15346417</v>
      </c>
    </row>
    <row r="12" spans="1:5" x14ac:dyDescent="0.3">
      <c r="A12" s="3" t="s">
        <v>22</v>
      </c>
      <c r="B12" t="s">
        <v>25</v>
      </c>
      <c r="D12" t="s">
        <v>25</v>
      </c>
    </row>
    <row r="13" spans="1:5" x14ac:dyDescent="0.3">
      <c r="A13" s="4" t="s">
        <v>32</v>
      </c>
      <c r="B13">
        <v>4036857</v>
      </c>
      <c r="D13" s="6">
        <v>15346417</v>
      </c>
    </row>
    <row r="14" spans="1:5" x14ac:dyDescent="0.3">
      <c r="A14" s="4" t="s">
        <v>33</v>
      </c>
      <c r="B14">
        <v>3850556</v>
      </c>
    </row>
    <row r="15" spans="1:5" x14ac:dyDescent="0.3">
      <c r="A15" s="4" t="s">
        <v>34</v>
      </c>
      <c r="B15">
        <v>3682313</v>
      </c>
    </row>
    <row r="16" spans="1:5" x14ac:dyDescent="0.3">
      <c r="A16" s="4" t="s">
        <v>35</v>
      </c>
      <c r="B16">
        <v>3776691</v>
      </c>
    </row>
    <row r="17" spans="1:2" x14ac:dyDescent="0.3">
      <c r="A17" s="4" t="s">
        <v>23</v>
      </c>
      <c r="B17">
        <v>15346417</v>
      </c>
    </row>
    <row r="21" spans="1:2" x14ac:dyDescent="0.3">
      <c r="A21" s="3" t="s">
        <v>22</v>
      </c>
      <c r="B21" t="s">
        <v>26</v>
      </c>
    </row>
    <row r="22" spans="1:2" x14ac:dyDescent="0.3">
      <c r="A22" s="4" t="s">
        <v>9</v>
      </c>
      <c r="B22">
        <v>880644</v>
      </c>
    </row>
    <row r="23" spans="1:2" x14ac:dyDescent="0.3">
      <c r="A23" s="4" t="s">
        <v>16</v>
      </c>
      <c r="B23">
        <v>809380</v>
      </c>
    </row>
    <row r="24" spans="1:2" x14ac:dyDescent="0.3">
      <c r="A24" s="4" t="s">
        <v>14</v>
      </c>
      <c r="B24">
        <v>712708</v>
      </c>
    </row>
    <row r="25" spans="1:2" x14ac:dyDescent="0.3">
      <c r="A25" s="4" t="s">
        <v>13</v>
      </c>
      <c r="B25">
        <v>678534</v>
      </c>
    </row>
    <row r="26" spans="1:2" x14ac:dyDescent="0.3">
      <c r="A26" s="4" t="s">
        <v>23</v>
      </c>
      <c r="B26">
        <v>3081266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B3F1AF-4958-4060-8404-F91F8CC2D9A2}">
  <dimension ref="K15"/>
  <sheetViews>
    <sheetView showGridLines="0" tabSelected="1" workbookViewId="0">
      <selection activeCell="W18" sqref="W18"/>
    </sheetView>
  </sheetViews>
  <sheetFormatPr defaultRowHeight="14.4" x14ac:dyDescent="0.3"/>
  <cols>
    <col min="19" max="19" width="14.109375" bestFit="1" customWidth="1"/>
  </cols>
  <sheetData>
    <row r="15" spans="11:11" x14ac:dyDescent="0.3">
      <c r="K15" t="s">
        <v>31</v>
      </c>
    </row>
  </sheetData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C868C19E-FEF8-4A82-B651-AC3176B9B79E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Pivot Tables</vt:lpstr>
      <vt:lpstr>sa_retail_sales</vt:lpstr>
      <vt:lpstr>PivotTables</vt:lpstr>
      <vt:lpstr>Dashboard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Blessing Leso</dc:creator>
  <cp:lastModifiedBy>Blessing Leso</cp:lastModifiedBy>
  <dcterms:created xsi:type="dcterms:W3CDTF">2026-01-13T23:14:19Z</dcterms:created>
  <dcterms:modified xsi:type="dcterms:W3CDTF">2026-03-22T18:31:20Z</dcterms:modified>
</cp:coreProperties>
</file>